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Сметы\"/>
    </mc:Choice>
  </mc:AlternateContent>
  <bookViews>
    <workbookView xWindow="0" yWindow="0" windowWidth="21570" windowHeight="9915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доп.67'!$A$1:$K$600</definedName>
  </definedNames>
  <calcPr calcId="162913" iterate="1"/>
</workbook>
</file>

<file path=xl/calcChain.xml><?xml version="1.0" encoding="utf-8"?>
<calcChain xmlns="http://schemas.openxmlformats.org/spreadsheetml/2006/main">
  <c r="H598" i="7" l="1"/>
  <c r="H595" i="7"/>
  <c r="C598" i="7"/>
  <c r="C595" i="7"/>
  <c r="J22" i="7"/>
  <c r="J19" i="7"/>
  <c r="J18" i="7"/>
  <c r="J17" i="7"/>
  <c r="J14" i="7" s="1"/>
  <c r="J16" i="7"/>
  <c r="J15" i="7"/>
  <c r="I22" i="7"/>
  <c r="I20" i="7"/>
  <c r="I19" i="7"/>
  <c r="I18" i="7"/>
  <c r="I17" i="7"/>
  <c r="I14" i="7" s="1"/>
  <c r="I16" i="7"/>
  <c r="I15" i="7"/>
  <c r="I592" i="7"/>
  <c r="J592" i="7"/>
  <c r="I591" i="7"/>
  <c r="J591" i="7"/>
  <c r="A590" i="7"/>
  <c r="I588" i="7"/>
  <c r="J588" i="7"/>
  <c r="I587" i="7"/>
  <c r="J587" i="7"/>
  <c r="AQ586" i="7"/>
  <c r="A586" i="7"/>
  <c r="I584" i="7"/>
  <c r="J584" i="7"/>
  <c r="I583" i="7"/>
  <c r="J583" i="7"/>
  <c r="A582" i="7"/>
  <c r="O579" i="7"/>
  <c r="H582" i="7" s="1"/>
  <c r="P579" i="7"/>
  <c r="J582" i="7" s="1"/>
  <c r="K578" i="7"/>
  <c r="J579" i="7" s="1"/>
  <c r="J578" i="7"/>
  <c r="I578" i="7"/>
  <c r="H579" i="7" s="1"/>
  <c r="H578" i="7"/>
  <c r="F578" i="7"/>
  <c r="V578" i="7"/>
  <c r="T578" i="7"/>
  <c r="R578" i="7"/>
  <c r="U578" i="7"/>
  <c r="S578" i="7"/>
  <c r="Q578" i="7"/>
  <c r="E578" i="7"/>
  <c r="D578" i="7"/>
  <c r="B578" i="7"/>
  <c r="A577" i="7"/>
  <c r="I575" i="7"/>
  <c r="J575" i="7"/>
  <c r="I574" i="7"/>
  <c r="J574" i="7"/>
  <c r="A573" i="7"/>
  <c r="O570" i="7"/>
  <c r="K569" i="7"/>
  <c r="P570" i="7" s="1"/>
  <c r="J569" i="7"/>
  <c r="I569" i="7"/>
  <c r="H570" i="7" s="1"/>
  <c r="H569" i="7"/>
  <c r="F569" i="7"/>
  <c r="V569" i="7"/>
  <c r="T569" i="7"/>
  <c r="R569" i="7"/>
  <c r="U569" i="7"/>
  <c r="S569" i="7"/>
  <c r="Q569" i="7"/>
  <c r="E569" i="7"/>
  <c r="D569" i="7"/>
  <c r="B569" i="7"/>
  <c r="O567" i="7"/>
  <c r="H567" i="7"/>
  <c r="P567" i="7"/>
  <c r="C566" i="7"/>
  <c r="K565" i="7"/>
  <c r="J567" i="7" s="1"/>
  <c r="J565" i="7"/>
  <c r="I565" i="7"/>
  <c r="H565" i="7"/>
  <c r="F565" i="7"/>
  <c r="V565" i="7"/>
  <c r="T565" i="7"/>
  <c r="R565" i="7"/>
  <c r="U565" i="7"/>
  <c r="S565" i="7"/>
  <c r="Q565" i="7"/>
  <c r="E565" i="7"/>
  <c r="D565" i="7"/>
  <c r="B565" i="7"/>
  <c r="H562" i="7"/>
  <c r="J562" i="7"/>
  <c r="I560" i="7"/>
  <c r="H560" i="7"/>
  <c r="E560" i="7"/>
  <c r="K559" i="7"/>
  <c r="J561" i="7" s="1"/>
  <c r="J559" i="7"/>
  <c r="E559" i="7"/>
  <c r="K558" i="7"/>
  <c r="J558" i="7"/>
  <c r="E558" i="7"/>
  <c r="K557" i="7"/>
  <c r="J557" i="7"/>
  <c r="I557" i="7"/>
  <c r="H557" i="7"/>
  <c r="F557" i="7"/>
  <c r="K556" i="7"/>
  <c r="J556" i="7"/>
  <c r="I556" i="7"/>
  <c r="H556" i="7"/>
  <c r="F556" i="7"/>
  <c r="C555" i="7"/>
  <c r="V554" i="7"/>
  <c r="T554" i="7"/>
  <c r="R554" i="7"/>
  <c r="U554" i="7"/>
  <c r="S554" i="7"/>
  <c r="I559" i="7" s="1"/>
  <c r="Q554" i="7"/>
  <c r="I558" i="7" s="1"/>
  <c r="E554" i="7"/>
  <c r="D554" i="7"/>
  <c r="B554" i="7"/>
  <c r="H551" i="7"/>
  <c r="J551" i="7"/>
  <c r="I549" i="7"/>
  <c r="H549" i="7"/>
  <c r="E549" i="7"/>
  <c r="J548" i="7"/>
  <c r="E548" i="7"/>
  <c r="J547" i="7"/>
  <c r="E547" i="7"/>
  <c r="K546" i="7"/>
  <c r="J546" i="7"/>
  <c r="H546" i="7"/>
  <c r="I546" i="7"/>
  <c r="F546" i="7"/>
  <c r="V546" i="7"/>
  <c r="T546" i="7"/>
  <c r="R546" i="7"/>
  <c r="U546" i="7"/>
  <c r="S546" i="7"/>
  <c r="Q546" i="7"/>
  <c r="E546" i="7"/>
  <c r="D546" i="7"/>
  <c r="B546" i="7"/>
  <c r="K545" i="7"/>
  <c r="J545" i="7"/>
  <c r="I545" i="7"/>
  <c r="H545" i="7"/>
  <c r="F545" i="7"/>
  <c r="K544" i="7"/>
  <c r="J544" i="7"/>
  <c r="I544" i="7"/>
  <c r="H544" i="7"/>
  <c r="F544" i="7"/>
  <c r="K543" i="7"/>
  <c r="J543" i="7"/>
  <c r="I543" i="7"/>
  <c r="H543" i="7"/>
  <c r="F543" i="7"/>
  <c r="K542" i="7"/>
  <c r="J542" i="7"/>
  <c r="I542" i="7"/>
  <c r="H542" i="7"/>
  <c r="F542" i="7"/>
  <c r="C541" i="7"/>
  <c r="V540" i="7"/>
  <c r="T540" i="7"/>
  <c r="K548" i="7" s="1"/>
  <c r="R540" i="7"/>
  <c r="K547" i="7" s="1"/>
  <c r="U540" i="7"/>
  <c r="S540" i="7"/>
  <c r="Q540" i="7"/>
  <c r="I547" i="7" s="1"/>
  <c r="E540" i="7"/>
  <c r="D540" i="7"/>
  <c r="B540" i="7"/>
  <c r="H537" i="7"/>
  <c r="J537" i="7"/>
  <c r="I535" i="7"/>
  <c r="H535" i="7"/>
  <c r="E535" i="7"/>
  <c r="J534" i="7"/>
  <c r="I534" i="7"/>
  <c r="E534" i="7"/>
  <c r="J533" i="7"/>
  <c r="E533" i="7"/>
  <c r="K532" i="7"/>
  <c r="J532" i="7"/>
  <c r="H532" i="7"/>
  <c r="I532" i="7"/>
  <c r="F532" i="7"/>
  <c r="V532" i="7"/>
  <c r="T532" i="7"/>
  <c r="R532" i="7"/>
  <c r="U532" i="7"/>
  <c r="S532" i="7"/>
  <c r="Q532" i="7"/>
  <c r="I533" i="7" s="1"/>
  <c r="E532" i="7"/>
  <c r="D532" i="7"/>
  <c r="B532" i="7"/>
  <c r="K531" i="7"/>
  <c r="J531" i="7"/>
  <c r="I531" i="7"/>
  <c r="H531" i="7"/>
  <c r="F531" i="7"/>
  <c r="K530" i="7"/>
  <c r="J530" i="7"/>
  <c r="I530" i="7"/>
  <c r="H530" i="7"/>
  <c r="F530" i="7"/>
  <c r="K529" i="7"/>
  <c r="J529" i="7"/>
  <c r="I529" i="7"/>
  <c r="H529" i="7"/>
  <c r="F529" i="7"/>
  <c r="K528" i="7"/>
  <c r="J528" i="7"/>
  <c r="I528" i="7"/>
  <c r="H528" i="7"/>
  <c r="F528" i="7"/>
  <c r="C527" i="7"/>
  <c r="V526" i="7"/>
  <c r="T526" i="7"/>
  <c r="R526" i="7"/>
  <c r="K533" i="7" s="1"/>
  <c r="U526" i="7"/>
  <c r="S526" i="7"/>
  <c r="Q526" i="7"/>
  <c r="E526" i="7"/>
  <c r="D526" i="7"/>
  <c r="B526" i="7"/>
  <c r="P524" i="7"/>
  <c r="K523" i="7"/>
  <c r="J524" i="7" s="1"/>
  <c r="J523" i="7"/>
  <c r="I523" i="7"/>
  <c r="O524" i="7" s="1"/>
  <c r="H523" i="7"/>
  <c r="F523" i="7"/>
  <c r="V523" i="7"/>
  <c r="T523" i="7"/>
  <c r="R523" i="7"/>
  <c r="U523" i="7"/>
  <c r="S523" i="7"/>
  <c r="Q523" i="7"/>
  <c r="E523" i="7"/>
  <c r="D523" i="7"/>
  <c r="B523" i="7"/>
  <c r="H520" i="7"/>
  <c r="J520" i="7"/>
  <c r="I518" i="7"/>
  <c r="H518" i="7"/>
  <c r="E518" i="7"/>
  <c r="K517" i="7"/>
  <c r="J519" i="7" s="1"/>
  <c r="J517" i="7"/>
  <c r="E517" i="7"/>
  <c r="K516" i="7"/>
  <c r="J516" i="7"/>
  <c r="E516" i="7"/>
  <c r="K515" i="7"/>
  <c r="J515" i="7"/>
  <c r="I515" i="7"/>
  <c r="H515" i="7"/>
  <c r="F515" i="7"/>
  <c r="K514" i="7"/>
  <c r="J514" i="7"/>
  <c r="I514" i="7"/>
  <c r="H514" i="7"/>
  <c r="F514" i="7"/>
  <c r="K513" i="7"/>
  <c r="J513" i="7"/>
  <c r="I513" i="7"/>
  <c r="H513" i="7"/>
  <c r="F513" i="7"/>
  <c r="K512" i="7"/>
  <c r="J512" i="7"/>
  <c r="I512" i="7"/>
  <c r="H512" i="7"/>
  <c r="F512" i="7"/>
  <c r="C511" i="7"/>
  <c r="V510" i="7"/>
  <c r="T510" i="7"/>
  <c r="R510" i="7"/>
  <c r="U510" i="7"/>
  <c r="S510" i="7"/>
  <c r="I517" i="7" s="1"/>
  <c r="Q510" i="7"/>
  <c r="I516" i="7" s="1"/>
  <c r="E510" i="7"/>
  <c r="D510" i="7"/>
  <c r="B510" i="7"/>
  <c r="H507" i="7"/>
  <c r="J507" i="7"/>
  <c r="I505" i="7"/>
  <c r="H505" i="7"/>
  <c r="E505" i="7"/>
  <c r="J504" i="7"/>
  <c r="E504" i="7"/>
  <c r="J503" i="7"/>
  <c r="E503" i="7"/>
  <c r="K502" i="7"/>
  <c r="J502" i="7"/>
  <c r="H502" i="7"/>
  <c r="I502" i="7"/>
  <c r="F502" i="7"/>
  <c r="V502" i="7"/>
  <c r="T502" i="7"/>
  <c r="R502" i="7"/>
  <c r="U502" i="7"/>
  <c r="S502" i="7"/>
  <c r="Q502" i="7"/>
  <c r="E502" i="7"/>
  <c r="D502" i="7"/>
  <c r="B502" i="7"/>
  <c r="K501" i="7"/>
  <c r="J501" i="7"/>
  <c r="H501" i="7"/>
  <c r="I501" i="7"/>
  <c r="F501" i="7"/>
  <c r="V501" i="7"/>
  <c r="T501" i="7"/>
  <c r="R501" i="7"/>
  <c r="U501" i="7"/>
  <c r="S501" i="7"/>
  <c r="Q501" i="7"/>
  <c r="E501" i="7"/>
  <c r="D501" i="7"/>
  <c r="B501" i="7"/>
  <c r="K500" i="7"/>
  <c r="J500" i="7"/>
  <c r="H500" i="7"/>
  <c r="I500" i="7"/>
  <c r="F500" i="7"/>
  <c r="V500" i="7"/>
  <c r="T500" i="7"/>
  <c r="R500" i="7"/>
  <c r="U500" i="7"/>
  <c r="S500" i="7"/>
  <c r="Q500" i="7"/>
  <c r="E500" i="7"/>
  <c r="D500" i="7"/>
  <c r="B500" i="7"/>
  <c r="K499" i="7"/>
  <c r="J499" i="7"/>
  <c r="I499" i="7"/>
  <c r="H499" i="7"/>
  <c r="F499" i="7"/>
  <c r="K498" i="7"/>
  <c r="J498" i="7"/>
  <c r="I498" i="7"/>
  <c r="H498" i="7"/>
  <c r="F498" i="7"/>
  <c r="K497" i="7"/>
  <c r="J497" i="7"/>
  <c r="I497" i="7"/>
  <c r="H497" i="7"/>
  <c r="F497" i="7"/>
  <c r="C496" i="7"/>
  <c r="V495" i="7"/>
  <c r="T495" i="7"/>
  <c r="K504" i="7" s="1"/>
  <c r="R495" i="7"/>
  <c r="U495" i="7"/>
  <c r="S495" i="7"/>
  <c r="Q495" i="7"/>
  <c r="I503" i="7" s="1"/>
  <c r="E495" i="7"/>
  <c r="D495" i="7"/>
  <c r="B495" i="7"/>
  <c r="O493" i="7"/>
  <c r="H493" i="7"/>
  <c r="K492" i="7"/>
  <c r="J492" i="7"/>
  <c r="I492" i="7"/>
  <c r="H492" i="7"/>
  <c r="F492" i="7"/>
  <c r="V492" i="7"/>
  <c r="T492" i="7"/>
  <c r="R492" i="7"/>
  <c r="U492" i="7"/>
  <c r="S492" i="7"/>
  <c r="Q492" i="7"/>
  <c r="E492" i="7"/>
  <c r="D492" i="7"/>
  <c r="B492" i="7"/>
  <c r="H489" i="7"/>
  <c r="J489" i="7"/>
  <c r="I487" i="7"/>
  <c r="H487" i="7"/>
  <c r="E487" i="7"/>
  <c r="K486" i="7"/>
  <c r="J486" i="7"/>
  <c r="I486" i="7"/>
  <c r="E486" i="7"/>
  <c r="J485" i="7"/>
  <c r="I485" i="7"/>
  <c r="E485" i="7"/>
  <c r="K484" i="7"/>
  <c r="J484" i="7"/>
  <c r="I484" i="7"/>
  <c r="H488" i="7" s="1"/>
  <c r="H484" i="7"/>
  <c r="F484" i="7"/>
  <c r="K483" i="7"/>
  <c r="J483" i="7"/>
  <c r="I483" i="7"/>
  <c r="H483" i="7"/>
  <c r="F483" i="7"/>
  <c r="K482" i="7"/>
  <c r="J482" i="7"/>
  <c r="I482" i="7"/>
  <c r="H482" i="7"/>
  <c r="F482" i="7"/>
  <c r="C481" i="7"/>
  <c r="V480" i="7"/>
  <c r="T480" i="7"/>
  <c r="R480" i="7"/>
  <c r="K485" i="7" s="1"/>
  <c r="U480" i="7"/>
  <c r="S480" i="7"/>
  <c r="Q480" i="7"/>
  <c r="E480" i="7"/>
  <c r="D480" i="7"/>
  <c r="B480" i="7"/>
  <c r="P478" i="7"/>
  <c r="J478" i="7"/>
  <c r="K477" i="7"/>
  <c r="J477" i="7"/>
  <c r="I477" i="7"/>
  <c r="O478" i="7" s="1"/>
  <c r="H477" i="7"/>
  <c r="F477" i="7"/>
  <c r="V477" i="7"/>
  <c r="T477" i="7"/>
  <c r="R477" i="7"/>
  <c r="U477" i="7"/>
  <c r="S477" i="7"/>
  <c r="Q477" i="7"/>
  <c r="E477" i="7"/>
  <c r="D477" i="7"/>
  <c r="B477" i="7"/>
  <c r="H474" i="7"/>
  <c r="J474" i="7"/>
  <c r="I472" i="7"/>
  <c r="H472" i="7"/>
  <c r="E472" i="7"/>
  <c r="J471" i="7"/>
  <c r="E471" i="7"/>
  <c r="J470" i="7"/>
  <c r="E470" i="7"/>
  <c r="K469" i="7"/>
  <c r="J469" i="7"/>
  <c r="H469" i="7"/>
  <c r="I469" i="7"/>
  <c r="F469" i="7"/>
  <c r="V469" i="7"/>
  <c r="T469" i="7"/>
  <c r="R469" i="7"/>
  <c r="U469" i="7"/>
  <c r="S469" i="7"/>
  <c r="Q469" i="7"/>
  <c r="E469" i="7"/>
  <c r="D469" i="7"/>
  <c r="B469" i="7"/>
  <c r="K468" i="7"/>
  <c r="J468" i="7"/>
  <c r="H468" i="7"/>
  <c r="I468" i="7"/>
  <c r="F468" i="7"/>
  <c r="V468" i="7"/>
  <c r="T468" i="7"/>
  <c r="R468" i="7"/>
  <c r="U468" i="7"/>
  <c r="S468" i="7"/>
  <c r="Q468" i="7"/>
  <c r="E468" i="7"/>
  <c r="D468" i="7"/>
  <c r="B468" i="7"/>
  <c r="K467" i="7"/>
  <c r="J467" i="7"/>
  <c r="H467" i="7"/>
  <c r="I467" i="7"/>
  <c r="F467" i="7"/>
  <c r="V467" i="7"/>
  <c r="T467" i="7"/>
  <c r="R467" i="7"/>
  <c r="U467" i="7"/>
  <c r="S467" i="7"/>
  <c r="Q467" i="7"/>
  <c r="E467" i="7"/>
  <c r="D467" i="7"/>
  <c r="B467" i="7"/>
  <c r="K466" i="7"/>
  <c r="J466" i="7"/>
  <c r="H466" i="7"/>
  <c r="I466" i="7"/>
  <c r="F466" i="7"/>
  <c r="V466" i="7"/>
  <c r="T466" i="7"/>
  <c r="R466" i="7"/>
  <c r="K470" i="7" s="1"/>
  <c r="U466" i="7"/>
  <c r="S466" i="7"/>
  <c r="Q466" i="7"/>
  <c r="E466" i="7"/>
  <c r="D466" i="7"/>
  <c r="B466" i="7"/>
  <c r="K465" i="7"/>
  <c r="J465" i="7"/>
  <c r="I465" i="7"/>
  <c r="H465" i="7"/>
  <c r="F465" i="7"/>
  <c r="K464" i="7"/>
  <c r="J464" i="7"/>
  <c r="I464" i="7"/>
  <c r="H464" i="7"/>
  <c r="F464" i="7"/>
  <c r="K463" i="7"/>
  <c r="J463" i="7"/>
  <c r="I463" i="7"/>
  <c r="H463" i="7"/>
  <c r="F463" i="7"/>
  <c r="C462" i="7"/>
  <c r="V461" i="7"/>
  <c r="T461" i="7"/>
  <c r="K471" i="7" s="1"/>
  <c r="R461" i="7"/>
  <c r="U461" i="7"/>
  <c r="S461" i="7"/>
  <c r="Q461" i="7"/>
  <c r="I470" i="7" s="1"/>
  <c r="E461" i="7"/>
  <c r="D461" i="7"/>
  <c r="B461" i="7"/>
  <c r="A460" i="7"/>
  <c r="I458" i="7"/>
  <c r="J458" i="7"/>
  <c r="I457" i="7"/>
  <c r="J457" i="7"/>
  <c r="A456" i="7"/>
  <c r="H452" i="7"/>
  <c r="J452" i="7"/>
  <c r="I450" i="7"/>
  <c r="H450" i="7"/>
  <c r="E450" i="7"/>
  <c r="J449" i="7"/>
  <c r="I449" i="7"/>
  <c r="E449" i="7"/>
  <c r="J448" i="7"/>
  <c r="E448" i="7"/>
  <c r="K447" i="7"/>
  <c r="J447" i="7"/>
  <c r="H447" i="7"/>
  <c r="I447" i="7"/>
  <c r="F447" i="7"/>
  <c r="V447" i="7"/>
  <c r="T447" i="7"/>
  <c r="R447" i="7"/>
  <c r="U447" i="7"/>
  <c r="S447" i="7"/>
  <c r="Q447" i="7"/>
  <c r="I448" i="7" s="1"/>
  <c r="E447" i="7"/>
  <c r="D447" i="7"/>
  <c r="B447" i="7"/>
  <c r="K446" i="7"/>
  <c r="J446" i="7"/>
  <c r="I446" i="7"/>
  <c r="H446" i="7"/>
  <c r="F446" i="7"/>
  <c r="K445" i="7"/>
  <c r="J445" i="7"/>
  <c r="I445" i="7"/>
  <c r="H445" i="7"/>
  <c r="F445" i="7"/>
  <c r="K444" i="7"/>
  <c r="J444" i="7"/>
  <c r="I444" i="7"/>
  <c r="H444" i="7"/>
  <c r="F444" i="7"/>
  <c r="K443" i="7"/>
  <c r="J443" i="7"/>
  <c r="I443" i="7"/>
  <c r="H443" i="7"/>
  <c r="F443" i="7"/>
  <c r="C442" i="7"/>
  <c r="V441" i="7"/>
  <c r="T441" i="7"/>
  <c r="R441" i="7"/>
  <c r="K448" i="7" s="1"/>
  <c r="U441" i="7"/>
  <c r="S441" i="7"/>
  <c r="Q441" i="7"/>
  <c r="E441" i="7"/>
  <c r="D441" i="7"/>
  <c r="B441" i="7"/>
  <c r="J438" i="7"/>
  <c r="I436" i="7"/>
  <c r="H436" i="7"/>
  <c r="E436" i="7"/>
  <c r="J435" i="7"/>
  <c r="E435" i="7"/>
  <c r="J434" i="7"/>
  <c r="E434" i="7"/>
  <c r="K433" i="7"/>
  <c r="J433" i="7"/>
  <c r="H433" i="7"/>
  <c r="I433" i="7"/>
  <c r="H438" i="7" s="1"/>
  <c r="F433" i="7"/>
  <c r="V433" i="7"/>
  <c r="T433" i="7"/>
  <c r="R433" i="7"/>
  <c r="U433" i="7"/>
  <c r="S433" i="7"/>
  <c r="Q433" i="7"/>
  <c r="I434" i="7" s="1"/>
  <c r="E433" i="7"/>
  <c r="D433" i="7"/>
  <c r="B433" i="7"/>
  <c r="K432" i="7"/>
  <c r="J432" i="7"/>
  <c r="H432" i="7"/>
  <c r="I432" i="7"/>
  <c r="F432" i="7"/>
  <c r="V432" i="7"/>
  <c r="T432" i="7"/>
  <c r="R432" i="7"/>
  <c r="U432" i="7"/>
  <c r="S432" i="7"/>
  <c r="I435" i="7" s="1"/>
  <c r="Q432" i="7"/>
  <c r="E432" i="7"/>
  <c r="D432" i="7"/>
  <c r="B432" i="7"/>
  <c r="K431" i="7"/>
  <c r="J431" i="7"/>
  <c r="I431" i="7"/>
  <c r="H439" i="7" s="1"/>
  <c r="H431" i="7"/>
  <c r="F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H428" i="7"/>
  <c r="F428" i="7"/>
  <c r="V427" i="7"/>
  <c r="T427" i="7"/>
  <c r="R427" i="7"/>
  <c r="U427" i="7"/>
  <c r="S427" i="7"/>
  <c r="Q427" i="7"/>
  <c r="E427" i="7"/>
  <c r="D427" i="7"/>
  <c r="B427" i="7"/>
  <c r="P425" i="7"/>
  <c r="K424" i="7"/>
  <c r="J425" i="7" s="1"/>
  <c r="J424" i="7"/>
  <c r="I424" i="7"/>
  <c r="O425" i="7" s="1"/>
  <c r="H424" i="7"/>
  <c r="F424" i="7"/>
  <c r="V424" i="7"/>
  <c r="T424" i="7"/>
  <c r="R424" i="7"/>
  <c r="U424" i="7"/>
  <c r="S424" i="7"/>
  <c r="Q424" i="7"/>
  <c r="E424" i="7"/>
  <c r="D424" i="7"/>
  <c r="B424" i="7"/>
  <c r="H421" i="7"/>
  <c r="J421" i="7"/>
  <c r="I419" i="7"/>
  <c r="H419" i="7"/>
  <c r="E419" i="7"/>
  <c r="K418" i="7"/>
  <c r="J418" i="7"/>
  <c r="E418" i="7"/>
  <c r="J417" i="7"/>
  <c r="E417" i="7"/>
  <c r="K416" i="7"/>
  <c r="J416" i="7"/>
  <c r="H416" i="7"/>
  <c r="I416" i="7"/>
  <c r="F416" i="7"/>
  <c r="V416" i="7"/>
  <c r="T416" i="7"/>
  <c r="R416" i="7"/>
  <c r="U416" i="7"/>
  <c r="S416" i="7"/>
  <c r="Q416" i="7"/>
  <c r="E416" i="7"/>
  <c r="D416" i="7"/>
  <c r="B416" i="7"/>
  <c r="K415" i="7"/>
  <c r="J415" i="7"/>
  <c r="I415" i="7"/>
  <c r="H415" i="7"/>
  <c r="F415" i="7"/>
  <c r="K414" i="7"/>
  <c r="J414" i="7"/>
  <c r="I414" i="7"/>
  <c r="H414" i="7"/>
  <c r="F414" i="7"/>
  <c r="K413" i="7"/>
  <c r="J413" i="7"/>
  <c r="I413" i="7"/>
  <c r="H413" i="7"/>
  <c r="F413" i="7"/>
  <c r="K412" i="7"/>
  <c r="J412" i="7"/>
  <c r="I412" i="7"/>
  <c r="H412" i="7"/>
  <c r="F412" i="7"/>
  <c r="C411" i="7"/>
  <c r="V410" i="7"/>
  <c r="T410" i="7"/>
  <c r="R410" i="7"/>
  <c r="K417" i="7" s="1"/>
  <c r="U410" i="7"/>
  <c r="S410" i="7"/>
  <c r="Q410" i="7"/>
  <c r="I417" i="7" s="1"/>
  <c r="E410" i="7"/>
  <c r="D410" i="7"/>
  <c r="B410" i="7"/>
  <c r="H407" i="7"/>
  <c r="J407" i="7"/>
  <c r="I405" i="7"/>
  <c r="H405" i="7"/>
  <c r="E405" i="7"/>
  <c r="J404" i="7"/>
  <c r="I404" i="7"/>
  <c r="E404" i="7"/>
  <c r="J403" i="7"/>
  <c r="E403" i="7"/>
  <c r="K402" i="7"/>
  <c r="J402" i="7"/>
  <c r="H402" i="7"/>
  <c r="I402" i="7"/>
  <c r="F402" i="7"/>
  <c r="V402" i="7"/>
  <c r="T402" i="7"/>
  <c r="R402" i="7"/>
  <c r="U402" i="7"/>
  <c r="S402" i="7"/>
  <c r="Q402" i="7"/>
  <c r="I403" i="7" s="1"/>
  <c r="H408" i="7" s="1"/>
  <c r="E402" i="7"/>
  <c r="D402" i="7"/>
  <c r="B402" i="7"/>
  <c r="K401" i="7"/>
  <c r="J408" i="7" s="1"/>
  <c r="J401" i="7"/>
  <c r="I401" i="7"/>
  <c r="H401" i="7"/>
  <c r="F401" i="7"/>
  <c r="K400" i="7"/>
  <c r="J400" i="7"/>
  <c r="I400" i="7"/>
  <c r="H400" i="7"/>
  <c r="F400" i="7"/>
  <c r="K399" i="7"/>
  <c r="J399" i="7"/>
  <c r="I399" i="7"/>
  <c r="H399" i="7"/>
  <c r="F399" i="7"/>
  <c r="K398" i="7"/>
  <c r="J398" i="7"/>
  <c r="I398" i="7"/>
  <c r="H398" i="7"/>
  <c r="F398" i="7"/>
  <c r="C397" i="7"/>
  <c r="V396" i="7"/>
  <c r="T396" i="7"/>
  <c r="K404" i="7" s="1"/>
  <c r="R396" i="7"/>
  <c r="K403" i="7" s="1"/>
  <c r="U396" i="7"/>
  <c r="S396" i="7"/>
  <c r="Q396" i="7"/>
  <c r="E396" i="7"/>
  <c r="D396" i="7"/>
  <c r="B396" i="7"/>
  <c r="P394" i="7"/>
  <c r="K393" i="7"/>
  <c r="J394" i="7" s="1"/>
  <c r="J393" i="7"/>
  <c r="I393" i="7"/>
  <c r="O394" i="7" s="1"/>
  <c r="H393" i="7"/>
  <c r="F393" i="7"/>
  <c r="V393" i="7"/>
  <c r="T393" i="7"/>
  <c r="R393" i="7"/>
  <c r="U393" i="7"/>
  <c r="S393" i="7"/>
  <c r="Q393" i="7"/>
  <c r="E393" i="7"/>
  <c r="D393" i="7"/>
  <c r="B393" i="7"/>
  <c r="P391" i="7"/>
  <c r="J391" i="7"/>
  <c r="K390" i="7"/>
  <c r="J390" i="7"/>
  <c r="I390" i="7"/>
  <c r="H390" i="7"/>
  <c r="F390" i="7"/>
  <c r="V390" i="7"/>
  <c r="T390" i="7"/>
  <c r="R390" i="7"/>
  <c r="U390" i="7"/>
  <c r="S390" i="7"/>
  <c r="Q390" i="7"/>
  <c r="E390" i="7"/>
  <c r="D390" i="7"/>
  <c r="B390" i="7"/>
  <c r="P388" i="7"/>
  <c r="K387" i="7"/>
  <c r="J388" i="7" s="1"/>
  <c r="J387" i="7"/>
  <c r="I387" i="7"/>
  <c r="O388" i="7" s="1"/>
  <c r="H387" i="7"/>
  <c r="F387" i="7"/>
  <c r="V387" i="7"/>
  <c r="T387" i="7"/>
  <c r="R387" i="7"/>
  <c r="U387" i="7"/>
  <c r="S387" i="7"/>
  <c r="Q387" i="7"/>
  <c r="E387" i="7"/>
  <c r="D387" i="7"/>
  <c r="B387" i="7"/>
  <c r="O385" i="7"/>
  <c r="K384" i="7"/>
  <c r="J384" i="7"/>
  <c r="I384" i="7"/>
  <c r="H385" i="7" s="1"/>
  <c r="H384" i="7"/>
  <c r="F384" i="7"/>
  <c r="V384" i="7"/>
  <c r="T384" i="7"/>
  <c r="R384" i="7"/>
  <c r="U384" i="7"/>
  <c r="S384" i="7"/>
  <c r="Q384" i="7"/>
  <c r="E384" i="7"/>
  <c r="D384" i="7"/>
  <c r="B384" i="7"/>
  <c r="O382" i="7"/>
  <c r="P382" i="7"/>
  <c r="K381" i="7"/>
  <c r="J382" i="7" s="1"/>
  <c r="J381" i="7"/>
  <c r="I381" i="7"/>
  <c r="H382" i="7" s="1"/>
  <c r="H381" i="7"/>
  <c r="F381" i="7"/>
  <c r="V381" i="7"/>
  <c r="T381" i="7"/>
  <c r="R381" i="7"/>
  <c r="U381" i="7"/>
  <c r="S381" i="7"/>
  <c r="Q381" i="7"/>
  <c r="E381" i="7"/>
  <c r="D381" i="7"/>
  <c r="B381" i="7"/>
  <c r="P379" i="7"/>
  <c r="J379" i="7"/>
  <c r="K378" i="7"/>
  <c r="J378" i="7"/>
  <c r="I378" i="7"/>
  <c r="H378" i="7"/>
  <c r="F378" i="7"/>
  <c r="V378" i="7"/>
  <c r="T378" i="7"/>
  <c r="R378" i="7"/>
  <c r="U378" i="7"/>
  <c r="S378" i="7"/>
  <c r="Q378" i="7"/>
  <c r="E378" i="7"/>
  <c r="D378" i="7"/>
  <c r="B378" i="7"/>
  <c r="H376" i="7"/>
  <c r="H375" i="7"/>
  <c r="J375" i="7"/>
  <c r="I373" i="7"/>
  <c r="H373" i="7"/>
  <c r="E373" i="7"/>
  <c r="J372" i="7"/>
  <c r="I372" i="7"/>
  <c r="E372" i="7"/>
  <c r="J371" i="7"/>
  <c r="I371" i="7"/>
  <c r="E371" i="7"/>
  <c r="K370" i="7"/>
  <c r="J370" i="7"/>
  <c r="I370" i="7"/>
  <c r="O376" i="7" s="1"/>
  <c r="H370" i="7"/>
  <c r="F370" i="7"/>
  <c r="K369" i="7"/>
  <c r="J369" i="7"/>
  <c r="I369" i="7"/>
  <c r="H369" i="7"/>
  <c r="F369" i="7"/>
  <c r="K368" i="7"/>
  <c r="J368" i="7"/>
  <c r="I368" i="7"/>
  <c r="H368" i="7"/>
  <c r="F368" i="7"/>
  <c r="C367" i="7"/>
  <c r="V366" i="7"/>
  <c r="T366" i="7"/>
  <c r="K372" i="7" s="1"/>
  <c r="R366" i="7"/>
  <c r="K371" i="7" s="1"/>
  <c r="U366" i="7"/>
  <c r="S366" i="7"/>
  <c r="Q366" i="7"/>
  <c r="E366" i="7"/>
  <c r="D366" i="7"/>
  <c r="B366" i="7"/>
  <c r="P364" i="7"/>
  <c r="K363" i="7"/>
  <c r="J364" i="7" s="1"/>
  <c r="J363" i="7"/>
  <c r="I363" i="7"/>
  <c r="O364" i="7" s="1"/>
  <c r="H363" i="7"/>
  <c r="F363" i="7"/>
  <c r="V363" i="7"/>
  <c r="T363" i="7"/>
  <c r="R363" i="7"/>
  <c r="U363" i="7"/>
  <c r="S363" i="7"/>
  <c r="Q363" i="7"/>
  <c r="E363" i="7"/>
  <c r="D363" i="7"/>
  <c r="B363" i="7"/>
  <c r="H360" i="7"/>
  <c r="J360" i="7"/>
  <c r="I358" i="7"/>
  <c r="H358" i="7"/>
  <c r="E358" i="7"/>
  <c r="J357" i="7"/>
  <c r="E357" i="7"/>
  <c r="K356" i="7"/>
  <c r="J356" i="7"/>
  <c r="E356" i="7"/>
  <c r="K355" i="7"/>
  <c r="J355" i="7"/>
  <c r="I355" i="7"/>
  <c r="H355" i="7"/>
  <c r="F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O361" i="7" s="1"/>
  <c r="H352" i="7"/>
  <c r="F352" i="7"/>
  <c r="V351" i="7"/>
  <c r="T351" i="7"/>
  <c r="K357" i="7" s="1"/>
  <c r="R351" i="7"/>
  <c r="U351" i="7"/>
  <c r="S351" i="7"/>
  <c r="I357" i="7" s="1"/>
  <c r="Q351" i="7"/>
  <c r="I356" i="7" s="1"/>
  <c r="E351" i="7"/>
  <c r="D351" i="7"/>
  <c r="B351" i="7"/>
  <c r="O349" i="7"/>
  <c r="K348" i="7"/>
  <c r="J348" i="7"/>
  <c r="I348" i="7"/>
  <c r="H349" i="7" s="1"/>
  <c r="H348" i="7"/>
  <c r="F348" i="7"/>
  <c r="V348" i="7"/>
  <c r="T348" i="7"/>
  <c r="R348" i="7"/>
  <c r="U348" i="7"/>
  <c r="S348" i="7"/>
  <c r="Q348" i="7"/>
  <c r="E348" i="7"/>
  <c r="D348" i="7"/>
  <c r="B348" i="7"/>
  <c r="H345" i="7"/>
  <c r="P346" i="7"/>
  <c r="J345" i="7"/>
  <c r="I343" i="7"/>
  <c r="H343" i="7"/>
  <c r="E343" i="7"/>
  <c r="J342" i="7"/>
  <c r="I342" i="7"/>
  <c r="E342" i="7"/>
  <c r="J341" i="7"/>
  <c r="E341" i="7"/>
  <c r="K340" i="7"/>
  <c r="J340" i="7"/>
  <c r="I340" i="7"/>
  <c r="H340" i="7"/>
  <c r="F340" i="7"/>
  <c r="K339" i="7"/>
  <c r="J339" i="7"/>
  <c r="I339" i="7"/>
  <c r="H339" i="7"/>
  <c r="F339" i="7"/>
  <c r="K338" i="7"/>
  <c r="J338" i="7"/>
  <c r="I338" i="7"/>
  <c r="H338" i="7"/>
  <c r="F338" i="7"/>
  <c r="K337" i="7"/>
  <c r="J337" i="7"/>
  <c r="I337" i="7"/>
  <c r="H337" i="7"/>
  <c r="F337" i="7"/>
  <c r="C336" i="7"/>
  <c r="V335" i="7"/>
  <c r="T335" i="7"/>
  <c r="K342" i="7" s="1"/>
  <c r="R335" i="7"/>
  <c r="K341" i="7" s="1"/>
  <c r="U335" i="7"/>
  <c r="S335" i="7"/>
  <c r="Q335" i="7"/>
  <c r="I341" i="7" s="1"/>
  <c r="E335" i="7"/>
  <c r="D335" i="7"/>
  <c r="B335" i="7"/>
  <c r="O333" i="7"/>
  <c r="H333" i="7"/>
  <c r="J333" i="7"/>
  <c r="K332" i="7"/>
  <c r="P333" i="7" s="1"/>
  <c r="J332" i="7"/>
  <c r="I332" i="7"/>
  <c r="H332" i="7"/>
  <c r="F332" i="7"/>
  <c r="V332" i="7"/>
  <c r="T332" i="7"/>
  <c r="R332" i="7"/>
  <c r="U332" i="7"/>
  <c r="S332" i="7"/>
  <c r="Q332" i="7"/>
  <c r="E332" i="7"/>
  <c r="D332" i="7"/>
  <c r="B332" i="7"/>
  <c r="H329" i="7"/>
  <c r="J329" i="7"/>
  <c r="I327" i="7"/>
  <c r="H327" i="7"/>
  <c r="E327" i="7"/>
  <c r="K326" i="7"/>
  <c r="J328" i="7" s="1"/>
  <c r="J326" i="7"/>
  <c r="E326" i="7"/>
  <c r="K325" i="7"/>
  <c r="J325" i="7"/>
  <c r="E325" i="7"/>
  <c r="K324" i="7"/>
  <c r="J324" i="7"/>
  <c r="I324" i="7"/>
  <c r="H324" i="7"/>
  <c r="F324" i="7"/>
  <c r="K323" i="7"/>
  <c r="J323" i="7"/>
  <c r="I323" i="7"/>
  <c r="H323" i="7"/>
  <c r="F323" i="7"/>
  <c r="V322" i="7"/>
  <c r="T322" i="7"/>
  <c r="R322" i="7"/>
  <c r="U322" i="7"/>
  <c r="S322" i="7"/>
  <c r="I326" i="7" s="1"/>
  <c r="Q322" i="7"/>
  <c r="I325" i="7" s="1"/>
  <c r="E322" i="7"/>
  <c r="D322" i="7"/>
  <c r="B322" i="7"/>
  <c r="O320" i="7"/>
  <c r="H320" i="7"/>
  <c r="K319" i="7"/>
  <c r="P320" i="7" s="1"/>
  <c r="J319" i="7"/>
  <c r="I319" i="7"/>
  <c r="H319" i="7"/>
  <c r="F319" i="7"/>
  <c r="V319" i="7"/>
  <c r="T319" i="7"/>
  <c r="R319" i="7"/>
  <c r="U319" i="7"/>
  <c r="S319" i="7"/>
  <c r="Q319" i="7"/>
  <c r="E319" i="7"/>
  <c r="D319" i="7"/>
  <c r="B319" i="7"/>
  <c r="H316" i="7"/>
  <c r="J317" i="7"/>
  <c r="J316" i="7"/>
  <c r="I314" i="7"/>
  <c r="H314" i="7"/>
  <c r="E314" i="7"/>
  <c r="J313" i="7"/>
  <c r="E313" i="7"/>
  <c r="J312" i="7"/>
  <c r="I312" i="7"/>
  <c r="E312" i="7"/>
  <c r="K311" i="7"/>
  <c r="J311" i="7"/>
  <c r="I311" i="7"/>
  <c r="H311" i="7"/>
  <c r="F311" i="7"/>
  <c r="K310" i="7"/>
  <c r="J310" i="7"/>
  <c r="I310" i="7"/>
  <c r="H310" i="7"/>
  <c r="F310" i="7"/>
  <c r="V309" i="7"/>
  <c r="T309" i="7"/>
  <c r="K313" i="7" s="1"/>
  <c r="R309" i="7"/>
  <c r="K312" i="7" s="1"/>
  <c r="U309" i="7"/>
  <c r="S309" i="7"/>
  <c r="I313" i="7" s="1"/>
  <c r="Q309" i="7"/>
  <c r="E309" i="7"/>
  <c r="D309" i="7"/>
  <c r="B309" i="7"/>
  <c r="O307" i="7"/>
  <c r="H307" i="7"/>
  <c r="K306" i="7"/>
  <c r="J306" i="7"/>
  <c r="I306" i="7"/>
  <c r="H306" i="7"/>
  <c r="F306" i="7"/>
  <c r="V306" i="7"/>
  <c r="T306" i="7"/>
  <c r="R306" i="7"/>
  <c r="U306" i="7"/>
  <c r="S306" i="7"/>
  <c r="Q306" i="7"/>
  <c r="E306" i="7"/>
  <c r="D306" i="7"/>
  <c r="B306" i="7"/>
  <c r="H303" i="7"/>
  <c r="J304" i="7"/>
  <c r="J303" i="7"/>
  <c r="I301" i="7"/>
  <c r="H301" i="7"/>
  <c r="E301" i="7"/>
  <c r="K300" i="7"/>
  <c r="J300" i="7"/>
  <c r="I300" i="7"/>
  <c r="E300" i="7"/>
  <c r="J299" i="7"/>
  <c r="I299" i="7"/>
  <c r="E299" i="7"/>
  <c r="K298" i="7"/>
  <c r="J298" i="7"/>
  <c r="I298" i="7"/>
  <c r="H302" i="7" s="1"/>
  <c r="H298" i="7"/>
  <c r="F298" i="7"/>
  <c r="K297" i="7"/>
  <c r="J297" i="7"/>
  <c r="I297" i="7"/>
  <c r="H297" i="7"/>
  <c r="F297" i="7"/>
  <c r="K296" i="7"/>
  <c r="J296" i="7"/>
  <c r="I296" i="7"/>
  <c r="H304" i="7" s="1"/>
  <c r="H296" i="7"/>
  <c r="F296" i="7"/>
  <c r="K295" i="7"/>
  <c r="J295" i="7"/>
  <c r="I295" i="7"/>
  <c r="O304" i="7" s="1"/>
  <c r="H295" i="7"/>
  <c r="F295" i="7"/>
  <c r="V294" i="7"/>
  <c r="T294" i="7"/>
  <c r="R294" i="7"/>
  <c r="K299" i="7" s="1"/>
  <c r="U294" i="7"/>
  <c r="S294" i="7"/>
  <c r="Q294" i="7"/>
  <c r="E294" i="7"/>
  <c r="D294" i="7"/>
  <c r="B294" i="7"/>
  <c r="H292" i="7"/>
  <c r="P292" i="7"/>
  <c r="J292" i="7"/>
  <c r="K291" i="7"/>
  <c r="J291" i="7"/>
  <c r="I291" i="7"/>
  <c r="O292" i="7" s="1"/>
  <c r="H291" i="7"/>
  <c r="F291" i="7"/>
  <c r="V291" i="7"/>
  <c r="T291" i="7"/>
  <c r="R291" i="7"/>
  <c r="U291" i="7"/>
  <c r="S291" i="7"/>
  <c r="Q291" i="7"/>
  <c r="E291" i="7"/>
  <c r="D291" i="7"/>
  <c r="B291" i="7"/>
  <c r="O289" i="7"/>
  <c r="H289" i="7"/>
  <c r="K288" i="7"/>
  <c r="J288" i="7"/>
  <c r="I288" i="7"/>
  <c r="H288" i="7"/>
  <c r="F288" i="7"/>
  <c r="V288" i="7"/>
  <c r="T288" i="7"/>
  <c r="R288" i="7"/>
  <c r="U288" i="7"/>
  <c r="S288" i="7"/>
  <c r="Q288" i="7"/>
  <c r="E288" i="7"/>
  <c r="D288" i="7"/>
  <c r="B288" i="7"/>
  <c r="P286" i="7"/>
  <c r="J286" i="7"/>
  <c r="K285" i="7"/>
  <c r="J285" i="7"/>
  <c r="I285" i="7"/>
  <c r="O286" i="7" s="1"/>
  <c r="H285" i="7"/>
  <c r="F285" i="7"/>
  <c r="V285" i="7"/>
  <c r="T285" i="7"/>
  <c r="R285" i="7"/>
  <c r="U285" i="7"/>
  <c r="S285" i="7"/>
  <c r="Q285" i="7"/>
  <c r="E285" i="7"/>
  <c r="D285" i="7"/>
  <c r="B285" i="7"/>
  <c r="O283" i="7"/>
  <c r="H283" i="7"/>
  <c r="J283" i="7"/>
  <c r="K282" i="7"/>
  <c r="P283" i="7" s="1"/>
  <c r="J282" i="7"/>
  <c r="I282" i="7"/>
  <c r="H282" i="7"/>
  <c r="F282" i="7"/>
  <c r="V282" i="7"/>
  <c r="T282" i="7"/>
  <c r="R282" i="7"/>
  <c r="U282" i="7"/>
  <c r="S282" i="7"/>
  <c r="Q282" i="7"/>
  <c r="E282" i="7"/>
  <c r="D282" i="7"/>
  <c r="B282" i="7"/>
  <c r="P280" i="7"/>
  <c r="J280" i="7"/>
  <c r="K279" i="7"/>
  <c r="J279" i="7"/>
  <c r="I279" i="7"/>
  <c r="O280" i="7" s="1"/>
  <c r="H279" i="7"/>
  <c r="F279" i="7"/>
  <c r="V279" i="7"/>
  <c r="T279" i="7"/>
  <c r="R279" i="7"/>
  <c r="U279" i="7"/>
  <c r="S279" i="7"/>
  <c r="Q279" i="7"/>
  <c r="E279" i="7"/>
  <c r="D279" i="7"/>
  <c r="B279" i="7"/>
  <c r="H276" i="7"/>
  <c r="J276" i="7"/>
  <c r="I274" i="7"/>
  <c r="H274" i="7"/>
  <c r="E274" i="7"/>
  <c r="K273" i="7"/>
  <c r="J275" i="7" s="1"/>
  <c r="J273" i="7"/>
  <c r="E273" i="7"/>
  <c r="K272" i="7"/>
  <c r="J272" i="7"/>
  <c r="E272" i="7"/>
  <c r="K271" i="7"/>
  <c r="J271" i="7"/>
  <c r="I271" i="7"/>
  <c r="H271" i="7"/>
  <c r="F271" i="7"/>
  <c r="K270" i="7"/>
  <c r="P277" i="7" s="1"/>
  <c r="J270" i="7"/>
  <c r="I270" i="7"/>
  <c r="H270" i="7"/>
  <c r="F270" i="7"/>
  <c r="K269" i="7"/>
  <c r="J277" i="7" s="1"/>
  <c r="J269" i="7"/>
  <c r="I269" i="7"/>
  <c r="H269" i="7"/>
  <c r="F269" i="7"/>
  <c r="C268" i="7"/>
  <c r="V267" i="7"/>
  <c r="T267" i="7"/>
  <c r="R267" i="7"/>
  <c r="U267" i="7"/>
  <c r="S267" i="7"/>
  <c r="I273" i="7" s="1"/>
  <c r="Q267" i="7"/>
  <c r="I272" i="7" s="1"/>
  <c r="H275" i="7" s="1"/>
  <c r="E267" i="7"/>
  <c r="D267" i="7"/>
  <c r="B267" i="7"/>
  <c r="P265" i="7"/>
  <c r="J265" i="7"/>
  <c r="I262" i="7"/>
  <c r="H262" i="7"/>
  <c r="E262" i="7"/>
  <c r="J261" i="7"/>
  <c r="I261" i="7"/>
  <c r="E261" i="7"/>
  <c r="K260" i="7"/>
  <c r="J260" i="7"/>
  <c r="E260" i="7"/>
  <c r="K259" i="7"/>
  <c r="J264" i="7" s="1"/>
  <c r="J259" i="7"/>
  <c r="H259" i="7"/>
  <c r="I259" i="7"/>
  <c r="H264" i="7" s="1"/>
  <c r="F259" i="7"/>
  <c r="V259" i="7"/>
  <c r="T259" i="7"/>
  <c r="R259" i="7"/>
  <c r="U259" i="7"/>
  <c r="S259" i="7"/>
  <c r="Q259" i="7"/>
  <c r="E259" i="7"/>
  <c r="D259" i="7"/>
  <c r="B259" i="7"/>
  <c r="K258" i="7"/>
  <c r="J258" i="7"/>
  <c r="I258" i="7"/>
  <c r="H258" i="7"/>
  <c r="F258" i="7"/>
  <c r="K257" i="7"/>
  <c r="J257" i="7"/>
  <c r="I257" i="7"/>
  <c r="H257" i="7"/>
  <c r="F257" i="7"/>
  <c r="K256" i="7"/>
  <c r="J263" i="7" s="1"/>
  <c r="J256" i="7"/>
  <c r="I256" i="7"/>
  <c r="H256" i="7"/>
  <c r="F256" i="7"/>
  <c r="V255" i="7"/>
  <c r="T255" i="7"/>
  <c r="K261" i="7" s="1"/>
  <c r="R255" i="7"/>
  <c r="U255" i="7"/>
  <c r="S255" i="7"/>
  <c r="Q255" i="7"/>
  <c r="I260" i="7" s="1"/>
  <c r="O265" i="7" s="1"/>
  <c r="E255" i="7"/>
  <c r="D255" i="7"/>
  <c r="B255" i="7"/>
  <c r="P253" i="7"/>
  <c r="J253" i="7"/>
  <c r="K252" i="7"/>
  <c r="J252" i="7"/>
  <c r="I252" i="7"/>
  <c r="H253" i="7" s="1"/>
  <c r="H252" i="7"/>
  <c r="F252" i="7"/>
  <c r="V252" i="7"/>
  <c r="T252" i="7"/>
  <c r="R252" i="7"/>
  <c r="U252" i="7"/>
  <c r="S252" i="7"/>
  <c r="Q252" i="7"/>
  <c r="E252" i="7"/>
  <c r="D252" i="7"/>
  <c r="B252" i="7"/>
  <c r="O250" i="7"/>
  <c r="H249" i="7"/>
  <c r="J249" i="7"/>
  <c r="I247" i="7"/>
  <c r="H247" i="7"/>
  <c r="E247" i="7"/>
  <c r="J246" i="7"/>
  <c r="I246" i="7"/>
  <c r="E246" i="7"/>
  <c r="J245" i="7"/>
  <c r="E245" i="7"/>
  <c r="K244" i="7"/>
  <c r="J244" i="7"/>
  <c r="I244" i="7"/>
  <c r="H244" i="7"/>
  <c r="F244" i="7"/>
  <c r="K243" i="7"/>
  <c r="J243" i="7"/>
  <c r="I243" i="7"/>
  <c r="H243" i="7"/>
  <c r="F243" i="7"/>
  <c r="K242" i="7"/>
  <c r="J242" i="7"/>
  <c r="I242" i="7"/>
  <c r="H242" i="7"/>
  <c r="F242" i="7"/>
  <c r="K241" i="7"/>
  <c r="J241" i="7"/>
  <c r="I241" i="7"/>
  <c r="H241" i="7"/>
  <c r="F241" i="7"/>
  <c r="V240" i="7"/>
  <c r="T240" i="7"/>
  <c r="K246" i="7" s="1"/>
  <c r="P250" i="7" s="1"/>
  <c r="R240" i="7"/>
  <c r="K245" i="7" s="1"/>
  <c r="U240" i="7"/>
  <c r="S240" i="7"/>
  <c r="Q240" i="7"/>
  <c r="I245" i="7" s="1"/>
  <c r="E240" i="7"/>
  <c r="D240" i="7"/>
  <c r="B240" i="7"/>
  <c r="O238" i="7"/>
  <c r="K237" i="7"/>
  <c r="J237" i="7"/>
  <c r="I237" i="7"/>
  <c r="H238" i="7" s="1"/>
  <c r="H237" i="7"/>
  <c r="F237" i="7"/>
  <c r="V237" i="7"/>
  <c r="T237" i="7"/>
  <c r="R237" i="7"/>
  <c r="U237" i="7"/>
  <c r="S237" i="7"/>
  <c r="Q237" i="7"/>
  <c r="E237" i="7"/>
  <c r="D237" i="7"/>
  <c r="B237" i="7"/>
  <c r="H234" i="7"/>
  <c r="J234" i="7"/>
  <c r="I232" i="7"/>
  <c r="H232" i="7"/>
  <c r="E232" i="7"/>
  <c r="J231" i="7"/>
  <c r="E231" i="7"/>
  <c r="K230" i="7"/>
  <c r="J230" i="7"/>
  <c r="E230" i="7"/>
  <c r="K229" i="7"/>
  <c r="J229" i="7"/>
  <c r="I229" i="7"/>
  <c r="H229" i="7"/>
  <c r="F229" i="7"/>
  <c r="K228" i="7"/>
  <c r="J228" i="7"/>
  <c r="I228" i="7"/>
  <c r="H228" i="7"/>
  <c r="F228" i="7"/>
  <c r="K227" i="7"/>
  <c r="J227" i="7"/>
  <c r="I227" i="7"/>
  <c r="H233" i="7" s="1"/>
  <c r="H227" i="7"/>
  <c r="F227" i="7"/>
  <c r="K226" i="7"/>
  <c r="J226" i="7"/>
  <c r="I226" i="7"/>
  <c r="H226" i="7"/>
  <c r="F226" i="7"/>
  <c r="V225" i="7"/>
  <c r="T225" i="7"/>
  <c r="K231" i="7" s="1"/>
  <c r="R225" i="7"/>
  <c r="U225" i="7"/>
  <c r="S225" i="7"/>
  <c r="I231" i="7" s="1"/>
  <c r="Q225" i="7"/>
  <c r="I230" i="7" s="1"/>
  <c r="E225" i="7"/>
  <c r="D225" i="7"/>
  <c r="B225" i="7"/>
  <c r="A224" i="7"/>
  <c r="I222" i="7"/>
  <c r="J222" i="7"/>
  <c r="I221" i="7"/>
  <c r="J221" i="7"/>
  <c r="AQ220" i="7"/>
  <c r="A220" i="7"/>
  <c r="H216" i="7"/>
  <c r="J216" i="7"/>
  <c r="I214" i="7"/>
  <c r="H214" i="7"/>
  <c r="E214" i="7"/>
  <c r="J213" i="7"/>
  <c r="I213" i="7"/>
  <c r="E213" i="7"/>
  <c r="K212" i="7"/>
  <c r="J212" i="7"/>
  <c r="E212" i="7"/>
  <c r="K211" i="7"/>
  <c r="J211" i="7"/>
  <c r="I211" i="7"/>
  <c r="H211" i="7"/>
  <c r="F211" i="7"/>
  <c r="K210" i="7"/>
  <c r="J210" i="7"/>
  <c r="I210" i="7"/>
  <c r="H210" i="7"/>
  <c r="F210" i="7"/>
  <c r="C209" i="7"/>
  <c r="V208" i="7"/>
  <c r="T208" i="7"/>
  <c r="K213" i="7" s="1"/>
  <c r="R208" i="7"/>
  <c r="U208" i="7"/>
  <c r="S208" i="7"/>
  <c r="Q208" i="7"/>
  <c r="I212" i="7" s="1"/>
  <c r="H215" i="7" s="1"/>
  <c r="E208" i="7"/>
  <c r="D208" i="7"/>
  <c r="B208" i="7"/>
  <c r="O206" i="7"/>
  <c r="H205" i="7"/>
  <c r="J205" i="7"/>
  <c r="I203" i="7"/>
  <c r="H203" i="7"/>
  <c r="E203" i="7"/>
  <c r="K202" i="7"/>
  <c r="J204" i="7" s="1"/>
  <c r="J202" i="7"/>
  <c r="E202" i="7"/>
  <c r="K201" i="7"/>
  <c r="J201" i="7"/>
  <c r="E201" i="7"/>
  <c r="K200" i="7"/>
  <c r="J200" i="7"/>
  <c r="I200" i="7"/>
  <c r="H200" i="7"/>
  <c r="F200" i="7"/>
  <c r="C199" i="7"/>
  <c r="V198" i="7"/>
  <c r="T198" i="7"/>
  <c r="R198" i="7"/>
  <c r="U198" i="7"/>
  <c r="S198" i="7"/>
  <c r="I202" i="7" s="1"/>
  <c r="Q198" i="7"/>
  <c r="I201" i="7" s="1"/>
  <c r="E198" i="7"/>
  <c r="D198" i="7"/>
  <c r="B198" i="7"/>
  <c r="H195" i="7"/>
  <c r="J195" i="7"/>
  <c r="I193" i="7"/>
  <c r="H193" i="7"/>
  <c r="E193" i="7"/>
  <c r="K192" i="7"/>
  <c r="J192" i="7"/>
  <c r="E192" i="7"/>
  <c r="J191" i="7"/>
  <c r="E191" i="7"/>
  <c r="K190" i="7"/>
  <c r="J190" i="7"/>
  <c r="I190" i="7"/>
  <c r="H190" i="7"/>
  <c r="F190" i="7"/>
  <c r="K189" i="7"/>
  <c r="J189" i="7"/>
  <c r="I189" i="7"/>
  <c r="H189" i="7"/>
  <c r="F189" i="7"/>
  <c r="K188" i="7"/>
  <c r="J188" i="7"/>
  <c r="I188" i="7"/>
  <c r="H194" i="7" s="1"/>
  <c r="H188" i="7"/>
  <c r="F188" i="7"/>
  <c r="K187" i="7"/>
  <c r="J187" i="7"/>
  <c r="I187" i="7"/>
  <c r="H187" i="7"/>
  <c r="F187" i="7"/>
  <c r="C186" i="7"/>
  <c r="V185" i="7"/>
  <c r="T185" i="7"/>
  <c r="R185" i="7"/>
  <c r="K191" i="7" s="1"/>
  <c r="U185" i="7"/>
  <c r="S185" i="7"/>
  <c r="I192" i="7" s="1"/>
  <c r="Q185" i="7"/>
  <c r="I191" i="7" s="1"/>
  <c r="E185" i="7"/>
  <c r="D185" i="7"/>
  <c r="B185" i="7"/>
  <c r="H182" i="7"/>
  <c r="J182" i="7"/>
  <c r="I180" i="7"/>
  <c r="H180" i="7"/>
  <c r="E180" i="7"/>
  <c r="K179" i="7"/>
  <c r="J179" i="7"/>
  <c r="I179" i="7"/>
  <c r="E179" i="7"/>
  <c r="J178" i="7"/>
  <c r="I178" i="7"/>
  <c r="E178" i="7"/>
  <c r="K177" i="7"/>
  <c r="J177" i="7"/>
  <c r="I177" i="7"/>
  <c r="H183" i="7" s="1"/>
  <c r="H177" i="7"/>
  <c r="F177" i="7"/>
  <c r="K176" i="7"/>
  <c r="J176" i="7"/>
  <c r="I176" i="7"/>
  <c r="H176" i="7"/>
  <c r="F176" i="7"/>
  <c r="K175" i="7"/>
  <c r="J175" i="7"/>
  <c r="I175" i="7"/>
  <c r="H175" i="7"/>
  <c r="F175" i="7"/>
  <c r="K174" i="7"/>
  <c r="J174" i="7"/>
  <c r="I174" i="7"/>
  <c r="H174" i="7"/>
  <c r="F174" i="7"/>
  <c r="V173" i="7"/>
  <c r="T173" i="7"/>
  <c r="R173" i="7"/>
  <c r="K178" i="7" s="1"/>
  <c r="U173" i="7"/>
  <c r="S173" i="7"/>
  <c r="Q173" i="7"/>
  <c r="E173" i="7"/>
  <c r="D173" i="7"/>
  <c r="B173" i="7"/>
  <c r="H170" i="7"/>
  <c r="J171" i="7"/>
  <c r="J170" i="7"/>
  <c r="I168" i="7"/>
  <c r="H168" i="7"/>
  <c r="E168" i="7"/>
  <c r="J167" i="7"/>
  <c r="I167" i="7"/>
  <c r="E167" i="7"/>
  <c r="J166" i="7"/>
  <c r="E166" i="7"/>
  <c r="K165" i="7"/>
  <c r="J165" i="7"/>
  <c r="I165" i="7"/>
  <c r="H165" i="7"/>
  <c r="F165" i="7"/>
  <c r="K164" i="7"/>
  <c r="J164" i="7"/>
  <c r="I164" i="7"/>
  <c r="H164" i="7"/>
  <c r="F164" i="7"/>
  <c r="K163" i="7"/>
  <c r="J163" i="7"/>
  <c r="I163" i="7"/>
  <c r="H163" i="7"/>
  <c r="F163" i="7"/>
  <c r="K162" i="7"/>
  <c r="J162" i="7"/>
  <c r="I162" i="7"/>
  <c r="H162" i="7"/>
  <c r="F162" i="7"/>
  <c r="C161" i="7"/>
  <c r="V160" i="7"/>
  <c r="T160" i="7"/>
  <c r="K167" i="7" s="1"/>
  <c r="R160" i="7"/>
  <c r="K166" i="7" s="1"/>
  <c r="U160" i="7"/>
  <c r="S160" i="7"/>
  <c r="Q160" i="7"/>
  <c r="I166" i="7" s="1"/>
  <c r="E160" i="7"/>
  <c r="D160" i="7"/>
  <c r="B160" i="7"/>
  <c r="H157" i="7"/>
  <c r="J157" i="7"/>
  <c r="I155" i="7"/>
  <c r="H155" i="7"/>
  <c r="E155" i="7"/>
  <c r="J154" i="7"/>
  <c r="I154" i="7"/>
  <c r="O158" i="7" s="1"/>
  <c r="E154" i="7"/>
  <c r="J153" i="7"/>
  <c r="I153" i="7"/>
  <c r="E153" i="7"/>
  <c r="K152" i="7"/>
  <c r="J152" i="7"/>
  <c r="I152" i="7"/>
  <c r="H152" i="7"/>
  <c r="F152" i="7"/>
  <c r="C151" i="7"/>
  <c r="V150" i="7"/>
  <c r="T150" i="7"/>
  <c r="K154" i="7" s="1"/>
  <c r="R150" i="7"/>
  <c r="K153" i="7" s="1"/>
  <c r="J158" i="7" s="1"/>
  <c r="U150" i="7"/>
  <c r="S150" i="7"/>
  <c r="Q150" i="7"/>
  <c r="E150" i="7"/>
  <c r="D150" i="7"/>
  <c r="B150" i="7"/>
  <c r="H147" i="7"/>
  <c r="J147" i="7"/>
  <c r="I145" i="7"/>
  <c r="H145" i="7"/>
  <c r="E145" i="7"/>
  <c r="K144" i="7"/>
  <c r="J144" i="7"/>
  <c r="E144" i="7"/>
  <c r="J143" i="7"/>
  <c r="E143" i="7"/>
  <c r="K142" i="7"/>
  <c r="J142" i="7"/>
  <c r="I142" i="7"/>
  <c r="H142" i="7"/>
  <c r="F142" i="7"/>
  <c r="K141" i="7"/>
  <c r="J141" i="7"/>
  <c r="I141" i="7"/>
  <c r="H141" i="7"/>
  <c r="F141" i="7"/>
  <c r="K140" i="7"/>
  <c r="J140" i="7"/>
  <c r="I140" i="7"/>
  <c r="H146" i="7" s="1"/>
  <c r="H140" i="7"/>
  <c r="F140" i="7"/>
  <c r="K139" i="7"/>
  <c r="J139" i="7"/>
  <c r="I139" i="7"/>
  <c r="H139" i="7"/>
  <c r="F139" i="7"/>
  <c r="C138" i="7"/>
  <c r="V137" i="7"/>
  <c r="T137" i="7"/>
  <c r="R137" i="7"/>
  <c r="K143" i="7" s="1"/>
  <c r="U137" i="7"/>
  <c r="S137" i="7"/>
  <c r="I144" i="7" s="1"/>
  <c r="Q137" i="7"/>
  <c r="I143" i="7" s="1"/>
  <c r="E137" i="7"/>
  <c r="D137" i="7"/>
  <c r="B137" i="7"/>
  <c r="H134" i="7"/>
  <c r="J134" i="7"/>
  <c r="I132" i="7"/>
  <c r="H132" i="7"/>
  <c r="E132" i="7"/>
  <c r="J131" i="7"/>
  <c r="E131" i="7"/>
  <c r="J130" i="7"/>
  <c r="I130" i="7"/>
  <c r="E130" i="7"/>
  <c r="K129" i="7"/>
  <c r="J129" i="7"/>
  <c r="I129" i="7"/>
  <c r="H129" i="7"/>
  <c r="F129" i="7"/>
  <c r="K128" i="7"/>
  <c r="J133" i="7" s="1"/>
  <c r="J128" i="7"/>
  <c r="I128" i="7"/>
  <c r="H128" i="7"/>
  <c r="F128" i="7"/>
  <c r="C127" i="7"/>
  <c r="V126" i="7"/>
  <c r="T126" i="7"/>
  <c r="K131" i="7" s="1"/>
  <c r="R126" i="7"/>
  <c r="K130" i="7" s="1"/>
  <c r="J135" i="7" s="1"/>
  <c r="U126" i="7"/>
  <c r="S126" i="7"/>
  <c r="I131" i="7" s="1"/>
  <c r="Q126" i="7"/>
  <c r="E126" i="7"/>
  <c r="D126" i="7"/>
  <c r="B126" i="7"/>
  <c r="H123" i="7"/>
  <c r="J123" i="7"/>
  <c r="I121" i="7"/>
  <c r="H121" i="7"/>
  <c r="E121" i="7"/>
  <c r="J120" i="7"/>
  <c r="E120" i="7"/>
  <c r="K119" i="7"/>
  <c r="J122" i="7" s="1"/>
  <c r="J119" i="7"/>
  <c r="E119" i="7"/>
  <c r="K118" i="7"/>
  <c r="J118" i="7"/>
  <c r="I118" i="7"/>
  <c r="H118" i="7"/>
  <c r="F118" i="7"/>
  <c r="K117" i="7"/>
  <c r="J117" i="7"/>
  <c r="I117" i="7"/>
  <c r="H117" i="7"/>
  <c r="F117" i="7"/>
  <c r="K116" i="7"/>
  <c r="J116" i="7"/>
  <c r="I116" i="7"/>
  <c r="H116" i="7"/>
  <c r="F116" i="7"/>
  <c r="V115" i="7"/>
  <c r="T115" i="7"/>
  <c r="K120" i="7" s="1"/>
  <c r="R115" i="7"/>
  <c r="U115" i="7"/>
  <c r="S115" i="7"/>
  <c r="I120" i="7" s="1"/>
  <c r="Q115" i="7"/>
  <c r="I119" i="7" s="1"/>
  <c r="E115" i="7"/>
  <c r="D115" i="7"/>
  <c r="B115" i="7"/>
  <c r="H112" i="7"/>
  <c r="J112" i="7"/>
  <c r="I110" i="7"/>
  <c r="H110" i="7"/>
  <c r="E110" i="7"/>
  <c r="J109" i="7"/>
  <c r="E109" i="7"/>
  <c r="K108" i="7"/>
  <c r="J108" i="7"/>
  <c r="E108" i="7"/>
  <c r="K107" i="7"/>
  <c r="J107" i="7"/>
  <c r="I107" i="7"/>
  <c r="H107" i="7"/>
  <c r="F107" i="7"/>
  <c r="K106" i="7"/>
  <c r="J106" i="7"/>
  <c r="I106" i="7"/>
  <c r="H106" i="7"/>
  <c r="F106" i="7"/>
  <c r="K105" i="7"/>
  <c r="J105" i="7"/>
  <c r="I105" i="7"/>
  <c r="H105" i="7"/>
  <c r="F105" i="7"/>
  <c r="C104" i="7"/>
  <c r="V103" i="7"/>
  <c r="T103" i="7"/>
  <c r="K109" i="7" s="1"/>
  <c r="R103" i="7"/>
  <c r="U103" i="7"/>
  <c r="S103" i="7"/>
  <c r="I109" i="7" s="1"/>
  <c r="Q103" i="7"/>
  <c r="I108" i="7" s="1"/>
  <c r="O113" i="7" s="1"/>
  <c r="E103" i="7"/>
  <c r="D103" i="7"/>
  <c r="B103" i="7"/>
  <c r="H100" i="7"/>
  <c r="J100" i="7"/>
  <c r="I98" i="7"/>
  <c r="H98" i="7"/>
  <c r="E98" i="7"/>
  <c r="K97" i="7"/>
  <c r="J97" i="7"/>
  <c r="E97" i="7"/>
  <c r="K96" i="7"/>
  <c r="J96" i="7"/>
  <c r="E96" i="7"/>
  <c r="K95" i="7"/>
  <c r="P101" i="7" s="1"/>
  <c r="J95" i="7"/>
  <c r="I95" i="7"/>
  <c r="H95" i="7"/>
  <c r="F95" i="7"/>
  <c r="V94" i="7"/>
  <c r="T94" i="7"/>
  <c r="R94" i="7"/>
  <c r="U94" i="7"/>
  <c r="S94" i="7"/>
  <c r="I97" i="7" s="1"/>
  <c r="O101" i="7" s="1"/>
  <c r="Q94" i="7"/>
  <c r="I96" i="7" s="1"/>
  <c r="H99" i="7" s="1"/>
  <c r="E94" i="7"/>
  <c r="D94" i="7"/>
  <c r="B94" i="7"/>
  <c r="H91" i="7"/>
  <c r="J91" i="7"/>
  <c r="I89" i="7"/>
  <c r="H89" i="7"/>
  <c r="E89" i="7"/>
  <c r="J88" i="7"/>
  <c r="I88" i="7"/>
  <c r="E88" i="7"/>
  <c r="J87" i="7"/>
  <c r="E87" i="7"/>
  <c r="K86" i="7"/>
  <c r="J86" i="7"/>
  <c r="I86" i="7"/>
  <c r="H86" i="7"/>
  <c r="F86" i="7"/>
  <c r="V85" i="7"/>
  <c r="T85" i="7"/>
  <c r="K88" i="7" s="1"/>
  <c r="R85" i="7"/>
  <c r="K87" i="7" s="1"/>
  <c r="J92" i="7" s="1"/>
  <c r="U85" i="7"/>
  <c r="S85" i="7"/>
  <c r="Q85" i="7"/>
  <c r="I87" i="7" s="1"/>
  <c r="E85" i="7"/>
  <c r="D85" i="7"/>
  <c r="B85" i="7"/>
  <c r="H82" i="7"/>
  <c r="J82" i="7"/>
  <c r="I80" i="7"/>
  <c r="H80" i="7"/>
  <c r="E80" i="7"/>
  <c r="J79" i="7"/>
  <c r="I79" i="7"/>
  <c r="E79" i="7"/>
  <c r="J78" i="7"/>
  <c r="I78" i="7"/>
  <c r="H83" i="7" s="1"/>
  <c r="E78" i="7"/>
  <c r="K77" i="7"/>
  <c r="J77" i="7"/>
  <c r="I77" i="7"/>
  <c r="H77" i="7"/>
  <c r="F77" i="7"/>
  <c r="K76" i="7"/>
  <c r="J76" i="7"/>
  <c r="I76" i="7"/>
  <c r="H76" i="7"/>
  <c r="F76" i="7"/>
  <c r="K75" i="7"/>
  <c r="J83" i="7" s="1"/>
  <c r="J75" i="7"/>
  <c r="I75" i="7"/>
  <c r="H81" i="7" s="1"/>
  <c r="H75" i="7"/>
  <c r="F75" i="7"/>
  <c r="V74" i="7"/>
  <c r="T74" i="7"/>
  <c r="K79" i="7" s="1"/>
  <c r="R74" i="7"/>
  <c r="K78" i="7" s="1"/>
  <c r="U74" i="7"/>
  <c r="S74" i="7"/>
  <c r="Q74" i="7"/>
  <c r="E74" i="7"/>
  <c r="D74" i="7"/>
  <c r="B74" i="7"/>
  <c r="H71" i="7"/>
  <c r="J71" i="7"/>
  <c r="I69" i="7"/>
  <c r="H69" i="7"/>
  <c r="E69" i="7"/>
  <c r="J68" i="7"/>
  <c r="E68" i="7"/>
  <c r="K67" i="7"/>
  <c r="J67" i="7"/>
  <c r="I67" i="7"/>
  <c r="E67" i="7"/>
  <c r="K66" i="7"/>
  <c r="J66" i="7"/>
  <c r="I66" i="7"/>
  <c r="H66" i="7"/>
  <c r="F66" i="7"/>
  <c r="K65" i="7"/>
  <c r="J65" i="7"/>
  <c r="I65" i="7"/>
  <c r="H65" i="7"/>
  <c r="F65" i="7"/>
  <c r="C64" i="7"/>
  <c r="V63" i="7"/>
  <c r="T63" i="7"/>
  <c r="K68" i="7" s="1"/>
  <c r="J72" i="7" s="1"/>
  <c r="R63" i="7"/>
  <c r="U63" i="7"/>
  <c r="S63" i="7"/>
  <c r="I68" i="7" s="1"/>
  <c r="Q63" i="7"/>
  <c r="E63" i="7"/>
  <c r="D63" i="7"/>
  <c r="B63" i="7"/>
  <c r="H60" i="7"/>
  <c r="J60" i="7"/>
  <c r="I58" i="7"/>
  <c r="H58" i="7"/>
  <c r="E58" i="7"/>
  <c r="K57" i="7"/>
  <c r="J57" i="7"/>
  <c r="E57" i="7"/>
  <c r="J56" i="7"/>
  <c r="E56" i="7"/>
  <c r="K55" i="7"/>
  <c r="J55" i="7"/>
  <c r="I55" i="7"/>
  <c r="H55" i="7"/>
  <c r="F55" i="7"/>
  <c r="K54" i="7"/>
  <c r="P61" i="7" s="1"/>
  <c r="J54" i="7"/>
  <c r="I54" i="7"/>
  <c r="H54" i="7"/>
  <c r="F54" i="7"/>
  <c r="V53" i="7"/>
  <c r="T53" i="7"/>
  <c r="R53" i="7"/>
  <c r="K56" i="7" s="1"/>
  <c r="U53" i="7"/>
  <c r="S53" i="7"/>
  <c r="I57" i="7" s="1"/>
  <c r="Q53" i="7"/>
  <c r="I56" i="7" s="1"/>
  <c r="E53" i="7"/>
  <c r="D53" i="7"/>
  <c r="B53" i="7"/>
  <c r="H50" i="7"/>
  <c r="J50" i="7"/>
  <c r="I48" i="7"/>
  <c r="H48" i="7"/>
  <c r="E48" i="7"/>
  <c r="J47" i="7"/>
  <c r="E47" i="7"/>
  <c r="J46" i="7"/>
  <c r="I46" i="7"/>
  <c r="E46" i="7"/>
  <c r="K45" i="7"/>
  <c r="J45" i="7"/>
  <c r="I45" i="7"/>
  <c r="H45" i="7"/>
  <c r="F45" i="7"/>
  <c r="K44" i="7"/>
  <c r="J44" i="7"/>
  <c r="I44" i="7"/>
  <c r="H44" i="7"/>
  <c r="F44" i="7"/>
  <c r="V43" i="7"/>
  <c r="T43" i="7"/>
  <c r="K47" i="7" s="1"/>
  <c r="R43" i="7"/>
  <c r="K46" i="7" s="1"/>
  <c r="J51" i="7" s="1"/>
  <c r="U43" i="7"/>
  <c r="S43" i="7"/>
  <c r="I47" i="7" s="1"/>
  <c r="Q43" i="7"/>
  <c r="E43" i="7"/>
  <c r="D43" i="7"/>
  <c r="B43" i="7"/>
  <c r="H40" i="7"/>
  <c r="J40" i="7"/>
  <c r="I38" i="7"/>
  <c r="H38" i="7"/>
  <c r="E38" i="7"/>
  <c r="J37" i="7"/>
  <c r="E37" i="7"/>
  <c r="K36" i="7"/>
  <c r="J36" i="7"/>
  <c r="E36" i="7"/>
  <c r="K35" i="7"/>
  <c r="J35" i="7"/>
  <c r="I35" i="7"/>
  <c r="H35" i="7"/>
  <c r="F35" i="7"/>
  <c r="K34" i="7"/>
  <c r="J34" i="7"/>
  <c r="I34" i="7"/>
  <c r="H34" i="7"/>
  <c r="F34" i="7"/>
  <c r="K33" i="7"/>
  <c r="J41" i="7" s="1"/>
  <c r="J33" i="7"/>
  <c r="I33" i="7"/>
  <c r="H33" i="7"/>
  <c r="F33" i="7"/>
  <c r="V32" i="7"/>
  <c r="T32" i="7"/>
  <c r="K37" i="7" s="1"/>
  <c r="R32" i="7"/>
  <c r="U32" i="7"/>
  <c r="S32" i="7"/>
  <c r="I37" i="7" s="1"/>
  <c r="Q32" i="7"/>
  <c r="I36" i="7" s="1"/>
  <c r="E32" i="7"/>
  <c r="D32" i="7"/>
  <c r="B32" i="7"/>
  <c r="AP31" i="7"/>
  <c r="A31" i="7"/>
  <c r="A29" i="7"/>
  <c r="A11" i="7"/>
  <c r="A6" i="7"/>
  <c r="A1" i="7"/>
  <c r="H49" i="7" l="1"/>
  <c r="J59" i="7"/>
  <c r="H70" i="7"/>
  <c r="J194" i="7"/>
  <c r="P41" i="7"/>
  <c r="J39" i="7"/>
  <c r="H51" i="7"/>
  <c r="H59" i="7"/>
  <c r="O61" i="7"/>
  <c r="P72" i="7"/>
  <c r="J111" i="7"/>
  <c r="J473" i="7"/>
  <c r="O41" i="7"/>
  <c r="J49" i="7"/>
  <c r="J70" i="7"/>
  <c r="H171" i="7"/>
  <c r="P158" i="7"/>
  <c r="J217" i="7"/>
  <c r="H388" i="7"/>
  <c r="O51" i="7"/>
  <c r="O83" i="7"/>
  <c r="O277" i="7"/>
  <c r="P307" i="7"/>
  <c r="J307" i="7"/>
  <c r="H346" i="7"/>
  <c r="J359" i="7"/>
  <c r="H364" i="7"/>
  <c r="J374" i="7"/>
  <c r="P376" i="7"/>
  <c r="H379" i="7"/>
  <c r="O379" i="7"/>
  <c r="H391" i="7"/>
  <c r="O391" i="7"/>
  <c r="K434" i="7"/>
  <c r="J437" i="7" s="1"/>
  <c r="H451" i="7"/>
  <c r="H453" i="7"/>
  <c r="I471" i="7"/>
  <c r="O475" i="7" s="1"/>
  <c r="H573" i="7" s="1"/>
  <c r="H475" i="7"/>
  <c r="P475" i="7"/>
  <c r="J573" i="7" s="1"/>
  <c r="H478" i="7"/>
  <c r="I504" i="7"/>
  <c r="H508" i="7" s="1"/>
  <c r="O508" i="7"/>
  <c r="H506" i="7"/>
  <c r="J156" i="7"/>
  <c r="J181" i="7"/>
  <c r="P183" i="7"/>
  <c r="H361" i="7"/>
  <c r="H359" i="7"/>
  <c r="J422" i="7"/>
  <c r="P422" i="7"/>
  <c r="J439" i="7"/>
  <c r="P490" i="7"/>
  <c r="J488" i="7"/>
  <c r="H536" i="7"/>
  <c r="O538" i="7"/>
  <c r="P51" i="7"/>
  <c r="H72" i="7"/>
  <c r="P83" i="7"/>
  <c r="O92" i="7"/>
  <c r="H92" i="7"/>
  <c r="J101" i="7"/>
  <c r="H113" i="7"/>
  <c r="P113" i="7"/>
  <c r="P148" i="7"/>
  <c r="J148" i="7"/>
  <c r="H206" i="7"/>
  <c r="H204" i="7"/>
  <c r="J235" i="7"/>
  <c r="J233" i="7"/>
  <c r="P289" i="7"/>
  <c r="J289" i="7"/>
  <c r="H41" i="7"/>
  <c r="J61" i="7"/>
  <c r="H61" i="7"/>
  <c r="O72" i="7"/>
  <c r="J81" i="7"/>
  <c r="H90" i="7"/>
  <c r="H111" i="7"/>
  <c r="P124" i="7"/>
  <c r="H133" i="7"/>
  <c r="O135" i="7"/>
  <c r="H135" i="7"/>
  <c r="J146" i="7"/>
  <c r="H156" i="7"/>
  <c r="H158" i="7"/>
  <c r="J169" i="7"/>
  <c r="P171" i="7"/>
  <c r="O183" i="7"/>
  <c r="O196" i="7"/>
  <c r="P235" i="7"/>
  <c r="J238" i="7"/>
  <c r="P238" i="7"/>
  <c r="J250" i="7"/>
  <c r="O253" i="7"/>
  <c r="H265" i="7"/>
  <c r="H263" i="7"/>
  <c r="H277" i="7"/>
  <c r="H280" i="7"/>
  <c r="J302" i="7"/>
  <c r="J315" i="7"/>
  <c r="J330" i="7"/>
  <c r="J376" i="7"/>
  <c r="H406" i="7"/>
  <c r="O408" i="7"/>
  <c r="H425" i="7"/>
  <c r="J451" i="7"/>
  <c r="O453" i="7"/>
  <c r="H473" i="7"/>
  <c r="J490" i="7"/>
  <c r="P493" i="7"/>
  <c r="J493" i="7"/>
  <c r="K534" i="7"/>
  <c r="J538" i="7" s="1"/>
  <c r="J552" i="7"/>
  <c r="J550" i="7"/>
  <c r="P552" i="7"/>
  <c r="J563" i="7"/>
  <c r="H39" i="7"/>
  <c r="O124" i="7"/>
  <c r="H124" i="7"/>
  <c r="H122" i="7"/>
  <c r="H169" i="7"/>
  <c r="P196" i="7"/>
  <c r="J196" i="7"/>
  <c r="P92" i="7"/>
  <c r="J90" i="7"/>
  <c r="H101" i="7"/>
  <c r="J99" i="7"/>
  <c r="J113" i="7"/>
  <c r="O148" i="7"/>
  <c r="H181" i="7"/>
  <c r="J183" i="7"/>
  <c r="P217" i="7"/>
  <c r="J215" i="7"/>
  <c r="H248" i="7"/>
  <c r="H250" i="7"/>
  <c r="O317" i="7"/>
  <c r="H315" i="7"/>
  <c r="H317" i="7"/>
  <c r="O330" i="7"/>
  <c r="H328" i="7"/>
  <c r="H330" i="7"/>
  <c r="J344" i="7"/>
  <c r="J346" i="7"/>
  <c r="P349" i="7"/>
  <c r="J349" i="7"/>
  <c r="P361" i="7"/>
  <c r="P385" i="7"/>
  <c r="J385" i="7"/>
  <c r="J406" i="7"/>
  <c r="J420" i="7"/>
  <c r="K449" i="7"/>
  <c r="J453" i="7" s="1"/>
  <c r="P453" i="7"/>
  <c r="J475" i="7"/>
  <c r="K503" i="7"/>
  <c r="J508" i="7" s="1"/>
  <c r="P521" i="7"/>
  <c r="H538" i="7"/>
  <c r="H521" i="7"/>
  <c r="O521" i="7"/>
  <c r="H524" i="7"/>
  <c r="P538" i="7"/>
  <c r="O563" i="7"/>
  <c r="H563" i="7"/>
  <c r="J124" i="7"/>
  <c r="P135" i="7"/>
  <c r="H148" i="7"/>
  <c r="O171" i="7"/>
  <c r="H196" i="7"/>
  <c r="J206" i="7"/>
  <c r="P206" i="7"/>
  <c r="O217" i="7"/>
  <c r="H217" i="7"/>
  <c r="J248" i="7"/>
  <c r="P317" i="7"/>
  <c r="J361" i="7"/>
  <c r="H374" i="7"/>
  <c r="H394" i="7"/>
  <c r="P408" i="7"/>
  <c r="K435" i="7"/>
  <c r="P439" i="7" s="1"/>
  <c r="H437" i="7"/>
  <c r="O439" i="7"/>
  <c r="O490" i="7"/>
  <c r="I548" i="7"/>
  <c r="O552" i="7" s="1"/>
  <c r="H552" i="7"/>
  <c r="H550" i="7"/>
  <c r="J570" i="7"/>
  <c r="H235" i="7"/>
  <c r="O235" i="7"/>
  <c r="H286" i="7"/>
  <c r="P304" i="7"/>
  <c r="J320" i="7"/>
  <c r="P330" i="7"/>
  <c r="H344" i="7"/>
  <c r="O346" i="7"/>
  <c r="I418" i="7"/>
  <c r="O422" i="7" s="1"/>
  <c r="H422" i="7"/>
  <c r="H420" i="7"/>
  <c r="H490" i="7"/>
  <c r="P508" i="7"/>
  <c r="J506" i="7"/>
  <c r="J521" i="7"/>
  <c r="H519" i="7"/>
  <c r="P563" i="7"/>
  <c r="H56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1" i="3"/>
  <c r="Y1" i="3"/>
  <c r="CX1" i="3" s="1"/>
  <c r="CU1" i="3"/>
  <c r="CY1" i="3"/>
  <c r="CZ1" i="3"/>
  <c r="DB1" i="3" s="1"/>
  <c r="DA1" i="3"/>
  <c r="DC1" i="3"/>
  <c r="A2" i="3"/>
  <c r="Y2" i="3"/>
  <c r="CU2" i="3"/>
  <c r="CV2" i="3"/>
  <c r="CX2" i="3"/>
  <c r="DI2" i="3" s="1"/>
  <c r="DJ2" i="3" s="1"/>
  <c r="CY2" i="3"/>
  <c r="CZ2" i="3"/>
  <c r="DB2" i="3" s="1"/>
  <c r="DA2" i="3"/>
  <c r="DC2" i="3"/>
  <c r="DF2" i="3"/>
  <c r="DG2" i="3"/>
  <c r="DH2" i="3"/>
  <c r="A3" i="3"/>
  <c r="Y3" i="3"/>
  <c r="CV3" i="3" s="1"/>
  <c r="CU3" i="3"/>
  <c r="CX3" i="3"/>
  <c r="DF3" i="3" s="1"/>
  <c r="CY3" i="3"/>
  <c r="CZ3" i="3"/>
  <c r="DA3" i="3"/>
  <c r="DB3" i="3"/>
  <c r="DC3" i="3"/>
  <c r="DH3" i="3"/>
  <c r="A4" i="3"/>
  <c r="Y4" i="3"/>
  <c r="CV4" i="3" s="1"/>
  <c r="CU4" i="3"/>
  <c r="CY4" i="3"/>
  <c r="CZ4" i="3"/>
  <c r="DB4" i="3" s="1"/>
  <c r="DA4" i="3"/>
  <c r="DC4" i="3"/>
  <c r="A5" i="3"/>
  <c r="Y5" i="3"/>
  <c r="CX5" i="3" s="1"/>
  <c r="CU5" i="3"/>
  <c r="CV5" i="3"/>
  <c r="CY5" i="3"/>
  <c r="CZ5" i="3"/>
  <c r="DB5" i="3" s="1"/>
  <c r="DA5" i="3"/>
  <c r="DC5" i="3"/>
  <c r="A6" i="3"/>
  <c r="Y6" i="3"/>
  <c r="CW6" i="3"/>
  <c r="CX6" i="3"/>
  <c r="DF6" i="3" s="1"/>
  <c r="CY6" i="3"/>
  <c r="CZ6" i="3"/>
  <c r="DA6" i="3"/>
  <c r="DB6" i="3"/>
  <c r="DC6" i="3"/>
  <c r="DH6" i="3"/>
  <c r="A7" i="3"/>
  <c r="Y7" i="3"/>
  <c r="CX7" i="3" s="1"/>
  <c r="CY7" i="3"/>
  <c r="CZ7" i="3"/>
  <c r="DB7" i="3" s="1"/>
  <c r="DA7" i="3"/>
  <c r="DC7" i="3"/>
  <c r="A8" i="3"/>
  <c r="Y8" i="3"/>
  <c r="CX8" i="3"/>
  <c r="DG8" i="3" s="1"/>
  <c r="CY8" i="3"/>
  <c r="CZ8" i="3"/>
  <c r="DA8" i="3"/>
  <c r="DB8" i="3"/>
  <c r="DC8" i="3"/>
  <c r="DH8" i="3"/>
  <c r="DI8" i="3"/>
  <c r="A9" i="3"/>
  <c r="Y9" i="3"/>
  <c r="CX9" i="3"/>
  <c r="DF9" i="3" s="1"/>
  <c r="DJ9" i="3" s="1"/>
  <c r="CY9" i="3"/>
  <c r="CZ9" i="3"/>
  <c r="DA9" i="3"/>
  <c r="DB9" i="3"/>
  <c r="DC9" i="3"/>
  <c r="DH9" i="3"/>
  <c r="A10" i="3"/>
  <c r="Y10" i="3"/>
  <c r="CX10" i="3" s="1"/>
  <c r="CY10" i="3"/>
  <c r="CZ10" i="3"/>
  <c r="DB10" i="3" s="1"/>
  <c r="DA10" i="3"/>
  <c r="DC10" i="3"/>
  <c r="A11" i="3"/>
  <c r="Y11" i="3"/>
  <c r="CX11" i="3" s="1"/>
  <c r="CY11" i="3"/>
  <c r="CZ11" i="3"/>
  <c r="DB11" i="3" s="1"/>
  <c r="DA11" i="3"/>
  <c r="DC11" i="3"/>
  <c r="A12" i="3"/>
  <c r="Y12" i="3"/>
  <c r="CX12" i="3"/>
  <c r="DG12" i="3" s="1"/>
  <c r="CY12" i="3"/>
  <c r="CZ12" i="3"/>
  <c r="DA12" i="3"/>
  <c r="DB12" i="3"/>
  <c r="DC12" i="3"/>
  <c r="DH12" i="3"/>
  <c r="DI12" i="3"/>
  <c r="A13" i="3"/>
  <c r="Y13" i="3"/>
  <c r="CX13" i="3"/>
  <c r="DF13" i="3" s="1"/>
  <c r="DJ13" i="3" s="1"/>
  <c r="CY13" i="3"/>
  <c r="CZ13" i="3"/>
  <c r="DA13" i="3"/>
  <c r="DB13" i="3"/>
  <c r="DC13" i="3"/>
  <c r="DH13" i="3"/>
  <c r="A14" i="3"/>
  <c r="Y14" i="3"/>
  <c r="CV14" i="3" s="1"/>
  <c r="CU14" i="3"/>
  <c r="CY14" i="3"/>
  <c r="CZ14" i="3"/>
  <c r="DA14" i="3"/>
  <c r="DB14" i="3"/>
  <c r="DC14" i="3"/>
  <c r="A15" i="3"/>
  <c r="Y15" i="3"/>
  <c r="CX15" i="3" s="1"/>
  <c r="CW15" i="3"/>
  <c r="CY15" i="3"/>
  <c r="CZ15" i="3"/>
  <c r="DB15" i="3" s="1"/>
  <c r="DA15" i="3"/>
  <c r="DC15" i="3"/>
  <c r="A16" i="3"/>
  <c r="Y16" i="3"/>
  <c r="CW16" i="3" s="1"/>
  <c r="CX16" i="3"/>
  <c r="DG16" i="3" s="1"/>
  <c r="DJ16" i="3" s="1"/>
  <c r="CY16" i="3"/>
  <c r="CZ16" i="3"/>
  <c r="DA16" i="3"/>
  <c r="DB16" i="3"/>
  <c r="DC16" i="3"/>
  <c r="DH16" i="3"/>
  <c r="DI16" i="3"/>
  <c r="A17" i="3"/>
  <c r="Y17" i="3"/>
  <c r="CX17" i="3"/>
  <c r="DF17" i="3" s="1"/>
  <c r="DJ17" i="3" s="1"/>
  <c r="CY17" i="3"/>
  <c r="CZ17" i="3"/>
  <c r="DA17" i="3"/>
  <c r="DB17" i="3"/>
  <c r="DC17" i="3"/>
  <c r="DH17" i="3"/>
  <c r="A18" i="3"/>
  <c r="Y18" i="3"/>
  <c r="CX18" i="3" s="1"/>
  <c r="CY18" i="3"/>
  <c r="CZ18" i="3"/>
  <c r="DB18" i="3" s="1"/>
  <c r="DA18" i="3"/>
  <c r="DC18" i="3"/>
  <c r="A19" i="3"/>
  <c r="Y19" i="3"/>
  <c r="CX19" i="3"/>
  <c r="DG19" i="3" s="1"/>
  <c r="CY19" i="3"/>
  <c r="CZ19" i="3"/>
  <c r="DB19" i="3" s="1"/>
  <c r="DA19" i="3"/>
  <c r="DC19" i="3"/>
  <c r="DF19" i="3"/>
  <c r="DH19" i="3"/>
  <c r="DI19" i="3"/>
  <c r="DJ19" i="3"/>
  <c r="A20" i="3"/>
  <c r="Y20" i="3"/>
  <c r="CX20" i="3"/>
  <c r="DG20" i="3" s="1"/>
  <c r="CY20" i="3"/>
  <c r="CZ20" i="3"/>
  <c r="DA20" i="3"/>
  <c r="DB20" i="3"/>
  <c r="DC20" i="3"/>
  <c r="DH20" i="3"/>
  <c r="DI20" i="3"/>
  <c r="A21" i="3"/>
  <c r="Y21" i="3"/>
  <c r="CX21" i="3"/>
  <c r="DF21" i="3" s="1"/>
  <c r="DJ21" i="3" s="1"/>
  <c r="CY21" i="3"/>
  <c r="CZ21" i="3"/>
  <c r="DA21" i="3"/>
  <c r="DB21" i="3"/>
  <c r="DC21" i="3"/>
  <c r="DH21" i="3"/>
  <c r="A22" i="3"/>
  <c r="Y22" i="3"/>
  <c r="CX22" i="3" s="1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A30" i="3"/>
  <c r="DB30" i="3"/>
  <c r="DC30" i="3"/>
  <c r="A31" i="3"/>
  <c r="Y31" i="3"/>
  <c r="CY31" i="3"/>
  <c r="CZ31" i="3"/>
  <c r="DB31" i="3" s="1"/>
  <c r="DA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B34" i="3" s="1"/>
  <c r="DA34" i="3"/>
  <c r="DC34" i="3"/>
  <c r="A35" i="3"/>
  <c r="Y35" i="3"/>
  <c r="CU35" i="3"/>
  <c r="CV35" i="3"/>
  <c r="CX35" i="3"/>
  <c r="DF35" i="3" s="1"/>
  <c r="CY35" i="3"/>
  <c r="CZ35" i="3"/>
  <c r="DA35" i="3"/>
  <c r="DB35" i="3"/>
  <c r="DC35" i="3"/>
  <c r="DH35" i="3"/>
  <c r="A36" i="3"/>
  <c r="Y36" i="3"/>
  <c r="CV36" i="3" s="1"/>
  <c r="CU36" i="3"/>
  <c r="CY36" i="3"/>
  <c r="CZ36" i="3"/>
  <c r="DA36" i="3"/>
  <c r="DB36" i="3"/>
  <c r="DC36" i="3"/>
  <c r="A37" i="3"/>
  <c r="Y37" i="3"/>
  <c r="CX37" i="3" s="1"/>
  <c r="CU37" i="3"/>
  <c r="CY37" i="3"/>
  <c r="CZ37" i="3"/>
  <c r="DB37" i="3" s="1"/>
  <c r="DA37" i="3"/>
  <c r="DC37" i="3"/>
  <c r="A38" i="3"/>
  <c r="Y38" i="3"/>
  <c r="CX38" i="3"/>
  <c r="DG38" i="3" s="1"/>
  <c r="CY38" i="3"/>
  <c r="CZ38" i="3"/>
  <c r="DA38" i="3"/>
  <c r="DB38" i="3"/>
  <c r="DC38" i="3"/>
  <c r="DH38" i="3"/>
  <c r="DI38" i="3"/>
  <c r="A39" i="3"/>
  <c r="Y39" i="3"/>
  <c r="CX39" i="3"/>
  <c r="DF39" i="3" s="1"/>
  <c r="DJ39" i="3" s="1"/>
  <c r="CY39" i="3"/>
  <c r="CZ39" i="3"/>
  <c r="DA39" i="3"/>
  <c r="DB39" i="3"/>
  <c r="DC39" i="3"/>
  <c r="DH39" i="3"/>
  <c r="A40" i="3"/>
  <c r="Y40" i="3"/>
  <c r="CV40" i="3" s="1"/>
  <c r="CU40" i="3"/>
  <c r="CY40" i="3"/>
  <c r="CZ40" i="3"/>
  <c r="DA40" i="3"/>
  <c r="DB40" i="3"/>
  <c r="DC40" i="3"/>
  <c r="A41" i="3"/>
  <c r="Y41" i="3"/>
  <c r="CX41" i="3"/>
  <c r="CY41" i="3"/>
  <c r="CZ41" i="3"/>
  <c r="DA41" i="3"/>
  <c r="DB41" i="3"/>
  <c r="DC41" i="3"/>
  <c r="DF41" i="3"/>
  <c r="DG41" i="3"/>
  <c r="DH41" i="3"/>
  <c r="DI41" i="3"/>
  <c r="DJ41" i="3"/>
  <c r="A42" i="3"/>
  <c r="Y42" i="3"/>
  <c r="CX42" i="3" s="1"/>
  <c r="CY42" i="3"/>
  <c r="CZ42" i="3"/>
  <c r="DA42" i="3"/>
  <c r="DB42" i="3"/>
  <c r="DC42" i="3"/>
  <c r="A43" i="3"/>
  <c r="Y43" i="3"/>
  <c r="CV43" i="3" s="1"/>
  <c r="CU43" i="3"/>
  <c r="CY43" i="3"/>
  <c r="CZ43" i="3"/>
  <c r="DB43" i="3" s="1"/>
  <c r="DA43" i="3"/>
  <c r="DC43" i="3"/>
  <c r="A44" i="3"/>
  <c r="Y44" i="3"/>
  <c r="CU44" i="3"/>
  <c r="CV44" i="3"/>
  <c r="CX44" i="3"/>
  <c r="DI44" i="3" s="1"/>
  <c r="DJ44" i="3" s="1"/>
  <c r="CY44" i="3"/>
  <c r="CZ44" i="3"/>
  <c r="DA44" i="3"/>
  <c r="DB44" i="3"/>
  <c r="DC44" i="3"/>
  <c r="DF44" i="3"/>
  <c r="DG44" i="3"/>
  <c r="DH44" i="3"/>
  <c r="A45" i="3"/>
  <c r="Y45" i="3"/>
  <c r="CY45" i="3"/>
  <c r="CZ45" i="3"/>
  <c r="DA45" i="3"/>
  <c r="DB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A50" i="3"/>
  <c r="DB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U57" i="3"/>
  <c r="CV57" i="3"/>
  <c r="CX57" i="3"/>
  <c r="CY57" i="3"/>
  <c r="CZ57" i="3"/>
  <c r="DB57" i="3" s="1"/>
  <c r="DA57" i="3"/>
  <c r="DC57" i="3"/>
  <c r="DF57" i="3"/>
  <c r="DG57" i="3"/>
  <c r="DH57" i="3"/>
  <c r="DI57" i="3"/>
  <c r="DJ57" i="3"/>
  <c r="A58" i="3"/>
  <c r="Y58" i="3"/>
  <c r="CU58" i="3"/>
  <c r="CV58" i="3"/>
  <c r="CX58" i="3"/>
  <c r="CY58" i="3"/>
  <c r="CZ58" i="3"/>
  <c r="DA58" i="3"/>
  <c r="DB58" i="3"/>
  <c r="DC58" i="3"/>
  <c r="DH58" i="3"/>
  <c r="A59" i="3"/>
  <c r="Y59" i="3"/>
  <c r="CY59" i="3"/>
  <c r="CZ59" i="3"/>
  <c r="DA59" i="3"/>
  <c r="DB59" i="3"/>
  <c r="DC59" i="3"/>
  <c r="A60" i="3"/>
  <c r="Y60" i="3"/>
  <c r="CY60" i="3"/>
  <c r="CZ60" i="3"/>
  <c r="DB60" i="3" s="1"/>
  <c r="DA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A62" i="3"/>
  <c r="DB62" i="3"/>
  <c r="DC62" i="3"/>
  <c r="A63" i="3"/>
  <c r="Y63" i="3"/>
  <c r="CY63" i="3"/>
  <c r="CZ63" i="3"/>
  <c r="DB63" i="3" s="1"/>
  <c r="DA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B65" i="3" s="1"/>
  <c r="DA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B67" i="3" s="1"/>
  <c r="DA67" i="3"/>
  <c r="DC67" i="3"/>
  <c r="A68" i="3"/>
  <c r="Y68" i="3"/>
  <c r="CY68" i="3"/>
  <c r="CZ68" i="3"/>
  <c r="DA68" i="3"/>
  <c r="DB68" i="3"/>
  <c r="DC68" i="3"/>
  <c r="A69" i="3"/>
  <c r="Y69" i="3"/>
  <c r="CY69" i="3"/>
  <c r="CZ69" i="3"/>
  <c r="DB69" i="3" s="1"/>
  <c r="DA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A71" i="3"/>
  <c r="DB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B79" i="3" s="1"/>
  <c r="DA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A82" i="3"/>
  <c r="DB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B87" i="3" s="1"/>
  <c r="DA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B89" i="3" s="1"/>
  <c r="DA89" i="3"/>
  <c r="DC89" i="3"/>
  <c r="A90" i="3"/>
  <c r="Y90" i="3"/>
  <c r="CY90" i="3"/>
  <c r="CZ90" i="3"/>
  <c r="DA90" i="3"/>
  <c r="DB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U95" i="3"/>
  <c r="CV95" i="3"/>
  <c r="CX95" i="3"/>
  <c r="DI95" i="3" s="1"/>
  <c r="CY95" i="3"/>
  <c r="CZ95" i="3"/>
  <c r="DB95" i="3" s="1"/>
  <c r="DA95" i="3"/>
  <c r="DC95" i="3"/>
  <c r="DF95" i="3"/>
  <c r="DG95" i="3"/>
  <c r="DH95" i="3"/>
  <c r="DJ95" i="3"/>
  <c r="A96" i="3"/>
  <c r="Y96" i="3"/>
  <c r="CW96" i="3" s="1"/>
  <c r="CX96" i="3"/>
  <c r="CY96" i="3"/>
  <c r="CZ96" i="3"/>
  <c r="DA96" i="3"/>
  <c r="DB96" i="3"/>
  <c r="DC96" i="3"/>
  <c r="DH96" i="3"/>
  <c r="A97" i="3"/>
  <c r="Y97" i="3"/>
  <c r="CY97" i="3"/>
  <c r="CZ97" i="3"/>
  <c r="DB97" i="3" s="1"/>
  <c r="DA97" i="3"/>
  <c r="DC97" i="3"/>
  <c r="A98" i="3"/>
  <c r="Y98" i="3"/>
  <c r="CX98" i="3" s="1"/>
  <c r="CY98" i="3"/>
  <c r="CZ98" i="3"/>
  <c r="DB98" i="3" s="1"/>
  <c r="DA98" i="3"/>
  <c r="DC98" i="3"/>
  <c r="DI98" i="3"/>
  <c r="A99" i="3"/>
  <c r="Y99" i="3"/>
  <c r="CU99" i="3"/>
  <c r="CV99" i="3"/>
  <c r="CX99" i="3"/>
  <c r="DI99" i="3" s="1"/>
  <c r="CY99" i="3"/>
  <c r="CZ99" i="3"/>
  <c r="DB99" i="3" s="1"/>
  <c r="DA99" i="3"/>
  <c r="DC99" i="3"/>
  <c r="DF99" i="3"/>
  <c r="DG99" i="3"/>
  <c r="DH99" i="3"/>
  <c r="DJ99" i="3"/>
  <c r="A100" i="3"/>
  <c r="Y100" i="3"/>
  <c r="CW100" i="3" s="1"/>
  <c r="CX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X102" i="3" s="1"/>
  <c r="CY102" i="3"/>
  <c r="CZ102" i="3"/>
  <c r="DB102" i="3" s="1"/>
  <c r="DA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B116" i="3" s="1"/>
  <c r="DA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A120" i="3"/>
  <c r="DB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B122" i="3" s="1"/>
  <c r="DA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A124" i="3"/>
  <c r="DB124" i="3"/>
  <c r="DC124" i="3"/>
  <c r="A125" i="3"/>
  <c r="Y125" i="3"/>
  <c r="CY125" i="3"/>
  <c r="CZ125" i="3"/>
  <c r="DA125" i="3"/>
  <c r="DB125" i="3"/>
  <c r="DC125" i="3"/>
  <c r="A126" i="3"/>
  <c r="Y126" i="3"/>
  <c r="CY126" i="3"/>
  <c r="CZ126" i="3"/>
  <c r="DB126" i="3" s="1"/>
  <c r="DA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A128" i="3"/>
  <c r="DB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B130" i="3" s="1"/>
  <c r="DA130" i="3"/>
  <c r="DC130" i="3"/>
  <c r="A131" i="3"/>
  <c r="Y131" i="3"/>
  <c r="CX131" i="3" s="1"/>
  <c r="DG131" i="3" s="1"/>
  <c r="CU131" i="3"/>
  <c r="CV131" i="3"/>
  <c r="CY131" i="3"/>
  <c r="CZ131" i="3"/>
  <c r="DB131" i="3" s="1"/>
  <c r="DA131" i="3"/>
  <c r="DC131" i="3"/>
  <c r="A132" i="3"/>
  <c r="Y132" i="3"/>
  <c r="CU132" i="3"/>
  <c r="CV132" i="3"/>
  <c r="CX132" i="3"/>
  <c r="CY132" i="3"/>
  <c r="CZ132" i="3"/>
  <c r="DA132" i="3"/>
  <c r="DB132" i="3"/>
  <c r="DC132" i="3"/>
  <c r="DH132" i="3"/>
  <c r="A133" i="3"/>
  <c r="Y133" i="3"/>
  <c r="CU133" i="3"/>
  <c r="CY133" i="3"/>
  <c r="CZ133" i="3"/>
  <c r="DB133" i="3" s="1"/>
  <c r="DA133" i="3"/>
  <c r="DC133" i="3"/>
  <c r="A134" i="3"/>
  <c r="Y134" i="3"/>
  <c r="CX134" i="3" s="1"/>
  <c r="DF134" i="3" s="1"/>
  <c r="CU134" i="3"/>
  <c r="CV134" i="3"/>
  <c r="CY134" i="3"/>
  <c r="CZ134" i="3"/>
  <c r="DB134" i="3" s="1"/>
  <c r="DA134" i="3"/>
  <c r="DC134" i="3"/>
  <c r="A135" i="3"/>
  <c r="Y135" i="3"/>
  <c r="CU135" i="3"/>
  <c r="CV135" i="3"/>
  <c r="CX135" i="3"/>
  <c r="DF135" i="3" s="1"/>
  <c r="CY135" i="3"/>
  <c r="CZ135" i="3"/>
  <c r="DA135" i="3"/>
  <c r="DB135" i="3"/>
  <c r="DC135" i="3"/>
  <c r="DG135" i="3"/>
  <c r="DH135" i="3"/>
  <c r="A136" i="3"/>
  <c r="Y136" i="3"/>
  <c r="CX136" i="3" s="1"/>
  <c r="DI136" i="3" s="1"/>
  <c r="CY136" i="3"/>
  <c r="CZ136" i="3"/>
  <c r="DB136" i="3" s="1"/>
  <c r="DA136" i="3"/>
  <c r="DC136" i="3"/>
  <c r="A137" i="3"/>
  <c r="Y137" i="3"/>
  <c r="CW137" i="3"/>
  <c r="CX137" i="3"/>
  <c r="DF137" i="3" s="1"/>
  <c r="CY137" i="3"/>
  <c r="CZ137" i="3"/>
  <c r="DA137" i="3"/>
  <c r="DB137" i="3"/>
  <c r="DC137" i="3"/>
  <c r="DG137" i="3"/>
  <c r="DJ137" i="3" s="1"/>
  <c r="DH137" i="3"/>
  <c r="A138" i="3"/>
  <c r="Y138" i="3"/>
  <c r="CX138" i="3" s="1"/>
  <c r="CY138" i="3"/>
  <c r="CZ138" i="3"/>
  <c r="DB138" i="3" s="1"/>
  <c r="DA138" i="3"/>
  <c r="DC138" i="3"/>
  <c r="DF138" i="3"/>
  <c r="DJ138" i="3" s="1"/>
  <c r="A139" i="3"/>
  <c r="Y139" i="3"/>
  <c r="CX139" i="3" s="1"/>
  <c r="CY139" i="3"/>
  <c r="CZ139" i="3"/>
  <c r="DB139" i="3" s="1"/>
  <c r="DA139" i="3"/>
  <c r="DC139" i="3"/>
  <c r="DI139" i="3"/>
  <c r="A140" i="3"/>
  <c r="Y140" i="3"/>
  <c r="CX140" i="3"/>
  <c r="DH140" i="3" s="1"/>
  <c r="CY140" i="3"/>
  <c r="CZ140" i="3"/>
  <c r="DA140" i="3"/>
  <c r="DB140" i="3"/>
  <c r="DC140" i="3"/>
  <c r="A141" i="3"/>
  <c r="Y141" i="3"/>
  <c r="CX141" i="3" s="1"/>
  <c r="DG141" i="3" s="1"/>
  <c r="CY141" i="3"/>
  <c r="CZ141" i="3"/>
  <c r="DA141" i="3"/>
  <c r="DB141" i="3"/>
  <c r="DC141" i="3"/>
  <c r="A142" i="3"/>
  <c r="Y142" i="3"/>
  <c r="CX142" i="3" s="1"/>
  <c r="CY142" i="3"/>
  <c r="CZ142" i="3"/>
  <c r="DB142" i="3" s="1"/>
  <c r="DA142" i="3"/>
  <c r="DC142" i="3"/>
  <c r="DF142" i="3"/>
  <c r="DJ142" i="3" s="1"/>
  <c r="A143" i="3"/>
  <c r="Y143" i="3"/>
  <c r="CX143" i="3" s="1"/>
  <c r="CY143" i="3"/>
  <c r="CZ143" i="3"/>
  <c r="DB143" i="3" s="1"/>
  <c r="DA143" i="3"/>
  <c r="DC143" i="3"/>
  <c r="DI143" i="3"/>
  <c r="A144" i="3"/>
  <c r="Y144" i="3"/>
  <c r="CX144" i="3"/>
  <c r="DH144" i="3" s="1"/>
  <c r="CY144" i="3"/>
  <c r="CZ144" i="3"/>
  <c r="DA144" i="3"/>
  <c r="DB144" i="3"/>
  <c r="DC144" i="3"/>
  <c r="A145" i="3"/>
  <c r="Y145" i="3"/>
  <c r="CU145" i="3"/>
  <c r="CY145" i="3"/>
  <c r="CZ145" i="3"/>
  <c r="DB145" i="3" s="1"/>
  <c r="DA145" i="3"/>
  <c r="DC145" i="3"/>
  <c r="A146" i="3"/>
  <c r="Y146" i="3"/>
  <c r="CW146" i="3"/>
  <c r="CX146" i="3"/>
  <c r="DF146" i="3" s="1"/>
  <c r="CY146" i="3"/>
  <c r="CZ146" i="3"/>
  <c r="DA146" i="3"/>
  <c r="DB146" i="3"/>
  <c r="DC146" i="3"/>
  <c r="DG146" i="3"/>
  <c r="DJ146" i="3" s="1"/>
  <c r="DH146" i="3"/>
  <c r="A147" i="3"/>
  <c r="Y147" i="3"/>
  <c r="CX147" i="3" s="1"/>
  <c r="CY147" i="3"/>
  <c r="CZ147" i="3"/>
  <c r="DB147" i="3" s="1"/>
  <c r="DA147" i="3"/>
  <c r="DC147" i="3"/>
  <c r="DI147" i="3"/>
  <c r="A148" i="3"/>
  <c r="Y148" i="3"/>
  <c r="CX148" i="3"/>
  <c r="CY148" i="3"/>
  <c r="CZ148" i="3"/>
  <c r="DA148" i="3"/>
  <c r="DB148" i="3"/>
  <c r="DC148" i="3"/>
  <c r="DH148" i="3"/>
  <c r="A149" i="3"/>
  <c r="Y149" i="3"/>
  <c r="CX149" i="3" s="1"/>
  <c r="CY149" i="3"/>
  <c r="CZ149" i="3"/>
  <c r="DA149" i="3"/>
  <c r="DB149" i="3"/>
  <c r="DC149" i="3"/>
  <c r="DG149" i="3"/>
  <c r="A150" i="3"/>
  <c r="Y150" i="3"/>
  <c r="CX150" i="3" s="1"/>
  <c r="CY150" i="3"/>
  <c r="CZ150" i="3"/>
  <c r="DB150" i="3" s="1"/>
  <c r="DA150" i="3"/>
  <c r="DC150" i="3"/>
  <c r="DF150" i="3"/>
  <c r="DJ150" i="3"/>
  <c r="A151" i="3"/>
  <c r="Y151" i="3"/>
  <c r="CX151" i="3"/>
  <c r="DF151" i="3" s="1"/>
  <c r="DJ151" i="3" s="1"/>
  <c r="CY151" i="3"/>
  <c r="CZ151" i="3"/>
  <c r="DA151" i="3"/>
  <c r="DB151" i="3"/>
  <c r="DC151" i="3"/>
  <c r="DH151" i="3"/>
  <c r="DI151" i="3"/>
  <c r="A152" i="3"/>
  <c r="Y152" i="3"/>
  <c r="CX152" i="3"/>
  <c r="CY152" i="3"/>
  <c r="CZ152" i="3"/>
  <c r="DA152" i="3"/>
  <c r="DB152" i="3"/>
  <c r="DC152" i="3"/>
  <c r="DH152" i="3"/>
  <c r="A153" i="3"/>
  <c r="Y153" i="3"/>
  <c r="CX153" i="3" s="1"/>
  <c r="DG153" i="3" s="1"/>
  <c r="CY153" i="3"/>
  <c r="CZ153" i="3"/>
  <c r="DB153" i="3" s="1"/>
  <c r="DA153" i="3"/>
  <c r="DC153" i="3"/>
  <c r="A154" i="3"/>
  <c r="Y154" i="3"/>
  <c r="CX154" i="3" s="1"/>
  <c r="DF154" i="3" s="1"/>
  <c r="DJ154" i="3" s="1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A160" i="3"/>
  <c r="DB160" i="3"/>
  <c r="DC160" i="3"/>
  <c r="A161" i="3"/>
  <c r="Y161" i="3"/>
  <c r="CY161" i="3"/>
  <c r="CZ161" i="3"/>
  <c r="DB161" i="3" s="1"/>
  <c r="DA161" i="3"/>
  <c r="DC161" i="3"/>
  <c r="A162" i="3"/>
  <c r="Y162" i="3"/>
  <c r="CY162" i="3"/>
  <c r="CZ162" i="3"/>
  <c r="DA162" i="3"/>
  <c r="DB162" i="3"/>
  <c r="DC162" i="3"/>
  <c r="A163" i="3"/>
  <c r="Y163" i="3"/>
  <c r="CY163" i="3"/>
  <c r="CZ163" i="3"/>
  <c r="DB163" i="3" s="1"/>
  <c r="DA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U167" i="3"/>
  <c r="CV167" i="3"/>
  <c r="CX167" i="3"/>
  <c r="DG167" i="3" s="1"/>
  <c r="CY167" i="3"/>
  <c r="CZ167" i="3"/>
  <c r="DA167" i="3"/>
  <c r="DB167" i="3"/>
  <c r="DC167" i="3"/>
  <c r="DH167" i="3"/>
  <c r="A168" i="3"/>
  <c r="Y168" i="3"/>
  <c r="CX168" i="3" s="1"/>
  <c r="CU168" i="3"/>
  <c r="CY168" i="3"/>
  <c r="CZ168" i="3"/>
  <c r="DA168" i="3"/>
  <c r="DB168" i="3"/>
  <c r="DC168" i="3"/>
  <c r="A169" i="3"/>
  <c r="Y169" i="3"/>
  <c r="CV169" i="3" s="1"/>
  <c r="CU169" i="3"/>
  <c r="CY169" i="3"/>
  <c r="CZ169" i="3"/>
  <c r="DB169" i="3" s="1"/>
  <c r="DA169" i="3"/>
  <c r="DC169" i="3"/>
  <c r="A170" i="3"/>
  <c r="Y170" i="3"/>
  <c r="CX170" i="3"/>
  <c r="DF170" i="3" s="1"/>
  <c r="DJ170" i="3" s="1"/>
  <c r="CY170" i="3"/>
  <c r="CZ170" i="3"/>
  <c r="DA170" i="3"/>
  <c r="DB170" i="3"/>
  <c r="DC170" i="3"/>
  <c r="DH170" i="3"/>
  <c r="DI170" i="3"/>
  <c r="A171" i="3"/>
  <c r="Y171" i="3"/>
  <c r="CX171" i="3"/>
  <c r="DG171" i="3" s="1"/>
  <c r="CY171" i="3"/>
  <c r="CZ171" i="3"/>
  <c r="DA171" i="3"/>
  <c r="DB171" i="3"/>
  <c r="DC171" i="3"/>
  <c r="DH171" i="3"/>
  <c r="A172" i="3"/>
  <c r="Y172" i="3"/>
  <c r="CX172" i="3" s="1"/>
  <c r="CU172" i="3"/>
  <c r="CY172" i="3"/>
  <c r="CZ172" i="3"/>
  <c r="DA172" i="3"/>
  <c r="DB172" i="3"/>
  <c r="DC172" i="3"/>
  <c r="A173" i="3"/>
  <c r="Y173" i="3"/>
  <c r="CX173" i="3"/>
  <c r="DG173" i="3" s="1"/>
  <c r="CY173" i="3"/>
  <c r="CZ173" i="3"/>
  <c r="DA173" i="3"/>
  <c r="DB173" i="3"/>
  <c r="DC173" i="3"/>
  <c r="DH173" i="3"/>
  <c r="A174" i="3"/>
  <c r="Y174" i="3"/>
  <c r="CX174" i="3" s="1"/>
  <c r="CY174" i="3"/>
  <c r="CZ174" i="3"/>
  <c r="DB174" i="3" s="1"/>
  <c r="DA174" i="3"/>
  <c r="DC174" i="3"/>
  <c r="A175" i="3"/>
  <c r="Y175" i="3"/>
  <c r="CU175" i="3"/>
  <c r="CV175" i="3"/>
  <c r="CX175" i="3"/>
  <c r="DG175" i="3" s="1"/>
  <c r="CY175" i="3"/>
  <c r="CZ175" i="3"/>
  <c r="DA175" i="3"/>
  <c r="DB175" i="3"/>
  <c r="DC175" i="3"/>
  <c r="DH175" i="3"/>
  <c r="A176" i="3"/>
  <c r="Y176" i="3"/>
  <c r="CX176" i="3" s="1"/>
  <c r="CU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A180" i="3"/>
  <c r="DB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B187" i="3" s="1"/>
  <c r="DA187" i="3"/>
  <c r="DC187" i="3"/>
  <c r="A188" i="3"/>
  <c r="Y188" i="3"/>
  <c r="CY188" i="3"/>
  <c r="CZ188" i="3"/>
  <c r="DB188" i="3" s="1"/>
  <c r="DA188" i="3"/>
  <c r="DC188" i="3"/>
  <c r="A189" i="3"/>
  <c r="Y189" i="3"/>
  <c r="CX189" i="3" s="1"/>
  <c r="CU189" i="3"/>
  <c r="CV189" i="3"/>
  <c r="CY189" i="3"/>
  <c r="CZ189" i="3"/>
  <c r="DB189" i="3" s="1"/>
  <c r="DA189" i="3"/>
  <c r="DC189" i="3"/>
  <c r="DG189" i="3"/>
  <c r="A190" i="3"/>
  <c r="Y190" i="3"/>
  <c r="CU190" i="3"/>
  <c r="CV190" i="3"/>
  <c r="CX190" i="3"/>
  <c r="CY190" i="3"/>
  <c r="CZ190" i="3"/>
  <c r="DA190" i="3"/>
  <c r="DB190" i="3"/>
  <c r="DC190" i="3"/>
  <c r="DH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A194" i="3"/>
  <c r="DB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B197" i="3" s="1"/>
  <c r="DA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A206" i="3"/>
  <c r="DB206" i="3"/>
  <c r="DC206" i="3"/>
  <c r="A207" i="3"/>
  <c r="Y207" i="3"/>
  <c r="CY207" i="3"/>
  <c r="CZ207" i="3"/>
  <c r="DB207" i="3" s="1"/>
  <c r="DA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A214" i="3"/>
  <c r="DB214" i="3"/>
  <c r="DC214" i="3"/>
  <c r="A215" i="3"/>
  <c r="Y215" i="3"/>
  <c r="CY215" i="3"/>
  <c r="CZ215" i="3"/>
  <c r="DA215" i="3"/>
  <c r="DB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A221" i="3"/>
  <c r="DB221" i="3"/>
  <c r="DC221" i="3"/>
  <c r="A222" i="3"/>
  <c r="Y222" i="3"/>
  <c r="CY222" i="3"/>
  <c r="CZ222" i="3"/>
  <c r="DB222" i="3" s="1"/>
  <c r="DA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A228" i="3"/>
  <c r="DB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V233" i="3" s="1"/>
  <c r="CU233" i="3"/>
  <c r="CX233" i="3"/>
  <c r="CY233" i="3"/>
  <c r="CZ233" i="3"/>
  <c r="DA233" i="3"/>
  <c r="DB233" i="3"/>
  <c r="DC233" i="3"/>
  <c r="A234" i="3"/>
  <c r="Y234" i="3"/>
  <c r="CX234" i="3" s="1"/>
  <c r="DI234" i="3" s="1"/>
  <c r="CY234" i="3"/>
  <c r="CZ234" i="3"/>
  <c r="DB234" i="3" s="1"/>
  <c r="DA234" i="3"/>
  <c r="DC234" i="3"/>
  <c r="DG234" i="3"/>
  <c r="DJ234" i="3" s="1"/>
  <c r="DH234" i="3"/>
  <c r="A235" i="3"/>
  <c r="Y235" i="3"/>
  <c r="CW235" i="3" s="1"/>
  <c r="CY235" i="3"/>
  <c r="CZ235" i="3"/>
  <c r="DB235" i="3" s="1"/>
  <c r="DA235" i="3"/>
  <c r="DC235" i="3"/>
  <c r="A236" i="3"/>
  <c r="Y236" i="3"/>
  <c r="CX236" i="3"/>
  <c r="CY236" i="3"/>
  <c r="CZ236" i="3"/>
  <c r="DA236" i="3"/>
  <c r="DB236" i="3"/>
  <c r="DC236" i="3"/>
  <c r="A237" i="3"/>
  <c r="Y237" i="3"/>
  <c r="CX237" i="3" s="1"/>
  <c r="CY237" i="3"/>
  <c r="CZ237" i="3"/>
  <c r="DA237" i="3"/>
  <c r="DB237" i="3"/>
  <c r="DC237" i="3"/>
  <c r="A238" i="3"/>
  <c r="Y238" i="3"/>
  <c r="CX238" i="3" s="1"/>
  <c r="CY238" i="3"/>
  <c r="CZ238" i="3"/>
  <c r="DB238" i="3" s="1"/>
  <c r="DA238" i="3"/>
  <c r="DC238" i="3"/>
  <c r="A239" i="3"/>
  <c r="Y239" i="3"/>
  <c r="CU239" i="3"/>
  <c r="CV239" i="3"/>
  <c r="CX239" i="3"/>
  <c r="DI239" i="3" s="1"/>
  <c r="DJ239" i="3" s="1"/>
  <c r="CY239" i="3"/>
  <c r="CZ239" i="3"/>
  <c r="DA239" i="3"/>
  <c r="DB239" i="3"/>
  <c r="DC239" i="3"/>
  <c r="DG239" i="3"/>
  <c r="DH239" i="3"/>
  <c r="A240" i="3"/>
  <c r="Y240" i="3"/>
  <c r="CW240" i="3" s="1"/>
  <c r="CY240" i="3"/>
  <c r="CZ240" i="3"/>
  <c r="DB240" i="3" s="1"/>
  <c r="DA240" i="3"/>
  <c r="DC240" i="3"/>
  <c r="A241" i="3"/>
  <c r="Y241" i="3"/>
  <c r="CW241" i="3"/>
  <c r="CX241" i="3"/>
  <c r="DI241" i="3" s="1"/>
  <c r="CY241" i="3"/>
  <c r="CZ241" i="3"/>
  <c r="DA241" i="3"/>
  <c r="DB241" i="3"/>
  <c r="DC241" i="3"/>
  <c r="DG241" i="3"/>
  <c r="DJ241" i="3" s="1"/>
  <c r="DH241" i="3"/>
  <c r="A242" i="3"/>
  <c r="Y242" i="3"/>
  <c r="CX242" i="3" s="1"/>
  <c r="DF242" i="3" s="1"/>
  <c r="DJ242" i="3" s="1"/>
  <c r="CY242" i="3"/>
  <c r="CZ242" i="3"/>
  <c r="DB242" i="3" s="1"/>
  <c r="DA242" i="3"/>
  <c r="DC242" i="3"/>
  <c r="A243" i="3"/>
  <c r="Y243" i="3"/>
  <c r="CX243" i="3"/>
  <c r="DG243" i="3" s="1"/>
  <c r="CY243" i="3"/>
  <c r="CZ243" i="3"/>
  <c r="DB243" i="3" s="1"/>
  <c r="DA243" i="3"/>
  <c r="DC243" i="3"/>
  <c r="DF243" i="3"/>
  <c r="DH243" i="3"/>
  <c r="DI243" i="3"/>
  <c r="DJ243" i="3"/>
  <c r="A244" i="3"/>
  <c r="Y244" i="3"/>
  <c r="CX244" i="3"/>
  <c r="CY244" i="3"/>
  <c r="CZ244" i="3"/>
  <c r="DA244" i="3"/>
  <c r="DB244" i="3"/>
  <c r="DC244" i="3"/>
  <c r="DH244" i="3"/>
  <c r="A245" i="3"/>
  <c r="Y245" i="3"/>
  <c r="CY245" i="3"/>
  <c r="CZ245" i="3"/>
  <c r="DB245" i="3" s="1"/>
  <c r="DA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B250" i="3" s="1"/>
  <c r="DA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B254" i="3" s="1"/>
  <c r="DA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B257" i="3" s="1"/>
  <c r="DA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A259" i="3"/>
  <c r="DB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A269" i="3"/>
  <c r="DB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B271" i="3" s="1"/>
  <c r="DA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A273" i="3"/>
  <c r="DB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B276" i="3" s="1"/>
  <c r="DA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B285" i="3" s="1"/>
  <c r="DA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A292" i="3"/>
  <c r="DB292" i="3"/>
  <c r="DC292" i="3"/>
  <c r="A293" i="3"/>
  <c r="Y293" i="3"/>
  <c r="CY293" i="3"/>
  <c r="CZ293" i="3"/>
  <c r="DB293" i="3" s="1"/>
  <c r="DA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A296" i="3"/>
  <c r="DB296" i="3"/>
  <c r="DC296" i="3"/>
  <c r="A297" i="3"/>
  <c r="Y297" i="3"/>
  <c r="CY297" i="3"/>
  <c r="CZ297" i="3"/>
  <c r="DA297" i="3"/>
  <c r="DB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A299" i="3"/>
  <c r="DB299" i="3"/>
  <c r="DC299" i="3"/>
  <c r="A300" i="3"/>
  <c r="Y300" i="3"/>
  <c r="CY300" i="3"/>
  <c r="CZ300" i="3"/>
  <c r="DB300" i="3" s="1"/>
  <c r="DA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A307" i="3"/>
  <c r="DB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B318" i="3" s="1"/>
  <c r="DA318" i="3"/>
  <c r="DC318" i="3"/>
  <c r="A319" i="3"/>
  <c r="Y319" i="3"/>
  <c r="CY319" i="3"/>
  <c r="CZ319" i="3"/>
  <c r="DA319" i="3"/>
  <c r="DB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B322" i="3" s="1"/>
  <c r="DA322" i="3"/>
  <c r="DC322" i="3"/>
  <c r="A323" i="3"/>
  <c r="Y323" i="3"/>
  <c r="CY323" i="3"/>
  <c r="CZ323" i="3"/>
  <c r="DA323" i="3"/>
  <c r="DB323" i="3"/>
  <c r="DC323" i="3"/>
  <c r="A324" i="3"/>
  <c r="Y324" i="3"/>
  <c r="CY324" i="3"/>
  <c r="CZ324" i="3"/>
  <c r="DB324" i="3" s="1"/>
  <c r="DA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A326" i="3"/>
  <c r="DB326" i="3"/>
  <c r="DC326" i="3"/>
  <c r="A327" i="3"/>
  <c r="Y327" i="3"/>
  <c r="CY327" i="3"/>
  <c r="CZ327" i="3"/>
  <c r="DB327" i="3" s="1"/>
  <c r="DA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A330" i="3"/>
  <c r="DB330" i="3"/>
  <c r="DC330" i="3"/>
  <c r="A331" i="3"/>
  <c r="Y331" i="3"/>
  <c r="CY331" i="3"/>
  <c r="CZ331" i="3"/>
  <c r="DA331" i="3"/>
  <c r="DB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B341" i="3" s="1"/>
  <c r="DA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A343" i="3"/>
  <c r="DB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B345" i="3" s="1"/>
  <c r="DA345" i="3"/>
  <c r="DC345" i="3"/>
  <c r="A346" i="3"/>
  <c r="Y346" i="3"/>
  <c r="CY346" i="3"/>
  <c r="CZ346" i="3"/>
  <c r="DA346" i="3"/>
  <c r="DB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B348" i="3" s="1"/>
  <c r="DA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B353" i="3" s="1"/>
  <c r="DA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B361" i="3" s="1"/>
  <c r="DA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A363" i="3"/>
  <c r="DB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B365" i="3" s="1"/>
  <c r="DA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B379" i="3" s="1"/>
  <c r="DA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B383" i="3" s="1"/>
  <c r="DA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A386" i="3"/>
  <c r="DB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B391" i="3" s="1"/>
  <c r="DA391" i="3"/>
  <c r="DC391" i="3"/>
  <c r="A392" i="3"/>
  <c r="Y392" i="3"/>
  <c r="CY392" i="3"/>
  <c r="CZ392" i="3"/>
  <c r="DB392" i="3" s="1"/>
  <c r="DA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A394" i="3"/>
  <c r="DB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A397" i="3"/>
  <c r="DB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B399" i="3" s="1"/>
  <c r="DA399" i="3"/>
  <c r="DC399" i="3"/>
  <c r="A400" i="3"/>
  <c r="Y400" i="3"/>
  <c r="CY400" i="3"/>
  <c r="CZ400" i="3"/>
  <c r="DB400" i="3" s="1"/>
  <c r="DA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P28" i="1"/>
  <c r="AC28" i="1"/>
  <c r="AE28" i="1"/>
  <c r="R28" i="1" s="1"/>
  <c r="AF28" i="1"/>
  <c r="S28" i="1" s="1"/>
  <c r="AG28" i="1"/>
  <c r="AH28" i="1"/>
  <c r="AI28" i="1"/>
  <c r="CW28" i="1" s="1"/>
  <c r="V28" i="1" s="1"/>
  <c r="AJ28" i="1"/>
  <c r="CX28" i="1" s="1"/>
  <c r="W28" i="1" s="1"/>
  <c r="CQ28" i="1"/>
  <c r="CR28" i="1"/>
  <c r="CU28" i="1"/>
  <c r="T28" i="1" s="1"/>
  <c r="CV28" i="1"/>
  <c r="U28" i="1" s="1"/>
  <c r="GL28" i="1"/>
  <c r="GN28" i="1"/>
  <c r="GP28" i="1"/>
  <c r="GV28" i="1"/>
  <c r="GX28" i="1"/>
  <c r="HC28" i="1"/>
  <c r="C29" i="1"/>
  <c r="D29" i="1"/>
  <c r="S29" i="1"/>
  <c r="Y29" i="1" s="1"/>
  <c r="AC29" i="1"/>
  <c r="AE29" i="1"/>
  <c r="Q29" i="1" s="1"/>
  <c r="AF29" i="1"/>
  <c r="AG29" i="1"/>
  <c r="CU29" i="1" s="1"/>
  <c r="T29" i="1" s="1"/>
  <c r="AH29" i="1"/>
  <c r="AI29" i="1"/>
  <c r="CW29" i="1" s="1"/>
  <c r="V29" i="1" s="1"/>
  <c r="AJ29" i="1"/>
  <c r="CR29" i="1"/>
  <c r="CT29" i="1"/>
  <c r="CV29" i="1"/>
  <c r="U29" i="1" s="1"/>
  <c r="CX29" i="1"/>
  <c r="W29" i="1" s="1"/>
  <c r="CZ29" i="1"/>
  <c r="GL29" i="1"/>
  <c r="GN29" i="1"/>
  <c r="GP29" i="1"/>
  <c r="GV29" i="1"/>
  <c r="HC29" i="1"/>
  <c r="GX29" i="1" s="1"/>
  <c r="C30" i="1"/>
  <c r="D30" i="1"/>
  <c r="P30" i="1"/>
  <c r="R30" i="1"/>
  <c r="AC30" i="1"/>
  <c r="AD30" i="1"/>
  <c r="AB30" i="1" s="1"/>
  <c r="AE30" i="1"/>
  <c r="Q30" i="1" s="1"/>
  <c r="AF30" i="1"/>
  <c r="S30" i="1" s="1"/>
  <c r="AG30" i="1"/>
  <c r="AH30" i="1"/>
  <c r="CV30" i="1" s="1"/>
  <c r="U30" i="1" s="1"/>
  <c r="AI30" i="1"/>
  <c r="AJ30" i="1"/>
  <c r="CX30" i="1" s="1"/>
  <c r="W30" i="1" s="1"/>
  <c r="CQ30" i="1"/>
  <c r="CR30" i="1"/>
  <c r="CS30" i="1"/>
  <c r="CU30" i="1"/>
  <c r="T30" i="1" s="1"/>
  <c r="CW30" i="1"/>
  <c r="V30" i="1" s="1"/>
  <c r="GL30" i="1"/>
  <c r="GN30" i="1"/>
  <c r="GP30" i="1"/>
  <c r="GV30" i="1"/>
  <c r="GX30" i="1"/>
  <c r="HC30" i="1"/>
  <c r="C31" i="1"/>
  <c r="D31" i="1"/>
  <c r="S31" i="1"/>
  <c r="X31" i="1" s="1"/>
  <c r="AC31" i="1"/>
  <c r="P31" i="1" s="1"/>
  <c r="AE31" i="1"/>
  <c r="AD31" i="1" s="1"/>
  <c r="AF31" i="1"/>
  <c r="AG31" i="1"/>
  <c r="CU31" i="1" s="1"/>
  <c r="T31" i="1" s="1"/>
  <c r="AH31" i="1"/>
  <c r="AI31" i="1"/>
  <c r="CW31" i="1" s="1"/>
  <c r="V31" i="1" s="1"/>
  <c r="AJ31" i="1"/>
  <c r="CR31" i="1"/>
  <c r="CT31" i="1"/>
  <c r="CV31" i="1"/>
  <c r="U31" i="1" s="1"/>
  <c r="CX31" i="1"/>
  <c r="W31" i="1" s="1"/>
  <c r="CZ31" i="1"/>
  <c r="GL31" i="1"/>
  <c r="GN31" i="1"/>
  <c r="GP31" i="1"/>
  <c r="GV31" i="1"/>
  <c r="HC31" i="1"/>
  <c r="GX31" i="1" s="1"/>
  <c r="C32" i="1"/>
  <c r="D32" i="1"/>
  <c r="P32" i="1"/>
  <c r="R32" i="1"/>
  <c r="AC32" i="1"/>
  <c r="AD32" i="1"/>
  <c r="AB32" i="1" s="1"/>
  <c r="AE32" i="1"/>
  <c r="Q32" i="1" s="1"/>
  <c r="AF32" i="1"/>
  <c r="S32" i="1" s="1"/>
  <c r="AG32" i="1"/>
  <c r="AH32" i="1"/>
  <c r="CV32" i="1" s="1"/>
  <c r="U32" i="1" s="1"/>
  <c r="AI32" i="1"/>
  <c r="AJ32" i="1"/>
  <c r="CX32" i="1" s="1"/>
  <c r="W32" i="1" s="1"/>
  <c r="CQ32" i="1"/>
  <c r="CR32" i="1"/>
  <c r="CS32" i="1"/>
  <c r="CU32" i="1"/>
  <c r="T32" i="1" s="1"/>
  <c r="CW32" i="1"/>
  <c r="V32" i="1" s="1"/>
  <c r="GL32" i="1"/>
  <c r="GN32" i="1"/>
  <c r="GP32" i="1"/>
  <c r="GV32" i="1"/>
  <c r="GX32" i="1"/>
  <c r="HC32" i="1"/>
  <c r="C33" i="1"/>
  <c r="D33" i="1"/>
  <c r="S33" i="1"/>
  <c r="Y33" i="1" s="1"/>
  <c r="AC33" i="1"/>
  <c r="AE33" i="1"/>
  <c r="Q33" i="1" s="1"/>
  <c r="AF33" i="1"/>
  <c r="AG33" i="1"/>
  <c r="CU33" i="1" s="1"/>
  <c r="T33" i="1" s="1"/>
  <c r="AH33" i="1"/>
  <c r="AI33" i="1"/>
  <c r="CW33" i="1" s="1"/>
  <c r="V33" i="1" s="1"/>
  <c r="AJ33" i="1"/>
  <c r="CR33" i="1"/>
  <c r="CT33" i="1"/>
  <c r="CV33" i="1"/>
  <c r="U33" i="1" s="1"/>
  <c r="CX33" i="1"/>
  <c r="W33" i="1" s="1"/>
  <c r="CZ33" i="1"/>
  <c r="GL33" i="1"/>
  <c r="GN33" i="1"/>
  <c r="GP33" i="1"/>
  <c r="GV33" i="1"/>
  <c r="HC33" i="1"/>
  <c r="GX33" i="1" s="1"/>
  <c r="C34" i="1"/>
  <c r="D34" i="1"/>
  <c r="I34" i="1"/>
  <c r="K34" i="1"/>
  <c r="P34" i="1"/>
  <c r="R34" i="1"/>
  <c r="AC34" i="1"/>
  <c r="AD34" i="1"/>
  <c r="AE34" i="1"/>
  <c r="Q34" i="1" s="1"/>
  <c r="AF34" i="1"/>
  <c r="AB34" i="1" s="1"/>
  <c r="AG34" i="1"/>
  <c r="AH34" i="1"/>
  <c r="CV34" i="1" s="1"/>
  <c r="U34" i="1" s="1"/>
  <c r="AI34" i="1"/>
  <c r="AJ34" i="1"/>
  <c r="CX34" i="1" s="1"/>
  <c r="W34" i="1" s="1"/>
  <c r="CQ34" i="1"/>
  <c r="CR34" i="1"/>
  <c r="CS34" i="1"/>
  <c r="CU34" i="1"/>
  <c r="T34" i="1" s="1"/>
  <c r="CW34" i="1"/>
  <c r="V34" i="1" s="1"/>
  <c r="GL34" i="1"/>
  <c r="GN34" i="1"/>
  <c r="GP34" i="1"/>
  <c r="GV34" i="1"/>
  <c r="GX34" i="1"/>
  <c r="HC34" i="1"/>
  <c r="C35" i="1"/>
  <c r="D35" i="1"/>
  <c r="I35" i="1"/>
  <c r="R35" i="1" s="1"/>
  <c r="K35" i="1"/>
  <c r="S35" i="1"/>
  <c r="X35" i="1" s="1"/>
  <c r="AC35" i="1"/>
  <c r="P35" i="1" s="1"/>
  <c r="AE35" i="1"/>
  <c r="AD35" i="1" s="1"/>
  <c r="AF35" i="1"/>
  <c r="AG35" i="1"/>
  <c r="CU35" i="1" s="1"/>
  <c r="T35" i="1" s="1"/>
  <c r="AH35" i="1"/>
  <c r="AI35" i="1"/>
  <c r="CW35" i="1" s="1"/>
  <c r="V35" i="1" s="1"/>
  <c r="AJ35" i="1"/>
  <c r="CR35" i="1"/>
  <c r="CT35" i="1"/>
  <c r="CV35" i="1"/>
  <c r="U35" i="1" s="1"/>
  <c r="CX35" i="1"/>
  <c r="W35" i="1" s="1"/>
  <c r="GL35" i="1"/>
  <c r="GN35" i="1"/>
  <c r="GP35" i="1"/>
  <c r="GV35" i="1"/>
  <c r="HC35" i="1" s="1"/>
  <c r="GX35" i="1" s="1"/>
  <c r="C36" i="1"/>
  <c r="D36" i="1"/>
  <c r="P36" i="1"/>
  <c r="R36" i="1"/>
  <c r="AC36" i="1"/>
  <c r="AD36" i="1"/>
  <c r="AE36" i="1"/>
  <c r="Q36" i="1" s="1"/>
  <c r="AF36" i="1"/>
  <c r="AB36" i="1" s="1"/>
  <c r="AG36" i="1"/>
  <c r="AH36" i="1"/>
  <c r="CV36" i="1" s="1"/>
  <c r="U36" i="1" s="1"/>
  <c r="AI36" i="1"/>
  <c r="AJ36" i="1"/>
  <c r="CX36" i="1" s="1"/>
  <c r="W36" i="1" s="1"/>
  <c r="CQ36" i="1"/>
  <c r="CR36" i="1"/>
  <c r="CS36" i="1"/>
  <c r="CU36" i="1"/>
  <c r="T36" i="1" s="1"/>
  <c r="CW36" i="1"/>
  <c r="V36" i="1" s="1"/>
  <c r="GL36" i="1"/>
  <c r="GN36" i="1"/>
  <c r="GP36" i="1"/>
  <c r="GV36" i="1"/>
  <c r="GX36" i="1"/>
  <c r="HC36" i="1"/>
  <c r="C37" i="1"/>
  <c r="D37" i="1"/>
  <c r="S37" i="1"/>
  <c r="Y37" i="1"/>
  <c r="AC37" i="1"/>
  <c r="AE37" i="1"/>
  <c r="AF37" i="1"/>
  <c r="AG37" i="1"/>
  <c r="CU37" i="1" s="1"/>
  <c r="T37" i="1" s="1"/>
  <c r="AH37" i="1"/>
  <c r="AI37" i="1"/>
  <c r="CW37" i="1" s="1"/>
  <c r="V37" i="1" s="1"/>
  <c r="AJ37" i="1"/>
  <c r="CR37" i="1"/>
  <c r="CT37" i="1"/>
  <c r="CV37" i="1"/>
  <c r="U37" i="1" s="1"/>
  <c r="CX37" i="1"/>
  <c r="W37" i="1" s="1"/>
  <c r="CZ37" i="1"/>
  <c r="GL37" i="1"/>
  <c r="GN37" i="1"/>
  <c r="GP37" i="1"/>
  <c r="GV37" i="1"/>
  <c r="HC37" i="1"/>
  <c r="GX37" i="1" s="1"/>
  <c r="C38" i="1"/>
  <c r="D38" i="1"/>
  <c r="P38" i="1"/>
  <c r="R38" i="1"/>
  <c r="AC38" i="1"/>
  <c r="AD38" i="1"/>
  <c r="AB38" i="1" s="1"/>
  <c r="AE38" i="1"/>
  <c r="Q38" i="1" s="1"/>
  <c r="AF38" i="1"/>
  <c r="S38" i="1" s="1"/>
  <c r="CY38" i="1" s="1"/>
  <c r="AG38" i="1"/>
  <c r="AH38" i="1"/>
  <c r="CV38" i="1" s="1"/>
  <c r="U38" i="1" s="1"/>
  <c r="AI38" i="1"/>
  <c r="AJ38" i="1"/>
  <c r="CX38" i="1" s="1"/>
  <c r="W38" i="1" s="1"/>
  <c r="CQ38" i="1"/>
  <c r="CR38" i="1"/>
  <c r="CS38" i="1"/>
  <c r="CU38" i="1"/>
  <c r="T38" i="1" s="1"/>
  <c r="CW38" i="1"/>
  <c r="V38" i="1" s="1"/>
  <c r="GL38" i="1"/>
  <c r="GN38" i="1"/>
  <c r="GP38" i="1"/>
  <c r="GV38" i="1"/>
  <c r="GX38" i="1"/>
  <c r="HC38" i="1"/>
  <c r="C39" i="1"/>
  <c r="D39" i="1"/>
  <c r="Q39" i="1"/>
  <c r="S39" i="1"/>
  <c r="U39" i="1"/>
  <c r="AC39" i="1"/>
  <c r="AE39" i="1"/>
  <c r="AF39" i="1"/>
  <c r="AG39" i="1"/>
  <c r="CU39" i="1" s="1"/>
  <c r="T39" i="1" s="1"/>
  <c r="AH39" i="1"/>
  <c r="AI39" i="1"/>
  <c r="CW39" i="1" s="1"/>
  <c r="V39" i="1" s="1"/>
  <c r="AJ39" i="1"/>
  <c r="CR39" i="1"/>
  <c r="CT39" i="1"/>
  <c r="CV39" i="1"/>
  <c r="CX39" i="1"/>
  <c r="W39" i="1" s="1"/>
  <c r="CZ39" i="1"/>
  <c r="GL39" i="1"/>
  <c r="GN39" i="1"/>
  <c r="GP39" i="1"/>
  <c r="GV39" i="1"/>
  <c r="HC39" i="1"/>
  <c r="GX39" i="1" s="1"/>
  <c r="C40" i="1"/>
  <c r="D40" i="1"/>
  <c r="P40" i="1"/>
  <c r="R40" i="1"/>
  <c r="T40" i="1"/>
  <c r="AC40" i="1"/>
  <c r="AD40" i="1"/>
  <c r="AE40" i="1"/>
  <c r="Q40" i="1" s="1"/>
  <c r="AF40" i="1"/>
  <c r="AG40" i="1"/>
  <c r="AH40" i="1"/>
  <c r="CV40" i="1" s="1"/>
  <c r="U40" i="1" s="1"/>
  <c r="AI40" i="1"/>
  <c r="AJ40" i="1"/>
  <c r="CX40" i="1" s="1"/>
  <c r="W40" i="1" s="1"/>
  <c r="CQ40" i="1"/>
  <c r="CR40" i="1"/>
  <c r="CS40" i="1"/>
  <c r="CU40" i="1"/>
  <c r="CW40" i="1"/>
  <c r="V40" i="1" s="1"/>
  <c r="GL40" i="1"/>
  <c r="GN40" i="1"/>
  <c r="GP40" i="1"/>
  <c r="GV40" i="1"/>
  <c r="GX40" i="1"/>
  <c r="HC40" i="1"/>
  <c r="C41" i="1"/>
  <c r="D41" i="1"/>
  <c r="Q41" i="1"/>
  <c r="S41" i="1"/>
  <c r="U41" i="1"/>
  <c r="AC41" i="1"/>
  <c r="AE41" i="1"/>
  <c r="AF41" i="1"/>
  <c r="AG41" i="1"/>
  <c r="CU41" i="1" s="1"/>
  <c r="T41" i="1" s="1"/>
  <c r="AH41" i="1"/>
  <c r="AI41" i="1"/>
  <c r="CW41" i="1" s="1"/>
  <c r="V41" i="1" s="1"/>
  <c r="AJ41" i="1"/>
  <c r="CR41" i="1"/>
  <c r="CT41" i="1"/>
  <c r="CV41" i="1"/>
  <c r="CX41" i="1"/>
  <c r="W41" i="1" s="1"/>
  <c r="GL41" i="1"/>
  <c r="GN41" i="1"/>
  <c r="GP41" i="1"/>
  <c r="GV41" i="1"/>
  <c r="HC41" i="1"/>
  <c r="GX41" i="1" s="1"/>
  <c r="C42" i="1"/>
  <c r="D42" i="1"/>
  <c r="I42" i="1"/>
  <c r="K42" i="1"/>
  <c r="P42" i="1"/>
  <c r="R42" i="1"/>
  <c r="AC42" i="1"/>
  <c r="AD42" i="1"/>
  <c r="AB42" i="1" s="1"/>
  <c r="AE42" i="1"/>
  <c r="Q42" i="1" s="1"/>
  <c r="AF42" i="1"/>
  <c r="AG42" i="1"/>
  <c r="AH42" i="1"/>
  <c r="CV42" i="1" s="1"/>
  <c r="U42" i="1" s="1"/>
  <c r="AI42" i="1"/>
  <c r="AJ42" i="1"/>
  <c r="CX42" i="1" s="1"/>
  <c r="W42" i="1" s="1"/>
  <c r="CQ42" i="1"/>
  <c r="CR42" i="1"/>
  <c r="CS42" i="1"/>
  <c r="CU42" i="1"/>
  <c r="T42" i="1" s="1"/>
  <c r="CW42" i="1"/>
  <c r="V42" i="1" s="1"/>
  <c r="GL42" i="1"/>
  <c r="GN42" i="1"/>
  <c r="GP42" i="1"/>
  <c r="GV42" i="1"/>
  <c r="HC42" i="1"/>
  <c r="GX42" i="1" s="1"/>
  <c r="C43" i="1"/>
  <c r="D43" i="1"/>
  <c r="I43" i="1"/>
  <c r="Q43" i="1" s="1"/>
  <c r="K43" i="1"/>
  <c r="AC43" i="1"/>
  <c r="AE43" i="1"/>
  <c r="AD43" i="1" s="1"/>
  <c r="AF43" i="1"/>
  <c r="CT43" i="1" s="1"/>
  <c r="AG43" i="1"/>
  <c r="CU43" i="1" s="1"/>
  <c r="T43" i="1" s="1"/>
  <c r="AH43" i="1"/>
  <c r="AI43" i="1"/>
  <c r="AJ43" i="1"/>
  <c r="CX43" i="1" s="1"/>
  <c r="W43" i="1" s="1"/>
  <c r="CQ43" i="1"/>
  <c r="CR43" i="1"/>
  <c r="CS43" i="1"/>
  <c r="CV43" i="1"/>
  <c r="U43" i="1" s="1"/>
  <c r="CW43" i="1"/>
  <c r="V43" i="1" s="1"/>
  <c r="GL43" i="1"/>
  <c r="GN43" i="1"/>
  <c r="GP43" i="1"/>
  <c r="GV43" i="1"/>
  <c r="HC43" i="1"/>
  <c r="GX43" i="1" s="1"/>
  <c r="C44" i="1"/>
  <c r="D44" i="1"/>
  <c r="P44" i="1"/>
  <c r="Y44" i="1"/>
  <c r="AC44" i="1"/>
  <c r="AE44" i="1"/>
  <c r="AF44" i="1"/>
  <c r="S44" i="1" s="1"/>
  <c r="AG44" i="1"/>
  <c r="AH44" i="1"/>
  <c r="AI44" i="1"/>
  <c r="CW44" i="1" s="1"/>
  <c r="V44" i="1" s="1"/>
  <c r="AJ44" i="1"/>
  <c r="CX44" i="1" s="1"/>
  <c r="W44" i="1" s="1"/>
  <c r="CQ44" i="1"/>
  <c r="CR44" i="1"/>
  <c r="CU44" i="1"/>
  <c r="T44" i="1" s="1"/>
  <c r="CV44" i="1"/>
  <c r="U44" i="1" s="1"/>
  <c r="CZ44" i="1"/>
  <c r="GL44" i="1"/>
  <c r="GN44" i="1"/>
  <c r="GP44" i="1"/>
  <c r="GV44" i="1"/>
  <c r="HC44" i="1"/>
  <c r="GX44" i="1" s="1"/>
  <c r="C45" i="1"/>
  <c r="D45" i="1"/>
  <c r="P45" i="1"/>
  <c r="CP45" i="1" s="1"/>
  <c r="O45" i="1" s="1"/>
  <c r="GM45" i="1" s="1"/>
  <c r="GO45" i="1" s="1"/>
  <c r="S45" i="1"/>
  <c r="Y45" i="1" s="1"/>
  <c r="X45" i="1"/>
  <c r="AC45" i="1"/>
  <c r="AB45" i="1" s="1"/>
  <c r="AD45" i="1"/>
  <c r="AE45" i="1"/>
  <c r="Q45" i="1" s="1"/>
  <c r="AF45" i="1"/>
  <c r="AG45" i="1"/>
  <c r="AH45" i="1"/>
  <c r="CV45" i="1" s="1"/>
  <c r="U45" i="1" s="1"/>
  <c r="AI45" i="1"/>
  <c r="CW45" i="1" s="1"/>
  <c r="V45" i="1" s="1"/>
  <c r="AJ45" i="1"/>
  <c r="CQ45" i="1"/>
  <c r="CR45" i="1"/>
  <c r="CT45" i="1"/>
  <c r="CU45" i="1"/>
  <c r="T45" i="1" s="1"/>
  <c r="CX45" i="1"/>
  <c r="W45" i="1" s="1"/>
  <c r="CY45" i="1"/>
  <c r="GL45" i="1"/>
  <c r="GN45" i="1"/>
  <c r="GP45" i="1"/>
  <c r="GV45" i="1"/>
  <c r="HC45" i="1" s="1"/>
  <c r="GX45" i="1"/>
  <c r="C46" i="1"/>
  <c r="D46" i="1"/>
  <c r="I46" i="1"/>
  <c r="K46" i="1"/>
  <c r="Q46" i="1"/>
  <c r="U46" i="1"/>
  <c r="AC46" i="1"/>
  <c r="AE46" i="1"/>
  <c r="AF46" i="1"/>
  <c r="S46" i="1" s="1"/>
  <c r="AG46" i="1"/>
  <c r="AH46" i="1"/>
  <c r="AI46" i="1"/>
  <c r="CW46" i="1" s="1"/>
  <c r="V46" i="1" s="1"/>
  <c r="AJ46" i="1"/>
  <c r="CX46" i="1" s="1"/>
  <c r="W46" i="1" s="1"/>
  <c r="CQ46" i="1"/>
  <c r="CU46" i="1"/>
  <c r="T46" i="1" s="1"/>
  <c r="CV46" i="1"/>
  <c r="GL46" i="1"/>
  <c r="GN46" i="1"/>
  <c r="GP46" i="1"/>
  <c r="GV46" i="1"/>
  <c r="HC46" i="1"/>
  <c r="GX46" i="1" s="1"/>
  <c r="C47" i="1"/>
  <c r="D47" i="1"/>
  <c r="I47" i="1"/>
  <c r="K47" i="1"/>
  <c r="R47" i="1"/>
  <c r="AC47" i="1"/>
  <c r="P47" i="1" s="1"/>
  <c r="AE47" i="1"/>
  <c r="Q47" i="1" s="1"/>
  <c r="AF47" i="1"/>
  <c r="AG47" i="1"/>
  <c r="CU47" i="1" s="1"/>
  <c r="T47" i="1" s="1"/>
  <c r="AH47" i="1"/>
  <c r="AI47" i="1"/>
  <c r="AJ47" i="1"/>
  <c r="CX47" i="1" s="1"/>
  <c r="W47" i="1" s="1"/>
  <c r="CR47" i="1"/>
  <c r="CS47" i="1"/>
  <c r="CV47" i="1"/>
  <c r="U47" i="1" s="1"/>
  <c r="CW47" i="1"/>
  <c r="V47" i="1" s="1"/>
  <c r="GL47" i="1"/>
  <c r="GN47" i="1"/>
  <c r="GP47" i="1"/>
  <c r="GV47" i="1"/>
  <c r="HC47" i="1"/>
  <c r="GX47" i="1" s="1"/>
  <c r="C48" i="1"/>
  <c r="D48" i="1"/>
  <c r="I48" i="1"/>
  <c r="K48" i="1"/>
  <c r="R48" i="1"/>
  <c r="S48" i="1"/>
  <c r="AC48" i="1"/>
  <c r="AD48" i="1"/>
  <c r="AE48" i="1"/>
  <c r="Q48" i="1" s="1"/>
  <c r="AF48" i="1"/>
  <c r="AG48" i="1"/>
  <c r="CU48" i="1" s="1"/>
  <c r="T48" i="1" s="1"/>
  <c r="AH48" i="1"/>
  <c r="CV48" i="1" s="1"/>
  <c r="U48" i="1" s="1"/>
  <c r="AI48" i="1"/>
  <c r="AJ48" i="1"/>
  <c r="CR48" i="1"/>
  <c r="CS48" i="1"/>
  <c r="CT48" i="1"/>
  <c r="CW48" i="1"/>
  <c r="V48" i="1" s="1"/>
  <c r="CX48" i="1"/>
  <c r="W48" i="1" s="1"/>
  <c r="GL48" i="1"/>
  <c r="GO48" i="1"/>
  <c r="GP48" i="1"/>
  <c r="GV48" i="1"/>
  <c r="HC48" i="1" s="1"/>
  <c r="GX48" i="1" s="1"/>
  <c r="C49" i="1"/>
  <c r="D49" i="1"/>
  <c r="I49" i="1"/>
  <c r="R49" i="1" s="1"/>
  <c r="K49" i="1"/>
  <c r="P49" i="1"/>
  <c r="S49" i="1"/>
  <c r="Y49" i="1" s="1"/>
  <c r="T49" i="1"/>
  <c r="X49" i="1"/>
  <c r="AC49" i="1"/>
  <c r="AD49" i="1"/>
  <c r="AE49" i="1"/>
  <c r="Q49" i="1" s="1"/>
  <c r="AF49" i="1"/>
  <c r="AG49" i="1"/>
  <c r="AH49" i="1"/>
  <c r="CV49" i="1" s="1"/>
  <c r="U49" i="1" s="1"/>
  <c r="AI49" i="1"/>
  <c r="CW49" i="1" s="1"/>
  <c r="V49" i="1" s="1"/>
  <c r="AJ49" i="1"/>
  <c r="CQ49" i="1"/>
  <c r="CR49" i="1"/>
  <c r="CT49" i="1"/>
  <c r="CU49" i="1"/>
  <c r="CX49" i="1"/>
  <c r="W49" i="1" s="1"/>
  <c r="CY49" i="1"/>
  <c r="GL49" i="1"/>
  <c r="GO49" i="1"/>
  <c r="GP49" i="1"/>
  <c r="GV49" i="1"/>
  <c r="HC49" i="1" s="1"/>
  <c r="GX49" i="1" s="1"/>
  <c r="C50" i="1"/>
  <c r="D50" i="1"/>
  <c r="I50" i="1"/>
  <c r="K50" i="1"/>
  <c r="U50" i="1"/>
  <c r="AC50" i="1"/>
  <c r="AE50" i="1"/>
  <c r="AF50" i="1"/>
  <c r="S50" i="1" s="1"/>
  <c r="AG50" i="1"/>
  <c r="AH50" i="1"/>
  <c r="AI50" i="1"/>
  <c r="CW50" i="1" s="1"/>
  <c r="AJ50" i="1"/>
  <c r="CX50" i="1" s="1"/>
  <c r="W50" i="1" s="1"/>
  <c r="CQ50" i="1"/>
  <c r="CU50" i="1"/>
  <c r="CV50" i="1"/>
  <c r="CZ50" i="1"/>
  <c r="GL50" i="1"/>
  <c r="GN50" i="1"/>
  <c r="GP50" i="1"/>
  <c r="GV50" i="1"/>
  <c r="HC50" i="1"/>
  <c r="C51" i="1"/>
  <c r="D51" i="1"/>
  <c r="I51" i="1"/>
  <c r="K51" i="1"/>
  <c r="R51" i="1"/>
  <c r="V51" i="1"/>
  <c r="AC51" i="1"/>
  <c r="P51" i="1" s="1"/>
  <c r="AE51" i="1"/>
  <c r="Q51" i="1" s="1"/>
  <c r="AF51" i="1"/>
  <c r="AG51" i="1"/>
  <c r="CU51" i="1" s="1"/>
  <c r="T51" i="1" s="1"/>
  <c r="AH51" i="1"/>
  <c r="AI51" i="1"/>
  <c r="AJ51" i="1"/>
  <c r="CX51" i="1" s="1"/>
  <c r="W51" i="1" s="1"/>
  <c r="CR51" i="1"/>
  <c r="CS51" i="1"/>
  <c r="CV51" i="1"/>
  <c r="U51" i="1" s="1"/>
  <c r="CW51" i="1"/>
  <c r="GL51" i="1"/>
  <c r="GN51" i="1"/>
  <c r="GP51" i="1"/>
  <c r="GV51" i="1"/>
  <c r="HC51" i="1"/>
  <c r="GX51" i="1" s="1"/>
  <c r="C52" i="1"/>
  <c r="D52" i="1"/>
  <c r="I52" i="1"/>
  <c r="K52" i="1"/>
  <c r="R52" i="1"/>
  <c r="S52" i="1"/>
  <c r="AC52" i="1"/>
  <c r="AD52" i="1"/>
  <c r="AE52" i="1"/>
  <c r="Q52" i="1" s="1"/>
  <c r="AF52" i="1"/>
  <c r="AG52" i="1"/>
  <c r="CU52" i="1" s="1"/>
  <c r="T52" i="1" s="1"/>
  <c r="AH52" i="1"/>
  <c r="CV52" i="1" s="1"/>
  <c r="U52" i="1" s="1"/>
  <c r="AI52" i="1"/>
  <c r="AJ52" i="1"/>
  <c r="CR52" i="1"/>
  <c r="CS52" i="1"/>
  <c r="CT52" i="1"/>
  <c r="CW52" i="1"/>
  <c r="V52" i="1" s="1"/>
  <c r="CX52" i="1"/>
  <c r="W52" i="1" s="1"/>
  <c r="GL52" i="1"/>
  <c r="GO52" i="1"/>
  <c r="GP52" i="1"/>
  <c r="GV52" i="1"/>
  <c r="HC52" i="1" s="1"/>
  <c r="GX52" i="1" s="1"/>
  <c r="C53" i="1"/>
  <c r="D53" i="1"/>
  <c r="I53" i="1"/>
  <c r="R53" i="1" s="1"/>
  <c r="K53" i="1"/>
  <c r="P53" i="1"/>
  <c r="S53" i="1"/>
  <c r="Y53" i="1" s="1"/>
  <c r="X53" i="1"/>
  <c r="AC53" i="1"/>
  <c r="AD53" i="1"/>
  <c r="AE53" i="1"/>
  <c r="Q53" i="1" s="1"/>
  <c r="AF53" i="1"/>
  <c r="AG53" i="1"/>
  <c r="AH53" i="1"/>
  <c r="CV53" i="1" s="1"/>
  <c r="U53" i="1" s="1"/>
  <c r="AI53" i="1"/>
  <c r="CW53" i="1" s="1"/>
  <c r="V53" i="1" s="1"/>
  <c r="AJ53" i="1"/>
  <c r="CQ53" i="1"/>
  <c r="CR53" i="1"/>
  <c r="CT53" i="1"/>
  <c r="CU53" i="1"/>
  <c r="T53" i="1" s="1"/>
  <c r="CX53" i="1"/>
  <c r="W53" i="1" s="1"/>
  <c r="CY53" i="1"/>
  <c r="GL53" i="1"/>
  <c r="GO53" i="1"/>
  <c r="GP53" i="1"/>
  <c r="GV53" i="1"/>
  <c r="HC53" i="1" s="1"/>
  <c r="GX53" i="1"/>
  <c r="C54" i="1"/>
  <c r="D54" i="1"/>
  <c r="R54" i="1"/>
  <c r="S54" i="1"/>
  <c r="AC54" i="1"/>
  <c r="AD54" i="1"/>
  <c r="AE54" i="1"/>
  <c r="Q54" i="1" s="1"/>
  <c r="AF54" i="1"/>
  <c r="AG54" i="1"/>
  <c r="CU54" i="1" s="1"/>
  <c r="T54" i="1" s="1"/>
  <c r="AH54" i="1"/>
  <c r="CV54" i="1" s="1"/>
  <c r="U54" i="1" s="1"/>
  <c r="AI54" i="1"/>
  <c r="AJ54" i="1"/>
  <c r="CR54" i="1"/>
  <c r="CS54" i="1"/>
  <c r="CT54" i="1"/>
  <c r="CW54" i="1"/>
  <c r="V54" i="1" s="1"/>
  <c r="CX54" i="1"/>
  <c r="W54" i="1" s="1"/>
  <c r="GL54" i="1"/>
  <c r="GO54" i="1"/>
  <c r="GP54" i="1"/>
  <c r="GV54" i="1"/>
  <c r="HC54" i="1" s="1"/>
  <c r="GX54" i="1" s="1"/>
  <c r="C55" i="1"/>
  <c r="D55" i="1"/>
  <c r="R55" i="1"/>
  <c r="AC55" i="1"/>
  <c r="P55" i="1" s="1"/>
  <c r="AE55" i="1"/>
  <c r="Q55" i="1" s="1"/>
  <c r="AF55" i="1"/>
  <c r="AG55" i="1"/>
  <c r="CU55" i="1" s="1"/>
  <c r="T55" i="1" s="1"/>
  <c r="AH55" i="1"/>
  <c r="AI55" i="1"/>
  <c r="AJ55" i="1"/>
  <c r="CX55" i="1" s="1"/>
  <c r="W55" i="1" s="1"/>
  <c r="CR55" i="1"/>
  <c r="CS55" i="1"/>
  <c r="CV55" i="1"/>
  <c r="U55" i="1" s="1"/>
  <c r="CW55" i="1"/>
  <c r="V55" i="1" s="1"/>
  <c r="GL55" i="1"/>
  <c r="GO55" i="1"/>
  <c r="GP55" i="1"/>
  <c r="GV55" i="1"/>
  <c r="HC55" i="1"/>
  <c r="GX55" i="1" s="1"/>
  <c r="C56" i="1"/>
  <c r="D56" i="1"/>
  <c r="I56" i="1"/>
  <c r="K56" i="1"/>
  <c r="R56" i="1"/>
  <c r="S56" i="1"/>
  <c r="AC56" i="1"/>
  <c r="AE56" i="1"/>
  <c r="AD56" i="1" s="1"/>
  <c r="AF56" i="1"/>
  <c r="AG56" i="1"/>
  <c r="CU56" i="1" s="1"/>
  <c r="T56" i="1" s="1"/>
  <c r="AH56" i="1"/>
  <c r="AI56" i="1"/>
  <c r="AJ56" i="1"/>
  <c r="CR56" i="1"/>
  <c r="CS56" i="1"/>
  <c r="CT56" i="1"/>
  <c r="CV56" i="1"/>
  <c r="U56" i="1" s="1"/>
  <c r="CW56" i="1"/>
  <c r="V56" i="1" s="1"/>
  <c r="CX56" i="1"/>
  <c r="W56" i="1" s="1"/>
  <c r="GL56" i="1"/>
  <c r="GO56" i="1"/>
  <c r="GP56" i="1"/>
  <c r="GV56" i="1"/>
  <c r="HC56" i="1" s="1"/>
  <c r="GX56" i="1" s="1"/>
  <c r="C57" i="1"/>
  <c r="D57" i="1"/>
  <c r="I57" i="1"/>
  <c r="K57" i="1"/>
  <c r="P57" i="1"/>
  <c r="CP57" i="1" s="1"/>
  <c r="O57" i="1" s="1"/>
  <c r="R57" i="1"/>
  <c r="S57" i="1"/>
  <c r="Y57" i="1" s="1"/>
  <c r="X57" i="1"/>
  <c r="AC57" i="1"/>
  <c r="AD57" i="1"/>
  <c r="AE57" i="1"/>
  <c r="Q57" i="1" s="1"/>
  <c r="AF57" i="1"/>
  <c r="AG57" i="1"/>
  <c r="AH57" i="1"/>
  <c r="CV57" i="1" s="1"/>
  <c r="U57" i="1" s="1"/>
  <c r="AI57" i="1"/>
  <c r="AJ57" i="1"/>
  <c r="CQ57" i="1"/>
  <c r="CR57" i="1"/>
  <c r="CS57" i="1"/>
  <c r="CT57" i="1"/>
  <c r="CU57" i="1"/>
  <c r="T57" i="1" s="1"/>
  <c r="CW57" i="1"/>
  <c r="V57" i="1" s="1"/>
  <c r="CX57" i="1"/>
  <c r="W57" i="1" s="1"/>
  <c r="CY57" i="1"/>
  <c r="GL57" i="1"/>
  <c r="GO57" i="1"/>
  <c r="GP57" i="1"/>
  <c r="GV57" i="1"/>
  <c r="HC57" i="1" s="1"/>
  <c r="GX57" i="1"/>
  <c r="C58" i="1"/>
  <c r="D58" i="1"/>
  <c r="I58" i="1"/>
  <c r="K58" i="1"/>
  <c r="AC58" i="1"/>
  <c r="AE58" i="1"/>
  <c r="AF58" i="1"/>
  <c r="AG58" i="1"/>
  <c r="AH58" i="1"/>
  <c r="AI58" i="1"/>
  <c r="CW58" i="1" s="1"/>
  <c r="AJ58" i="1"/>
  <c r="CQ58" i="1"/>
  <c r="CR58" i="1"/>
  <c r="CT58" i="1"/>
  <c r="CU58" i="1"/>
  <c r="CV58" i="1"/>
  <c r="U58" i="1" s="1"/>
  <c r="CX58" i="1"/>
  <c r="GL58" i="1"/>
  <c r="GO58" i="1"/>
  <c r="GP58" i="1"/>
  <c r="GV58" i="1"/>
  <c r="HC58" i="1"/>
  <c r="C59" i="1"/>
  <c r="D59" i="1"/>
  <c r="I59" i="1"/>
  <c r="CU114" i="3" s="1"/>
  <c r="K59" i="1"/>
  <c r="R59" i="1"/>
  <c r="V59" i="1"/>
  <c r="AC59" i="1"/>
  <c r="AE59" i="1"/>
  <c r="Q59" i="1" s="1"/>
  <c r="AF59" i="1"/>
  <c r="AG59" i="1"/>
  <c r="AH59" i="1"/>
  <c r="AI59" i="1"/>
  <c r="AJ59" i="1"/>
  <c r="CX59" i="1" s="1"/>
  <c r="W59" i="1" s="1"/>
  <c r="CQ59" i="1"/>
  <c r="CR59" i="1"/>
  <c r="CS59" i="1"/>
  <c r="CU59" i="1"/>
  <c r="T59" i="1" s="1"/>
  <c r="CV59" i="1"/>
  <c r="U59" i="1" s="1"/>
  <c r="CW59" i="1"/>
  <c r="GL59" i="1"/>
  <c r="GO59" i="1"/>
  <c r="GP59" i="1"/>
  <c r="GV59" i="1"/>
  <c r="HC59" i="1"/>
  <c r="GX59" i="1" s="1"/>
  <c r="C60" i="1"/>
  <c r="D60" i="1"/>
  <c r="I60" i="1"/>
  <c r="K60" i="1"/>
  <c r="R60" i="1"/>
  <c r="S60" i="1"/>
  <c r="W60" i="1"/>
  <c r="AC60" i="1"/>
  <c r="AE60" i="1"/>
  <c r="AD60" i="1" s="1"/>
  <c r="AF60" i="1"/>
  <c r="AG60" i="1"/>
  <c r="CU60" i="1" s="1"/>
  <c r="T60" i="1" s="1"/>
  <c r="AH60" i="1"/>
  <c r="AI60" i="1"/>
  <c r="AJ60" i="1"/>
  <c r="CR60" i="1"/>
  <c r="CS60" i="1"/>
  <c r="CT60" i="1"/>
  <c r="CV60" i="1"/>
  <c r="U60" i="1" s="1"/>
  <c r="CW60" i="1"/>
  <c r="V60" i="1" s="1"/>
  <c r="CX60" i="1"/>
  <c r="GL60" i="1"/>
  <c r="GO60" i="1"/>
  <c r="GP60" i="1"/>
  <c r="GV60" i="1"/>
  <c r="HC60" i="1" s="1"/>
  <c r="GX60" i="1" s="1"/>
  <c r="C61" i="1"/>
  <c r="D61" i="1"/>
  <c r="I61" i="1"/>
  <c r="K61" i="1"/>
  <c r="P61" i="1"/>
  <c r="CP61" i="1" s="1"/>
  <c r="O61" i="1" s="1"/>
  <c r="GM61" i="1" s="1"/>
  <c r="GN61" i="1" s="1"/>
  <c r="R61" i="1"/>
  <c r="S61" i="1"/>
  <c r="Y61" i="1" s="1"/>
  <c r="X61" i="1"/>
  <c r="AC61" i="1"/>
  <c r="AB61" i="1" s="1"/>
  <c r="AD61" i="1"/>
  <c r="AE61" i="1"/>
  <c r="Q61" i="1" s="1"/>
  <c r="AF61" i="1"/>
  <c r="AG61" i="1"/>
  <c r="AH61" i="1"/>
  <c r="CV61" i="1" s="1"/>
  <c r="U61" i="1" s="1"/>
  <c r="AI61" i="1"/>
  <c r="AJ61" i="1"/>
  <c r="CQ61" i="1"/>
  <c r="CR61" i="1"/>
  <c r="CS61" i="1"/>
  <c r="CT61" i="1"/>
  <c r="CU61" i="1"/>
  <c r="T61" i="1" s="1"/>
  <c r="CW61" i="1"/>
  <c r="V61" i="1" s="1"/>
  <c r="CX61" i="1"/>
  <c r="W61" i="1" s="1"/>
  <c r="CY61" i="1"/>
  <c r="GL61" i="1"/>
  <c r="GO61" i="1"/>
  <c r="GP61" i="1"/>
  <c r="GV61" i="1"/>
  <c r="HC61" i="1" s="1"/>
  <c r="GX61" i="1" s="1"/>
  <c r="C62" i="1"/>
  <c r="D62" i="1"/>
  <c r="I62" i="1"/>
  <c r="K62" i="1"/>
  <c r="AC62" i="1"/>
  <c r="AE62" i="1"/>
  <c r="AF62" i="1"/>
  <c r="AG62" i="1"/>
  <c r="AH62" i="1"/>
  <c r="AI62" i="1"/>
  <c r="CW62" i="1" s="1"/>
  <c r="AJ62" i="1"/>
  <c r="CQ62" i="1"/>
  <c r="CT62" i="1"/>
  <c r="CU62" i="1"/>
  <c r="CV62" i="1"/>
  <c r="U62" i="1" s="1"/>
  <c r="CX62" i="1"/>
  <c r="GL62" i="1"/>
  <c r="GN62" i="1"/>
  <c r="GP62" i="1"/>
  <c r="GV62" i="1"/>
  <c r="HC62" i="1"/>
  <c r="C63" i="1"/>
  <c r="D63" i="1"/>
  <c r="I63" i="1"/>
  <c r="P63" i="1" s="1"/>
  <c r="K63" i="1"/>
  <c r="R63" i="1"/>
  <c r="AC63" i="1"/>
  <c r="AE63" i="1"/>
  <c r="Q63" i="1" s="1"/>
  <c r="AF63" i="1"/>
  <c r="AG63" i="1"/>
  <c r="AH63" i="1"/>
  <c r="AI63" i="1"/>
  <c r="AJ63" i="1"/>
  <c r="CX63" i="1" s="1"/>
  <c r="W63" i="1" s="1"/>
  <c r="CQ63" i="1"/>
  <c r="CR63" i="1"/>
  <c r="CS63" i="1"/>
  <c r="CU63" i="1"/>
  <c r="T63" i="1" s="1"/>
  <c r="CV63" i="1"/>
  <c r="U63" i="1" s="1"/>
  <c r="CW63" i="1"/>
  <c r="V63" i="1" s="1"/>
  <c r="GL63" i="1"/>
  <c r="GN63" i="1"/>
  <c r="GP63" i="1"/>
  <c r="GV63" i="1"/>
  <c r="HC63" i="1"/>
  <c r="GX63" i="1" s="1"/>
  <c r="B65" i="1"/>
  <c r="B26" i="1" s="1"/>
  <c r="C65" i="1"/>
  <c r="C26" i="1" s="1"/>
  <c r="D65" i="1"/>
  <c r="D26" i="1" s="1"/>
  <c r="F65" i="1"/>
  <c r="F26" i="1" s="1"/>
  <c r="G65" i="1"/>
  <c r="G26" i="1" s="1"/>
  <c r="AU65" i="1"/>
  <c r="BC65" i="1"/>
  <c r="BC26" i="1" s="1"/>
  <c r="BX65" i="1"/>
  <c r="BX26" i="1" s="1"/>
  <c r="BY65" i="1"/>
  <c r="BZ65" i="1"/>
  <c r="CD65" i="1"/>
  <c r="CD26" i="1" s="1"/>
  <c r="CK65" i="1"/>
  <c r="CL65" i="1"/>
  <c r="CL26" i="1" s="1"/>
  <c r="CM65" i="1"/>
  <c r="CM26" i="1" s="1"/>
  <c r="DZ65" i="1"/>
  <c r="FP65" i="1"/>
  <c r="FQ65" i="1"/>
  <c r="FQ26" i="1" s="1"/>
  <c r="GC65" i="1"/>
  <c r="GC26" i="1" s="1"/>
  <c r="GD65" i="1"/>
  <c r="GD26" i="1" s="1"/>
  <c r="GE65" i="1"/>
  <c r="F81" i="1"/>
  <c r="D95" i="1"/>
  <c r="E97" i="1"/>
  <c r="F97" i="1"/>
  <c r="Z97" i="1"/>
  <c r="AA97" i="1"/>
  <c r="AM97" i="1"/>
  <c r="AN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CN97" i="1"/>
  <c r="CO97" i="1"/>
  <c r="CP97" i="1"/>
  <c r="CQ97" i="1"/>
  <c r="CR97" i="1"/>
  <c r="CS97" i="1"/>
  <c r="CT97" i="1"/>
  <c r="CU97" i="1"/>
  <c r="CV97" i="1"/>
  <c r="CW97" i="1"/>
  <c r="CX97" i="1"/>
  <c r="CY97" i="1"/>
  <c r="CZ97" i="1"/>
  <c r="DA97" i="1"/>
  <c r="DB97" i="1"/>
  <c r="DC97" i="1"/>
  <c r="DD97" i="1"/>
  <c r="DE97" i="1"/>
  <c r="DF97" i="1"/>
  <c r="DR97" i="1"/>
  <c r="DS97" i="1"/>
  <c r="EE97" i="1"/>
  <c r="EF97" i="1"/>
  <c r="EW97" i="1"/>
  <c r="EX97" i="1"/>
  <c r="EY97" i="1"/>
  <c r="EZ97" i="1"/>
  <c r="FA97" i="1"/>
  <c r="FB97" i="1"/>
  <c r="FC97" i="1"/>
  <c r="FD97" i="1"/>
  <c r="FE97" i="1"/>
  <c r="FF97" i="1"/>
  <c r="FG97" i="1"/>
  <c r="FH97" i="1"/>
  <c r="FI97" i="1"/>
  <c r="FJ97" i="1"/>
  <c r="FK97" i="1"/>
  <c r="FL97" i="1"/>
  <c r="FM97" i="1"/>
  <c r="FN97" i="1"/>
  <c r="FO97" i="1"/>
  <c r="GF97" i="1"/>
  <c r="GG97" i="1"/>
  <c r="GH97" i="1"/>
  <c r="GI97" i="1"/>
  <c r="GJ97" i="1"/>
  <c r="GK97" i="1"/>
  <c r="GL97" i="1"/>
  <c r="GM97" i="1"/>
  <c r="GN97" i="1"/>
  <c r="GO97" i="1"/>
  <c r="GP97" i="1"/>
  <c r="GQ97" i="1"/>
  <c r="GR97" i="1"/>
  <c r="GS97" i="1"/>
  <c r="GT97" i="1"/>
  <c r="GU97" i="1"/>
  <c r="GV97" i="1"/>
  <c r="GW97" i="1"/>
  <c r="GX97" i="1"/>
  <c r="C99" i="1"/>
  <c r="D99" i="1"/>
  <c r="P99" i="1"/>
  <c r="R99" i="1"/>
  <c r="S99" i="1"/>
  <c r="X99" i="1"/>
  <c r="AC99" i="1"/>
  <c r="AD99" i="1"/>
  <c r="AE99" i="1"/>
  <c r="Q99" i="1" s="1"/>
  <c r="AF99" i="1"/>
  <c r="AG99" i="1"/>
  <c r="AH99" i="1"/>
  <c r="CV99" i="1" s="1"/>
  <c r="U99" i="1" s="1"/>
  <c r="AI99" i="1"/>
  <c r="AJ99" i="1"/>
  <c r="CQ99" i="1"/>
  <c r="CR99" i="1"/>
  <c r="CS99" i="1"/>
  <c r="CT99" i="1"/>
  <c r="CU99" i="1"/>
  <c r="T99" i="1" s="1"/>
  <c r="CW99" i="1"/>
  <c r="V99" i="1" s="1"/>
  <c r="CX99" i="1"/>
  <c r="W99" i="1" s="1"/>
  <c r="CY99" i="1"/>
  <c r="GL99" i="1"/>
  <c r="GN99" i="1"/>
  <c r="GP99" i="1"/>
  <c r="GV99" i="1"/>
  <c r="HC99" i="1" s="1"/>
  <c r="GX99" i="1"/>
  <c r="C100" i="1"/>
  <c r="D100" i="1"/>
  <c r="R100" i="1"/>
  <c r="S100" i="1"/>
  <c r="AC100" i="1"/>
  <c r="AE100" i="1"/>
  <c r="Q100" i="1" s="1"/>
  <c r="AF100" i="1"/>
  <c r="AG100" i="1"/>
  <c r="CU100" i="1" s="1"/>
  <c r="T100" i="1" s="1"/>
  <c r="AH100" i="1"/>
  <c r="AI100" i="1"/>
  <c r="AJ100" i="1"/>
  <c r="CR100" i="1"/>
  <c r="CS100" i="1"/>
  <c r="CT100" i="1"/>
  <c r="CV100" i="1"/>
  <c r="U100" i="1" s="1"/>
  <c r="CW100" i="1"/>
  <c r="V100" i="1" s="1"/>
  <c r="CX100" i="1"/>
  <c r="W100" i="1" s="1"/>
  <c r="GL100" i="1"/>
  <c r="GN100" i="1"/>
  <c r="GP100" i="1"/>
  <c r="GV100" i="1"/>
  <c r="HC100" i="1" s="1"/>
  <c r="GX100" i="1" s="1"/>
  <c r="P101" i="1"/>
  <c r="R101" i="1"/>
  <c r="S101" i="1"/>
  <c r="T101" i="1"/>
  <c r="W101" i="1"/>
  <c r="X101" i="1"/>
  <c r="AC101" i="1"/>
  <c r="AD101" i="1"/>
  <c r="AE101" i="1"/>
  <c r="Q101" i="1" s="1"/>
  <c r="AF101" i="1"/>
  <c r="AG101" i="1"/>
  <c r="AH101" i="1"/>
  <c r="CV101" i="1" s="1"/>
  <c r="U101" i="1" s="1"/>
  <c r="AI101" i="1"/>
  <c r="AJ101" i="1"/>
  <c r="CQ101" i="1"/>
  <c r="CR101" i="1"/>
  <c r="CS101" i="1"/>
  <c r="CT101" i="1"/>
  <c r="CU101" i="1"/>
  <c r="CW101" i="1"/>
  <c r="V101" i="1" s="1"/>
  <c r="CX101" i="1"/>
  <c r="CY101" i="1"/>
  <c r="GL101" i="1"/>
  <c r="GN101" i="1"/>
  <c r="GO101" i="1"/>
  <c r="GP101" i="1"/>
  <c r="GV101" i="1"/>
  <c r="HC101" i="1" s="1"/>
  <c r="GX101" i="1" s="1"/>
  <c r="R102" i="1"/>
  <c r="S102" i="1"/>
  <c r="X102" i="1"/>
  <c r="AC102" i="1"/>
  <c r="AD102" i="1"/>
  <c r="AE102" i="1"/>
  <c r="Q102" i="1" s="1"/>
  <c r="AF102" i="1"/>
  <c r="AG102" i="1"/>
  <c r="CU102" i="1" s="1"/>
  <c r="T102" i="1" s="1"/>
  <c r="AH102" i="1"/>
  <c r="CV102" i="1" s="1"/>
  <c r="U102" i="1" s="1"/>
  <c r="AI102" i="1"/>
  <c r="AJ102" i="1"/>
  <c r="CR102" i="1"/>
  <c r="CS102" i="1"/>
  <c r="CT102" i="1"/>
  <c r="CW102" i="1"/>
  <c r="V102" i="1" s="1"/>
  <c r="CX102" i="1"/>
  <c r="W102" i="1" s="1"/>
  <c r="CY102" i="1"/>
  <c r="GL102" i="1"/>
  <c r="GN102" i="1"/>
  <c r="GO102" i="1"/>
  <c r="GP102" i="1"/>
  <c r="GV102" i="1"/>
  <c r="HC102" i="1" s="1"/>
  <c r="GX102" i="1" s="1"/>
  <c r="C103" i="1"/>
  <c r="D103" i="1"/>
  <c r="P103" i="1"/>
  <c r="R103" i="1"/>
  <c r="U103" i="1"/>
  <c r="AB103" i="1"/>
  <c r="AC103" i="1"/>
  <c r="AE103" i="1"/>
  <c r="AD103" i="1" s="1"/>
  <c r="AF103" i="1"/>
  <c r="AG103" i="1"/>
  <c r="AH103" i="1"/>
  <c r="AI103" i="1"/>
  <c r="AJ103" i="1"/>
  <c r="CX103" i="1" s="1"/>
  <c r="W103" i="1" s="1"/>
  <c r="CQ103" i="1"/>
  <c r="CR103" i="1"/>
  <c r="CS103" i="1"/>
  <c r="CU103" i="1"/>
  <c r="T103" i="1" s="1"/>
  <c r="CV103" i="1"/>
  <c r="CW103" i="1"/>
  <c r="V103" i="1" s="1"/>
  <c r="GL103" i="1"/>
  <c r="GN103" i="1"/>
  <c r="GP103" i="1"/>
  <c r="GV103" i="1"/>
  <c r="HC103" i="1"/>
  <c r="GX103" i="1" s="1"/>
  <c r="C104" i="1"/>
  <c r="D104" i="1"/>
  <c r="P104" i="1"/>
  <c r="Q104" i="1"/>
  <c r="S104" i="1"/>
  <c r="X104" i="1"/>
  <c r="Y104" i="1"/>
  <c r="AC104" i="1"/>
  <c r="AE104" i="1"/>
  <c r="AF104" i="1"/>
  <c r="AG104" i="1"/>
  <c r="AH104" i="1"/>
  <c r="AI104" i="1"/>
  <c r="CW104" i="1" s="1"/>
  <c r="V104" i="1" s="1"/>
  <c r="AJ104" i="1"/>
  <c r="CQ104" i="1"/>
  <c r="CT104" i="1"/>
  <c r="CU104" i="1"/>
  <c r="T104" i="1" s="1"/>
  <c r="CV104" i="1"/>
  <c r="U104" i="1" s="1"/>
  <c r="CX104" i="1"/>
  <c r="W104" i="1" s="1"/>
  <c r="CY104" i="1"/>
  <c r="CZ104" i="1"/>
  <c r="GL104" i="1"/>
  <c r="GN104" i="1"/>
  <c r="GP104" i="1"/>
  <c r="GV104" i="1"/>
  <c r="HC104" i="1"/>
  <c r="GX104" i="1" s="1"/>
  <c r="P105" i="1"/>
  <c r="U105" i="1"/>
  <c r="AC105" i="1"/>
  <c r="AE105" i="1"/>
  <c r="AF105" i="1"/>
  <c r="AG105" i="1"/>
  <c r="AH105" i="1"/>
  <c r="AI105" i="1"/>
  <c r="CW105" i="1" s="1"/>
  <c r="V105" i="1" s="1"/>
  <c r="AJ105" i="1"/>
  <c r="CX105" i="1" s="1"/>
  <c r="W105" i="1" s="1"/>
  <c r="CQ105" i="1"/>
  <c r="CU105" i="1"/>
  <c r="T105" i="1" s="1"/>
  <c r="CV105" i="1"/>
  <c r="FR105" i="1"/>
  <c r="GL105" i="1"/>
  <c r="GN105" i="1"/>
  <c r="GO105" i="1"/>
  <c r="GP105" i="1"/>
  <c r="GV105" i="1"/>
  <c r="HC105" i="1"/>
  <c r="GX105" i="1" s="1"/>
  <c r="P106" i="1"/>
  <c r="R106" i="1"/>
  <c r="AB106" i="1"/>
  <c r="AC106" i="1"/>
  <c r="AE106" i="1"/>
  <c r="AD106" i="1" s="1"/>
  <c r="AF106" i="1"/>
  <c r="AG106" i="1"/>
  <c r="AH106" i="1"/>
  <c r="AI106" i="1"/>
  <c r="AJ106" i="1"/>
  <c r="CX106" i="1" s="1"/>
  <c r="W106" i="1" s="1"/>
  <c r="CQ106" i="1"/>
  <c r="CR106" i="1"/>
  <c r="CS106" i="1"/>
  <c r="CU106" i="1"/>
  <c r="T106" i="1" s="1"/>
  <c r="CV106" i="1"/>
  <c r="U106" i="1" s="1"/>
  <c r="CW106" i="1"/>
  <c r="V106" i="1" s="1"/>
  <c r="FR106" i="1"/>
  <c r="GL106" i="1"/>
  <c r="GN106" i="1"/>
  <c r="GO106" i="1"/>
  <c r="GP106" i="1"/>
  <c r="GV106" i="1"/>
  <c r="GX106" i="1"/>
  <c r="HC106" i="1"/>
  <c r="C107" i="1"/>
  <c r="D107" i="1"/>
  <c r="R107" i="1"/>
  <c r="S107" i="1"/>
  <c r="AC107" i="1"/>
  <c r="AD107" i="1"/>
  <c r="AE107" i="1"/>
  <c r="Q107" i="1" s="1"/>
  <c r="AF107" i="1"/>
  <c r="AG107" i="1"/>
  <c r="CU107" i="1" s="1"/>
  <c r="T107" i="1" s="1"/>
  <c r="AH107" i="1"/>
  <c r="CV107" i="1" s="1"/>
  <c r="U107" i="1" s="1"/>
  <c r="AI107" i="1"/>
  <c r="AJ107" i="1"/>
  <c r="CR107" i="1"/>
  <c r="CS107" i="1"/>
  <c r="CT107" i="1"/>
  <c r="CW107" i="1"/>
  <c r="V107" i="1" s="1"/>
  <c r="CX107" i="1"/>
  <c r="W107" i="1" s="1"/>
  <c r="CY107" i="1"/>
  <c r="GL107" i="1"/>
  <c r="GN107" i="1"/>
  <c r="GP107" i="1"/>
  <c r="GV107" i="1"/>
  <c r="HC107" i="1" s="1"/>
  <c r="GX107" i="1" s="1"/>
  <c r="C108" i="1"/>
  <c r="D108" i="1"/>
  <c r="R108" i="1"/>
  <c r="V108" i="1"/>
  <c r="AC108" i="1"/>
  <c r="AE108" i="1"/>
  <c r="Q108" i="1" s="1"/>
  <c r="AF108" i="1"/>
  <c r="S108" i="1" s="1"/>
  <c r="AG108" i="1"/>
  <c r="CU108" i="1" s="1"/>
  <c r="T108" i="1" s="1"/>
  <c r="AH108" i="1"/>
  <c r="AI108" i="1"/>
  <c r="AJ108" i="1"/>
  <c r="CR108" i="1"/>
  <c r="CS108" i="1"/>
  <c r="CT108" i="1"/>
  <c r="CV108" i="1"/>
  <c r="U108" i="1" s="1"/>
  <c r="CW108" i="1"/>
  <c r="CX108" i="1"/>
  <c r="W108" i="1" s="1"/>
  <c r="GL108" i="1"/>
  <c r="GN108" i="1"/>
  <c r="GP108" i="1"/>
  <c r="GV108" i="1"/>
  <c r="HC108" i="1" s="1"/>
  <c r="GX108" i="1" s="1"/>
  <c r="I109" i="1"/>
  <c r="Q109" i="1" s="1"/>
  <c r="R109" i="1"/>
  <c r="S109" i="1"/>
  <c r="AC109" i="1"/>
  <c r="AE109" i="1"/>
  <c r="AD109" i="1" s="1"/>
  <c r="AF109" i="1"/>
  <c r="AG109" i="1"/>
  <c r="CU109" i="1" s="1"/>
  <c r="T109" i="1" s="1"/>
  <c r="AH109" i="1"/>
  <c r="AI109" i="1"/>
  <c r="AJ109" i="1"/>
  <c r="CX109" i="1" s="1"/>
  <c r="W109" i="1" s="1"/>
  <c r="CR109" i="1"/>
  <c r="CS109" i="1"/>
  <c r="CT109" i="1"/>
  <c r="CV109" i="1"/>
  <c r="U109" i="1" s="1"/>
  <c r="CW109" i="1"/>
  <c r="V109" i="1" s="1"/>
  <c r="GL109" i="1"/>
  <c r="GN109" i="1"/>
  <c r="GO109" i="1"/>
  <c r="GP109" i="1"/>
  <c r="GV109" i="1"/>
  <c r="HC109" i="1"/>
  <c r="GX109" i="1" s="1"/>
  <c r="I110" i="1"/>
  <c r="P110" i="1" s="1"/>
  <c r="Q110" i="1"/>
  <c r="R110" i="1"/>
  <c r="AB110" i="1"/>
  <c r="AC110" i="1"/>
  <c r="AE110" i="1"/>
  <c r="AD110" i="1" s="1"/>
  <c r="AF110" i="1"/>
  <c r="AG110" i="1"/>
  <c r="AH110" i="1"/>
  <c r="AI110" i="1"/>
  <c r="AJ110" i="1"/>
  <c r="CX110" i="1" s="1"/>
  <c r="W110" i="1" s="1"/>
  <c r="CQ110" i="1"/>
  <c r="CR110" i="1"/>
  <c r="CS110" i="1"/>
  <c r="CU110" i="1"/>
  <c r="T110" i="1" s="1"/>
  <c r="CV110" i="1"/>
  <c r="U110" i="1" s="1"/>
  <c r="CW110" i="1"/>
  <c r="V110" i="1" s="1"/>
  <c r="FR110" i="1"/>
  <c r="GL110" i="1"/>
  <c r="GN110" i="1"/>
  <c r="GO110" i="1"/>
  <c r="GP110" i="1"/>
  <c r="GV110" i="1"/>
  <c r="GX110" i="1"/>
  <c r="HC110" i="1"/>
  <c r="C111" i="1"/>
  <c r="D111" i="1"/>
  <c r="I111" i="1"/>
  <c r="K111" i="1"/>
  <c r="AB111" i="1"/>
  <c r="AC111" i="1"/>
  <c r="AE111" i="1"/>
  <c r="AD111" i="1" s="1"/>
  <c r="AF111" i="1"/>
  <c r="AG111" i="1"/>
  <c r="AH111" i="1"/>
  <c r="AI111" i="1"/>
  <c r="AJ111" i="1"/>
  <c r="CX111" i="1" s="1"/>
  <c r="CQ111" i="1"/>
  <c r="CR111" i="1"/>
  <c r="CS111" i="1"/>
  <c r="CU111" i="1"/>
  <c r="CV111" i="1"/>
  <c r="U111" i="1" s="1"/>
  <c r="CW111" i="1"/>
  <c r="V111" i="1" s="1"/>
  <c r="GL111" i="1"/>
  <c r="GN111" i="1"/>
  <c r="GP111" i="1"/>
  <c r="GV111" i="1"/>
  <c r="HC111" i="1"/>
  <c r="C112" i="1"/>
  <c r="D112" i="1"/>
  <c r="I112" i="1"/>
  <c r="K112" i="1"/>
  <c r="R112" i="1"/>
  <c r="V112" i="1"/>
  <c r="AC112" i="1"/>
  <c r="AE112" i="1"/>
  <c r="Q112" i="1" s="1"/>
  <c r="AF112" i="1"/>
  <c r="S112" i="1" s="1"/>
  <c r="AG112" i="1"/>
  <c r="CU112" i="1" s="1"/>
  <c r="T112" i="1" s="1"/>
  <c r="AH112" i="1"/>
  <c r="AI112" i="1"/>
  <c r="AJ112" i="1"/>
  <c r="CR112" i="1"/>
  <c r="CS112" i="1"/>
  <c r="CT112" i="1"/>
  <c r="CV112" i="1"/>
  <c r="U112" i="1" s="1"/>
  <c r="CW112" i="1"/>
  <c r="CX112" i="1"/>
  <c r="W112" i="1" s="1"/>
  <c r="GL112" i="1"/>
  <c r="GN112" i="1"/>
  <c r="GP112" i="1"/>
  <c r="GV112" i="1"/>
  <c r="HC112" i="1" s="1"/>
  <c r="GX112" i="1" s="1"/>
  <c r="R113" i="1"/>
  <c r="S113" i="1"/>
  <c r="X113" i="1"/>
  <c r="AC113" i="1"/>
  <c r="AD113" i="1"/>
  <c r="AE113" i="1"/>
  <c r="Q113" i="1" s="1"/>
  <c r="AF113" i="1"/>
  <c r="AG113" i="1"/>
  <c r="CU113" i="1" s="1"/>
  <c r="T113" i="1" s="1"/>
  <c r="AH113" i="1"/>
  <c r="CV113" i="1" s="1"/>
  <c r="U113" i="1" s="1"/>
  <c r="AI113" i="1"/>
  <c r="AJ113" i="1"/>
  <c r="CR113" i="1"/>
  <c r="CS113" i="1"/>
  <c r="CT113" i="1"/>
  <c r="CW113" i="1"/>
  <c r="V113" i="1" s="1"/>
  <c r="CX113" i="1"/>
  <c r="W113" i="1" s="1"/>
  <c r="CY113" i="1"/>
  <c r="GL113" i="1"/>
  <c r="GN113" i="1"/>
  <c r="GO113" i="1"/>
  <c r="GP113" i="1"/>
  <c r="GV113" i="1"/>
  <c r="HC113" i="1" s="1"/>
  <c r="GX113" i="1" s="1"/>
  <c r="P114" i="1"/>
  <c r="R114" i="1"/>
  <c r="S114" i="1"/>
  <c r="T114" i="1"/>
  <c r="W114" i="1"/>
  <c r="X114" i="1"/>
  <c r="AC114" i="1"/>
  <c r="AD114" i="1"/>
  <c r="AE114" i="1"/>
  <c r="Q114" i="1" s="1"/>
  <c r="AF114" i="1"/>
  <c r="AG114" i="1"/>
  <c r="AH114" i="1"/>
  <c r="CV114" i="1" s="1"/>
  <c r="U114" i="1" s="1"/>
  <c r="AI114" i="1"/>
  <c r="AJ114" i="1"/>
  <c r="CQ114" i="1"/>
  <c r="CR114" i="1"/>
  <c r="CS114" i="1"/>
  <c r="CT114" i="1"/>
  <c r="CU114" i="1"/>
  <c r="CW114" i="1"/>
  <c r="V114" i="1" s="1"/>
  <c r="CX114" i="1"/>
  <c r="CY114" i="1"/>
  <c r="GL114" i="1"/>
  <c r="GN114" i="1"/>
  <c r="GO114" i="1"/>
  <c r="GP114" i="1"/>
  <c r="GV114" i="1"/>
  <c r="HC114" i="1" s="1"/>
  <c r="GX114" i="1" s="1"/>
  <c r="R115" i="1"/>
  <c r="S115" i="1"/>
  <c r="X115" i="1"/>
  <c r="AC115" i="1"/>
  <c r="AD115" i="1"/>
  <c r="AE115" i="1"/>
  <c r="Q115" i="1" s="1"/>
  <c r="AF115" i="1"/>
  <c r="AG115" i="1"/>
  <c r="CU115" i="1" s="1"/>
  <c r="T115" i="1" s="1"/>
  <c r="AH115" i="1"/>
  <c r="CV115" i="1" s="1"/>
  <c r="U115" i="1" s="1"/>
  <c r="AI115" i="1"/>
  <c r="AJ115" i="1"/>
  <c r="CR115" i="1"/>
  <c r="CS115" i="1"/>
  <c r="CT115" i="1"/>
  <c r="CW115" i="1"/>
  <c r="V115" i="1" s="1"/>
  <c r="CX115" i="1"/>
  <c r="W115" i="1" s="1"/>
  <c r="CY115" i="1"/>
  <c r="GL115" i="1"/>
  <c r="GN115" i="1"/>
  <c r="GO115" i="1"/>
  <c r="GP115" i="1"/>
  <c r="GV115" i="1"/>
  <c r="HC115" i="1" s="1"/>
  <c r="GX115" i="1" s="1"/>
  <c r="P116" i="1"/>
  <c r="R116" i="1"/>
  <c r="S116" i="1"/>
  <c r="T116" i="1"/>
  <c r="W116" i="1"/>
  <c r="AC116" i="1"/>
  <c r="AD116" i="1"/>
  <c r="AE116" i="1"/>
  <c r="Q116" i="1" s="1"/>
  <c r="AF116" i="1"/>
  <c r="AG116" i="1"/>
  <c r="AH116" i="1"/>
  <c r="CV116" i="1" s="1"/>
  <c r="U116" i="1" s="1"/>
  <c r="AI116" i="1"/>
  <c r="AJ116" i="1"/>
  <c r="CQ116" i="1"/>
  <c r="CR116" i="1"/>
  <c r="CS116" i="1"/>
  <c r="CT116" i="1"/>
  <c r="CU116" i="1"/>
  <c r="CW116" i="1"/>
  <c r="V116" i="1" s="1"/>
  <c r="CX116" i="1"/>
  <c r="CY116" i="1"/>
  <c r="GL116" i="1"/>
  <c r="GN116" i="1"/>
  <c r="GO116" i="1"/>
  <c r="GP116" i="1"/>
  <c r="GV116" i="1"/>
  <c r="HC116" i="1" s="1"/>
  <c r="GX116" i="1" s="1"/>
  <c r="R117" i="1"/>
  <c r="S117" i="1"/>
  <c r="CY117" i="1" s="1"/>
  <c r="AC117" i="1"/>
  <c r="AD117" i="1"/>
  <c r="AE117" i="1"/>
  <c r="Q117" i="1" s="1"/>
  <c r="AF117" i="1"/>
  <c r="AG117" i="1"/>
  <c r="CU117" i="1" s="1"/>
  <c r="T117" i="1" s="1"/>
  <c r="AH117" i="1"/>
  <c r="CV117" i="1" s="1"/>
  <c r="U117" i="1" s="1"/>
  <c r="AI117" i="1"/>
  <c r="AJ117" i="1"/>
  <c r="CR117" i="1"/>
  <c r="CS117" i="1"/>
  <c r="CT117" i="1"/>
  <c r="CW117" i="1"/>
  <c r="V117" i="1" s="1"/>
  <c r="CX117" i="1"/>
  <c r="W117" i="1" s="1"/>
  <c r="GL117" i="1"/>
  <c r="GN117" i="1"/>
  <c r="GO117" i="1"/>
  <c r="GP117" i="1"/>
  <c r="GV117" i="1"/>
  <c r="HC117" i="1" s="1"/>
  <c r="GX117" i="1" s="1"/>
  <c r="P118" i="1"/>
  <c r="R118" i="1"/>
  <c r="S118" i="1"/>
  <c r="W118" i="1"/>
  <c r="AC118" i="1"/>
  <c r="AD118" i="1"/>
  <c r="AE118" i="1"/>
  <c r="Q118" i="1" s="1"/>
  <c r="AF118" i="1"/>
  <c r="AG118" i="1"/>
  <c r="AH118" i="1"/>
  <c r="CV118" i="1" s="1"/>
  <c r="U118" i="1" s="1"/>
  <c r="AI118" i="1"/>
  <c r="AJ118" i="1"/>
  <c r="CQ118" i="1"/>
  <c r="CR118" i="1"/>
  <c r="CS118" i="1"/>
  <c r="CT118" i="1"/>
  <c r="CU118" i="1"/>
  <c r="T118" i="1" s="1"/>
  <c r="CW118" i="1"/>
  <c r="V118" i="1" s="1"/>
  <c r="CX118" i="1"/>
  <c r="CY118" i="1"/>
  <c r="GL118" i="1"/>
  <c r="GN118" i="1"/>
  <c r="GO118" i="1"/>
  <c r="GP118" i="1"/>
  <c r="GV118" i="1"/>
  <c r="HC118" i="1" s="1"/>
  <c r="GX118" i="1" s="1"/>
  <c r="S119" i="1"/>
  <c r="X119" i="1" s="1"/>
  <c r="Y119" i="1"/>
  <c r="AC119" i="1"/>
  <c r="AE119" i="1"/>
  <c r="AF119" i="1"/>
  <c r="AG119" i="1"/>
  <c r="CU119" i="1" s="1"/>
  <c r="T119" i="1" s="1"/>
  <c r="AH119" i="1"/>
  <c r="AI119" i="1"/>
  <c r="CW119" i="1" s="1"/>
  <c r="V119" i="1" s="1"/>
  <c r="AJ119" i="1"/>
  <c r="CR119" i="1"/>
  <c r="CT119" i="1"/>
  <c r="CV119" i="1"/>
  <c r="U119" i="1" s="1"/>
  <c r="CX119" i="1"/>
  <c r="W119" i="1" s="1"/>
  <c r="CY119" i="1"/>
  <c r="CZ119" i="1"/>
  <c r="GL119" i="1"/>
  <c r="GN119" i="1"/>
  <c r="GO119" i="1"/>
  <c r="GP119" i="1"/>
  <c r="GV119" i="1"/>
  <c r="HC119" i="1" s="1"/>
  <c r="GX119" i="1"/>
  <c r="S120" i="1"/>
  <c r="T120" i="1"/>
  <c r="AC120" i="1"/>
  <c r="AE120" i="1"/>
  <c r="AF120" i="1"/>
  <c r="AG120" i="1"/>
  <c r="AH120" i="1"/>
  <c r="AI120" i="1"/>
  <c r="CW120" i="1" s="1"/>
  <c r="V120" i="1" s="1"/>
  <c r="AJ120" i="1"/>
  <c r="CQ120" i="1"/>
  <c r="CT120" i="1"/>
  <c r="CU120" i="1"/>
  <c r="CV120" i="1"/>
  <c r="U120" i="1" s="1"/>
  <c r="CX120" i="1"/>
  <c r="W120" i="1" s="1"/>
  <c r="CY120" i="1"/>
  <c r="GL120" i="1"/>
  <c r="GN120" i="1"/>
  <c r="GO120" i="1"/>
  <c r="GP120" i="1"/>
  <c r="GV120" i="1"/>
  <c r="HC120" i="1" s="1"/>
  <c r="GX120" i="1"/>
  <c r="Q121" i="1"/>
  <c r="S121" i="1"/>
  <c r="W121" i="1"/>
  <c r="X121" i="1"/>
  <c r="AC121" i="1"/>
  <c r="AE121" i="1"/>
  <c r="AF121" i="1"/>
  <c r="AG121" i="1"/>
  <c r="AH121" i="1"/>
  <c r="AI121" i="1"/>
  <c r="CW121" i="1" s="1"/>
  <c r="V121" i="1" s="1"/>
  <c r="AJ121" i="1"/>
  <c r="CQ121" i="1"/>
  <c r="CT121" i="1"/>
  <c r="CU121" i="1"/>
  <c r="T121" i="1" s="1"/>
  <c r="CV121" i="1"/>
  <c r="U121" i="1" s="1"/>
  <c r="CX121" i="1"/>
  <c r="GL121" i="1"/>
  <c r="GN121" i="1"/>
  <c r="GO121" i="1"/>
  <c r="GP121" i="1"/>
  <c r="GV121" i="1"/>
  <c r="HC121" i="1" s="1"/>
  <c r="GX121" i="1" s="1"/>
  <c r="P122" i="1"/>
  <c r="Q122" i="1"/>
  <c r="S122" i="1"/>
  <c r="W122" i="1"/>
  <c r="Y122" i="1"/>
  <c r="AC122" i="1"/>
  <c r="AD122" i="1"/>
  <c r="AE122" i="1"/>
  <c r="AF122" i="1"/>
  <c r="AG122" i="1"/>
  <c r="AH122" i="1"/>
  <c r="AI122" i="1"/>
  <c r="CW122" i="1" s="1"/>
  <c r="V122" i="1" s="1"/>
  <c r="AJ122" i="1"/>
  <c r="CQ122" i="1"/>
  <c r="CR122" i="1"/>
  <c r="CT122" i="1"/>
  <c r="CU122" i="1"/>
  <c r="T122" i="1" s="1"/>
  <c r="CV122" i="1"/>
  <c r="U122" i="1" s="1"/>
  <c r="CX122" i="1"/>
  <c r="CY122" i="1"/>
  <c r="CZ122" i="1"/>
  <c r="GL122" i="1"/>
  <c r="GN122" i="1"/>
  <c r="GO122" i="1"/>
  <c r="GP122" i="1"/>
  <c r="GV122" i="1"/>
  <c r="HC122" i="1" s="1"/>
  <c r="GX122" i="1"/>
  <c r="C123" i="1"/>
  <c r="D123" i="1"/>
  <c r="S123" i="1"/>
  <c r="AC123" i="1"/>
  <c r="AE123" i="1"/>
  <c r="AF123" i="1"/>
  <c r="AG123" i="1"/>
  <c r="CU123" i="1" s="1"/>
  <c r="T123" i="1" s="1"/>
  <c r="AH123" i="1"/>
  <c r="AI123" i="1"/>
  <c r="CW123" i="1" s="1"/>
  <c r="V123" i="1" s="1"/>
  <c r="AJ123" i="1"/>
  <c r="CT123" i="1"/>
  <c r="CV123" i="1"/>
  <c r="U123" i="1" s="1"/>
  <c r="CX123" i="1"/>
  <c r="W123" i="1" s="1"/>
  <c r="GL123" i="1"/>
  <c r="GN123" i="1"/>
  <c r="GP123" i="1"/>
  <c r="GV123" i="1"/>
  <c r="HC123" i="1"/>
  <c r="GX123" i="1" s="1"/>
  <c r="C124" i="1"/>
  <c r="D124" i="1"/>
  <c r="P124" i="1"/>
  <c r="Q124" i="1"/>
  <c r="S124" i="1"/>
  <c r="T124" i="1"/>
  <c r="X124" i="1"/>
  <c r="AC124" i="1"/>
  <c r="AE124" i="1"/>
  <c r="AF124" i="1"/>
  <c r="AG124" i="1"/>
  <c r="AH124" i="1"/>
  <c r="CV124" i="1" s="1"/>
  <c r="U124" i="1" s="1"/>
  <c r="AI124" i="1"/>
  <c r="CW124" i="1" s="1"/>
  <c r="V124" i="1" s="1"/>
  <c r="AJ124" i="1"/>
  <c r="CQ124" i="1"/>
  <c r="CT124" i="1"/>
  <c r="CU124" i="1"/>
  <c r="CX124" i="1"/>
  <c r="W124" i="1" s="1"/>
  <c r="CY124" i="1"/>
  <c r="GL124" i="1"/>
  <c r="GN124" i="1"/>
  <c r="GP124" i="1"/>
  <c r="GV124" i="1"/>
  <c r="HC124" i="1"/>
  <c r="GX124" i="1" s="1"/>
  <c r="P125" i="1"/>
  <c r="Q125" i="1"/>
  <c r="R125" i="1"/>
  <c r="U125" i="1"/>
  <c r="AB125" i="1"/>
  <c r="AC125" i="1"/>
  <c r="AE125" i="1"/>
  <c r="AD125" i="1" s="1"/>
  <c r="AF125" i="1"/>
  <c r="AG125" i="1"/>
  <c r="AH125" i="1"/>
  <c r="AI125" i="1"/>
  <c r="AJ125" i="1"/>
  <c r="CX125" i="1" s="1"/>
  <c r="W125" i="1" s="1"/>
  <c r="CQ125" i="1"/>
  <c r="CR125" i="1"/>
  <c r="CS125" i="1"/>
  <c r="CU125" i="1"/>
  <c r="T125" i="1" s="1"/>
  <c r="CV125" i="1"/>
  <c r="CW125" i="1"/>
  <c r="V125" i="1" s="1"/>
  <c r="FR125" i="1"/>
  <c r="GL125" i="1"/>
  <c r="GN125" i="1"/>
  <c r="GO125" i="1"/>
  <c r="GP125" i="1"/>
  <c r="GV125" i="1"/>
  <c r="GX125" i="1"/>
  <c r="HC125" i="1"/>
  <c r="P126" i="1"/>
  <c r="Q126" i="1"/>
  <c r="R126" i="1"/>
  <c r="AB126" i="1"/>
  <c r="AC126" i="1"/>
  <c r="AE126" i="1"/>
  <c r="AD126" i="1" s="1"/>
  <c r="AF126" i="1"/>
  <c r="AG126" i="1"/>
  <c r="AH126" i="1"/>
  <c r="AI126" i="1"/>
  <c r="CW126" i="1" s="1"/>
  <c r="V126" i="1" s="1"/>
  <c r="AJ126" i="1"/>
  <c r="CX126" i="1" s="1"/>
  <c r="W126" i="1" s="1"/>
  <c r="CQ126" i="1"/>
  <c r="CS126" i="1"/>
  <c r="CU126" i="1"/>
  <c r="T126" i="1" s="1"/>
  <c r="CV126" i="1"/>
  <c r="U126" i="1" s="1"/>
  <c r="FR126" i="1"/>
  <c r="GL126" i="1"/>
  <c r="GN126" i="1"/>
  <c r="GO126" i="1"/>
  <c r="GP126" i="1"/>
  <c r="GV126" i="1"/>
  <c r="HC126" i="1"/>
  <c r="GX126" i="1" s="1"/>
  <c r="C127" i="1"/>
  <c r="D127" i="1"/>
  <c r="R127" i="1"/>
  <c r="S127" i="1"/>
  <c r="AC127" i="1"/>
  <c r="AD127" i="1"/>
  <c r="AE127" i="1"/>
  <c r="Q127" i="1" s="1"/>
  <c r="AF127" i="1"/>
  <c r="AG127" i="1"/>
  <c r="CU127" i="1" s="1"/>
  <c r="T127" i="1" s="1"/>
  <c r="AH127" i="1"/>
  <c r="CV127" i="1" s="1"/>
  <c r="U127" i="1" s="1"/>
  <c r="AI127" i="1"/>
  <c r="AJ127" i="1"/>
  <c r="CR127" i="1"/>
  <c r="CS127" i="1"/>
  <c r="CT127" i="1"/>
  <c r="CW127" i="1"/>
  <c r="V127" i="1" s="1"/>
  <c r="CX127" i="1"/>
  <c r="W127" i="1" s="1"/>
  <c r="CY127" i="1"/>
  <c r="GL127" i="1"/>
  <c r="GN127" i="1"/>
  <c r="GP127" i="1"/>
  <c r="GV127" i="1"/>
  <c r="HC127" i="1" s="1"/>
  <c r="GX127" i="1"/>
  <c r="C128" i="1"/>
  <c r="D128" i="1"/>
  <c r="R128" i="1"/>
  <c r="S128" i="1"/>
  <c r="V128" i="1"/>
  <c r="AC128" i="1"/>
  <c r="AE128" i="1"/>
  <c r="AD128" i="1" s="1"/>
  <c r="AF128" i="1"/>
  <c r="AG128" i="1"/>
  <c r="CU128" i="1" s="1"/>
  <c r="T128" i="1" s="1"/>
  <c r="AH128" i="1"/>
  <c r="AI128" i="1"/>
  <c r="AJ128" i="1"/>
  <c r="CR128" i="1"/>
  <c r="CS128" i="1"/>
  <c r="CT128" i="1"/>
  <c r="CV128" i="1"/>
  <c r="U128" i="1" s="1"/>
  <c r="CW128" i="1"/>
  <c r="CX128" i="1"/>
  <c r="W128" i="1" s="1"/>
  <c r="GL128" i="1"/>
  <c r="GN128" i="1"/>
  <c r="GP128" i="1"/>
  <c r="GV128" i="1"/>
  <c r="HC128" i="1" s="1"/>
  <c r="GX128" i="1" s="1"/>
  <c r="P129" i="1"/>
  <c r="FR129" i="1" s="1"/>
  <c r="R129" i="1"/>
  <c r="S129" i="1"/>
  <c r="X129" i="1"/>
  <c r="AC129" i="1"/>
  <c r="AD129" i="1"/>
  <c r="AE129" i="1"/>
  <c r="Q129" i="1" s="1"/>
  <c r="AF129" i="1"/>
  <c r="AG129" i="1"/>
  <c r="AH129" i="1"/>
  <c r="CV129" i="1" s="1"/>
  <c r="U129" i="1" s="1"/>
  <c r="AI129" i="1"/>
  <c r="AJ129" i="1"/>
  <c r="CQ129" i="1"/>
  <c r="CR129" i="1"/>
  <c r="CS129" i="1"/>
  <c r="CT129" i="1"/>
  <c r="CU129" i="1"/>
  <c r="T129" i="1" s="1"/>
  <c r="CW129" i="1"/>
  <c r="V129" i="1" s="1"/>
  <c r="CX129" i="1"/>
  <c r="W129" i="1" s="1"/>
  <c r="CY129" i="1"/>
  <c r="GL129" i="1"/>
  <c r="GN129" i="1"/>
  <c r="GO129" i="1"/>
  <c r="GP129" i="1"/>
  <c r="GV129" i="1"/>
  <c r="HC129" i="1" s="1"/>
  <c r="GX129" i="1" s="1"/>
  <c r="R130" i="1"/>
  <c r="S130" i="1"/>
  <c r="T130" i="1"/>
  <c r="AC130" i="1"/>
  <c r="AD130" i="1"/>
  <c r="AE130" i="1"/>
  <c r="Q130" i="1" s="1"/>
  <c r="AF130" i="1"/>
  <c r="AG130" i="1"/>
  <c r="AH130" i="1"/>
  <c r="CV130" i="1" s="1"/>
  <c r="U130" i="1" s="1"/>
  <c r="AI130" i="1"/>
  <c r="AJ130" i="1"/>
  <c r="CQ130" i="1"/>
  <c r="CR130" i="1"/>
  <c r="CS130" i="1"/>
  <c r="CT130" i="1"/>
  <c r="CU130" i="1"/>
  <c r="CW130" i="1"/>
  <c r="V130" i="1" s="1"/>
  <c r="CX130" i="1"/>
  <c r="W130" i="1" s="1"/>
  <c r="CY130" i="1"/>
  <c r="GL130" i="1"/>
  <c r="GN130" i="1"/>
  <c r="GO130" i="1"/>
  <c r="GP130" i="1"/>
  <c r="GV130" i="1"/>
  <c r="HC130" i="1" s="1"/>
  <c r="GX130" i="1" s="1"/>
  <c r="C131" i="1"/>
  <c r="D131" i="1"/>
  <c r="P131" i="1"/>
  <c r="U131" i="1"/>
  <c r="V131" i="1"/>
  <c r="AC131" i="1"/>
  <c r="AE131" i="1"/>
  <c r="AF131" i="1"/>
  <c r="AG131" i="1"/>
  <c r="AH131" i="1"/>
  <c r="AI131" i="1"/>
  <c r="CW131" i="1" s="1"/>
  <c r="AJ131" i="1"/>
  <c r="CX131" i="1" s="1"/>
  <c r="W131" i="1" s="1"/>
  <c r="CQ131" i="1"/>
  <c r="CS131" i="1"/>
  <c r="CU131" i="1"/>
  <c r="T131" i="1" s="1"/>
  <c r="CV131" i="1"/>
  <c r="GL131" i="1"/>
  <c r="GN131" i="1"/>
  <c r="GP131" i="1"/>
  <c r="GV131" i="1"/>
  <c r="HC131" i="1"/>
  <c r="GX131" i="1" s="1"/>
  <c r="C132" i="1"/>
  <c r="D132" i="1"/>
  <c r="P132" i="1"/>
  <c r="S132" i="1"/>
  <c r="T132" i="1"/>
  <c r="Y132" i="1"/>
  <c r="AC132" i="1"/>
  <c r="AE132" i="1"/>
  <c r="AF132" i="1"/>
  <c r="AG132" i="1"/>
  <c r="AH132" i="1"/>
  <c r="AI132" i="1"/>
  <c r="CW132" i="1" s="1"/>
  <c r="V132" i="1" s="1"/>
  <c r="AJ132" i="1"/>
  <c r="CQ132" i="1"/>
  <c r="CT132" i="1"/>
  <c r="CU132" i="1"/>
  <c r="CV132" i="1"/>
  <c r="U132" i="1" s="1"/>
  <c r="CX132" i="1"/>
  <c r="W132" i="1" s="1"/>
  <c r="CY132" i="1"/>
  <c r="CZ132" i="1"/>
  <c r="GL132" i="1"/>
  <c r="GN132" i="1"/>
  <c r="GP132" i="1"/>
  <c r="GV132" i="1"/>
  <c r="HC132" i="1"/>
  <c r="GX132" i="1" s="1"/>
  <c r="P133" i="1"/>
  <c r="Q133" i="1"/>
  <c r="U133" i="1"/>
  <c r="AC133" i="1"/>
  <c r="AE133" i="1"/>
  <c r="AD133" i="1" s="1"/>
  <c r="AB133" i="1" s="1"/>
  <c r="AF133" i="1"/>
  <c r="AG133" i="1"/>
  <c r="AH133" i="1"/>
  <c r="AI133" i="1"/>
  <c r="CW133" i="1" s="1"/>
  <c r="V133" i="1" s="1"/>
  <c r="AJ133" i="1"/>
  <c r="CX133" i="1" s="1"/>
  <c r="W133" i="1" s="1"/>
  <c r="CQ133" i="1"/>
  <c r="CS133" i="1"/>
  <c r="CU133" i="1"/>
  <c r="T133" i="1" s="1"/>
  <c r="CV133" i="1"/>
  <c r="FR133" i="1"/>
  <c r="GL133" i="1"/>
  <c r="GN133" i="1"/>
  <c r="GO133" i="1"/>
  <c r="GP133" i="1"/>
  <c r="GV133" i="1"/>
  <c r="HC133" i="1"/>
  <c r="GX133" i="1" s="1"/>
  <c r="P134" i="1"/>
  <c r="U134" i="1"/>
  <c r="AC134" i="1"/>
  <c r="AE134" i="1"/>
  <c r="AF134" i="1"/>
  <c r="AG134" i="1"/>
  <c r="AH134" i="1"/>
  <c r="AI134" i="1"/>
  <c r="CW134" i="1" s="1"/>
  <c r="V134" i="1" s="1"/>
  <c r="AJ134" i="1"/>
  <c r="CX134" i="1" s="1"/>
  <c r="W134" i="1" s="1"/>
  <c r="CQ134" i="1"/>
  <c r="CS134" i="1"/>
  <c r="CU134" i="1"/>
  <c r="T134" i="1" s="1"/>
  <c r="CV134" i="1"/>
  <c r="FR134" i="1"/>
  <c r="GL134" i="1"/>
  <c r="GN134" i="1"/>
  <c r="GO134" i="1"/>
  <c r="GP134" i="1"/>
  <c r="GV134" i="1"/>
  <c r="HC134" i="1"/>
  <c r="GX134" i="1" s="1"/>
  <c r="C135" i="1"/>
  <c r="D135" i="1"/>
  <c r="I135" i="1"/>
  <c r="K135" i="1"/>
  <c r="AC135" i="1"/>
  <c r="AE135" i="1"/>
  <c r="AF135" i="1"/>
  <c r="AG135" i="1"/>
  <c r="AH135" i="1"/>
  <c r="CV135" i="1" s="1"/>
  <c r="U135" i="1" s="1"/>
  <c r="AI135" i="1"/>
  <c r="CW135" i="1" s="1"/>
  <c r="V135" i="1" s="1"/>
  <c r="AJ135" i="1"/>
  <c r="CX135" i="1" s="1"/>
  <c r="CQ135" i="1"/>
  <c r="CS135" i="1"/>
  <c r="CU135" i="1"/>
  <c r="GL135" i="1"/>
  <c r="GN135" i="1"/>
  <c r="GP135" i="1"/>
  <c r="GV135" i="1"/>
  <c r="HC135" i="1"/>
  <c r="GX135" i="1" s="1"/>
  <c r="C136" i="1"/>
  <c r="D136" i="1"/>
  <c r="I136" i="1"/>
  <c r="K136" i="1"/>
  <c r="AC136" i="1"/>
  <c r="AE136" i="1"/>
  <c r="AD136" i="1" s="1"/>
  <c r="AF136" i="1"/>
  <c r="S136" i="1" s="1"/>
  <c r="AG136" i="1"/>
  <c r="CU136" i="1" s="1"/>
  <c r="AH136" i="1"/>
  <c r="AI136" i="1"/>
  <c r="CW136" i="1" s="1"/>
  <c r="V136" i="1" s="1"/>
  <c r="AJ136" i="1"/>
  <c r="CX136" i="1" s="1"/>
  <c r="W136" i="1" s="1"/>
  <c r="CS136" i="1"/>
  <c r="CV136" i="1"/>
  <c r="U136" i="1" s="1"/>
  <c r="GL136" i="1"/>
  <c r="GN136" i="1"/>
  <c r="GP136" i="1"/>
  <c r="GV136" i="1"/>
  <c r="HC136" i="1"/>
  <c r="GX136" i="1" s="1"/>
  <c r="R137" i="1"/>
  <c r="T137" i="1"/>
  <c r="AC137" i="1"/>
  <c r="P137" i="1" s="1"/>
  <c r="AD137" i="1"/>
  <c r="AE137" i="1"/>
  <c r="Q137" i="1" s="1"/>
  <c r="AF137" i="1"/>
  <c r="AG137" i="1"/>
  <c r="AH137" i="1"/>
  <c r="CV137" i="1" s="1"/>
  <c r="U137" i="1" s="1"/>
  <c r="AI137" i="1"/>
  <c r="AJ137" i="1"/>
  <c r="CQ137" i="1"/>
  <c r="CR137" i="1"/>
  <c r="CS137" i="1"/>
  <c r="CU137" i="1"/>
  <c r="CW137" i="1"/>
  <c r="V137" i="1" s="1"/>
  <c r="CX137" i="1"/>
  <c r="W137" i="1" s="1"/>
  <c r="GL137" i="1"/>
  <c r="GN137" i="1"/>
  <c r="GO137" i="1"/>
  <c r="GP137" i="1"/>
  <c r="GV137" i="1"/>
  <c r="HC137" i="1" s="1"/>
  <c r="GX137" i="1" s="1"/>
  <c r="R138" i="1"/>
  <c r="V138" i="1"/>
  <c r="W138" i="1"/>
  <c r="AC138" i="1"/>
  <c r="AD138" i="1"/>
  <c r="AE138" i="1"/>
  <c r="Q138" i="1" s="1"/>
  <c r="AF138" i="1"/>
  <c r="S138" i="1" s="1"/>
  <c r="AG138" i="1"/>
  <c r="AH138" i="1"/>
  <c r="CV138" i="1" s="1"/>
  <c r="U138" i="1" s="1"/>
  <c r="AI138" i="1"/>
  <c r="AJ138" i="1"/>
  <c r="CQ138" i="1"/>
  <c r="CR138" i="1"/>
  <c r="CS138" i="1"/>
  <c r="CT138" i="1"/>
  <c r="CU138" i="1"/>
  <c r="T138" i="1" s="1"/>
  <c r="CW138" i="1"/>
  <c r="CX138" i="1"/>
  <c r="GL138" i="1"/>
  <c r="GN138" i="1"/>
  <c r="GO138" i="1"/>
  <c r="GP138" i="1"/>
  <c r="GV138" i="1"/>
  <c r="HC138" i="1"/>
  <c r="GX138" i="1" s="1"/>
  <c r="C139" i="1"/>
  <c r="D139" i="1"/>
  <c r="P139" i="1"/>
  <c r="Q139" i="1"/>
  <c r="R139" i="1"/>
  <c r="AC139" i="1"/>
  <c r="AD139" i="1"/>
  <c r="AB139" i="1" s="1"/>
  <c r="AE139" i="1"/>
  <c r="AF139" i="1"/>
  <c r="AG139" i="1"/>
  <c r="AH139" i="1"/>
  <c r="CV139" i="1" s="1"/>
  <c r="U139" i="1" s="1"/>
  <c r="AI139" i="1"/>
  <c r="AJ139" i="1"/>
  <c r="CX139" i="1" s="1"/>
  <c r="W139" i="1" s="1"/>
  <c r="CQ139" i="1"/>
  <c r="CR139" i="1"/>
  <c r="CS139" i="1"/>
  <c r="CU139" i="1"/>
  <c r="T139" i="1" s="1"/>
  <c r="CW139" i="1"/>
  <c r="V139" i="1" s="1"/>
  <c r="GL139" i="1"/>
  <c r="GN139" i="1"/>
  <c r="GP139" i="1"/>
  <c r="GV139" i="1"/>
  <c r="GX139" i="1"/>
  <c r="HC139" i="1"/>
  <c r="C140" i="1"/>
  <c r="D140" i="1"/>
  <c r="S140" i="1"/>
  <c r="CZ140" i="1" s="1"/>
  <c r="T140" i="1"/>
  <c r="Y140" i="1"/>
  <c r="AC140" i="1"/>
  <c r="AE140" i="1"/>
  <c r="AF140" i="1"/>
  <c r="AG140" i="1"/>
  <c r="AH140" i="1"/>
  <c r="AI140" i="1"/>
  <c r="CW140" i="1" s="1"/>
  <c r="V140" i="1" s="1"/>
  <c r="AJ140" i="1"/>
  <c r="CQ140" i="1"/>
  <c r="CR140" i="1"/>
  <c r="CT140" i="1"/>
  <c r="CU140" i="1"/>
  <c r="CV140" i="1"/>
  <c r="U140" i="1" s="1"/>
  <c r="CX140" i="1"/>
  <c r="W140" i="1" s="1"/>
  <c r="CY140" i="1"/>
  <c r="GL140" i="1"/>
  <c r="GN140" i="1"/>
  <c r="GP140" i="1"/>
  <c r="GV140" i="1"/>
  <c r="HC140" i="1" s="1"/>
  <c r="GX140" i="1" s="1"/>
  <c r="P141" i="1"/>
  <c r="Q141" i="1"/>
  <c r="R141" i="1"/>
  <c r="AC141" i="1"/>
  <c r="AD141" i="1"/>
  <c r="AB141" i="1" s="1"/>
  <c r="AE141" i="1"/>
  <c r="AF141" i="1"/>
  <c r="AG141" i="1"/>
  <c r="AH141" i="1"/>
  <c r="CV141" i="1" s="1"/>
  <c r="U141" i="1" s="1"/>
  <c r="AI141" i="1"/>
  <c r="AJ141" i="1"/>
  <c r="CX141" i="1" s="1"/>
  <c r="W141" i="1" s="1"/>
  <c r="CQ141" i="1"/>
  <c r="CR141" i="1"/>
  <c r="CS141" i="1"/>
  <c r="CU141" i="1"/>
  <c r="T141" i="1" s="1"/>
  <c r="CW141" i="1"/>
  <c r="V141" i="1" s="1"/>
  <c r="FR141" i="1"/>
  <c r="GL141" i="1"/>
  <c r="GN141" i="1"/>
  <c r="GO141" i="1"/>
  <c r="GP141" i="1"/>
  <c r="GV141" i="1"/>
  <c r="HC141" i="1"/>
  <c r="GX141" i="1" s="1"/>
  <c r="P142" i="1"/>
  <c r="U142" i="1"/>
  <c r="AC142" i="1"/>
  <c r="AE142" i="1"/>
  <c r="Q142" i="1" s="1"/>
  <c r="AF142" i="1"/>
  <c r="AG142" i="1"/>
  <c r="AH142" i="1"/>
  <c r="CV142" i="1" s="1"/>
  <c r="AI142" i="1"/>
  <c r="CW142" i="1" s="1"/>
  <c r="V142" i="1" s="1"/>
  <c r="AJ142" i="1"/>
  <c r="CX142" i="1" s="1"/>
  <c r="W142" i="1" s="1"/>
  <c r="CQ142" i="1"/>
  <c r="CS142" i="1"/>
  <c r="CU142" i="1"/>
  <c r="T142" i="1" s="1"/>
  <c r="GL142" i="1"/>
  <c r="GN142" i="1"/>
  <c r="GO142" i="1"/>
  <c r="GP142" i="1"/>
  <c r="GV142" i="1"/>
  <c r="HC142" i="1" s="1"/>
  <c r="GX142" i="1" s="1"/>
  <c r="C143" i="1"/>
  <c r="D143" i="1"/>
  <c r="I143" i="1"/>
  <c r="GX143" i="1" s="1"/>
  <c r="K143" i="1"/>
  <c r="AC143" i="1"/>
  <c r="AD143" i="1"/>
  <c r="AB143" i="1" s="1"/>
  <c r="AE143" i="1"/>
  <c r="AF143" i="1"/>
  <c r="AG143" i="1"/>
  <c r="AH143" i="1"/>
  <c r="CV143" i="1" s="1"/>
  <c r="AI143" i="1"/>
  <c r="AJ143" i="1"/>
  <c r="CX143" i="1" s="1"/>
  <c r="CQ143" i="1"/>
  <c r="CR143" i="1"/>
  <c r="CS143" i="1"/>
  <c r="CU143" i="1"/>
  <c r="T143" i="1" s="1"/>
  <c r="CW143" i="1"/>
  <c r="V143" i="1" s="1"/>
  <c r="GL143" i="1"/>
  <c r="GN143" i="1"/>
  <c r="GP143" i="1"/>
  <c r="GV143" i="1"/>
  <c r="HC143" i="1"/>
  <c r="C144" i="1"/>
  <c r="D144" i="1"/>
  <c r="I144" i="1"/>
  <c r="K144" i="1"/>
  <c r="R144" i="1"/>
  <c r="AC144" i="1"/>
  <c r="AE144" i="1"/>
  <c r="AF144" i="1"/>
  <c r="S144" i="1" s="1"/>
  <c r="AG144" i="1"/>
  <c r="CU144" i="1" s="1"/>
  <c r="AH144" i="1"/>
  <c r="AI144" i="1"/>
  <c r="CW144" i="1" s="1"/>
  <c r="AJ144" i="1"/>
  <c r="CS144" i="1"/>
  <c r="CT144" i="1"/>
  <c r="CV144" i="1"/>
  <c r="CX144" i="1"/>
  <c r="W144" i="1" s="1"/>
  <c r="GL144" i="1"/>
  <c r="GN144" i="1"/>
  <c r="GP144" i="1"/>
  <c r="GV144" i="1"/>
  <c r="HC144" i="1"/>
  <c r="GX144" i="1" s="1"/>
  <c r="R145" i="1"/>
  <c r="S145" i="1"/>
  <c r="W145" i="1"/>
  <c r="X145" i="1"/>
  <c r="AC145" i="1"/>
  <c r="AB145" i="1" s="1"/>
  <c r="AD145" i="1"/>
  <c r="AE145" i="1"/>
  <c r="Q145" i="1" s="1"/>
  <c r="AF145" i="1"/>
  <c r="AG145" i="1"/>
  <c r="AH145" i="1"/>
  <c r="CV145" i="1" s="1"/>
  <c r="U145" i="1" s="1"/>
  <c r="AI145" i="1"/>
  <c r="AJ145" i="1"/>
  <c r="CQ145" i="1"/>
  <c r="CR145" i="1"/>
  <c r="CS145" i="1"/>
  <c r="CT145" i="1"/>
  <c r="CU145" i="1"/>
  <c r="T145" i="1" s="1"/>
  <c r="CW145" i="1"/>
  <c r="V145" i="1" s="1"/>
  <c r="CX145" i="1"/>
  <c r="GL145" i="1"/>
  <c r="GN145" i="1"/>
  <c r="GO145" i="1"/>
  <c r="GP145" i="1"/>
  <c r="GV145" i="1"/>
  <c r="HC145" i="1"/>
  <c r="GX145" i="1" s="1"/>
  <c r="R146" i="1"/>
  <c r="V146" i="1"/>
  <c r="AC146" i="1"/>
  <c r="P146" i="1" s="1"/>
  <c r="AD146" i="1"/>
  <c r="AE146" i="1"/>
  <c r="Q146" i="1" s="1"/>
  <c r="AF146" i="1"/>
  <c r="S146" i="1" s="1"/>
  <c r="AG146" i="1"/>
  <c r="CU146" i="1" s="1"/>
  <c r="T146" i="1" s="1"/>
  <c r="AH146" i="1"/>
  <c r="CV146" i="1" s="1"/>
  <c r="U146" i="1" s="1"/>
  <c r="AI146" i="1"/>
  <c r="AJ146" i="1"/>
  <c r="CR146" i="1"/>
  <c r="CS146" i="1"/>
  <c r="CT146" i="1"/>
  <c r="CW146" i="1"/>
  <c r="CX146" i="1"/>
  <c r="W146" i="1" s="1"/>
  <c r="CY146" i="1"/>
  <c r="GL146" i="1"/>
  <c r="GN146" i="1"/>
  <c r="GO146" i="1"/>
  <c r="GP146" i="1"/>
  <c r="GV146" i="1"/>
  <c r="HC146" i="1"/>
  <c r="GX146" i="1" s="1"/>
  <c r="R147" i="1"/>
  <c r="S147" i="1"/>
  <c r="W147" i="1"/>
  <c r="AC147" i="1"/>
  <c r="AB147" i="1" s="1"/>
  <c r="AD147" i="1"/>
  <c r="AE147" i="1"/>
  <c r="Q147" i="1" s="1"/>
  <c r="AF147" i="1"/>
  <c r="AG147" i="1"/>
  <c r="AH147" i="1"/>
  <c r="CV147" i="1" s="1"/>
  <c r="U147" i="1" s="1"/>
  <c r="AI147" i="1"/>
  <c r="AJ147" i="1"/>
  <c r="CQ147" i="1"/>
  <c r="CR147" i="1"/>
  <c r="CS147" i="1"/>
  <c r="CT147" i="1"/>
  <c r="CU147" i="1"/>
  <c r="T147" i="1" s="1"/>
  <c r="CW147" i="1"/>
  <c r="V147" i="1" s="1"/>
  <c r="CX147" i="1"/>
  <c r="GL147" i="1"/>
  <c r="GN147" i="1"/>
  <c r="GO147" i="1"/>
  <c r="GP147" i="1"/>
  <c r="GV147" i="1"/>
  <c r="HC147" i="1"/>
  <c r="GX147" i="1" s="1"/>
  <c r="P148" i="1"/>
  <c r="R148" i="1"/>
  <c r="V148" i="1"/>
  <c r="AC148" i="1"/>
  <c r="AD148" i="1"/>
  <c r="AE148" i="1"/>
  <c r="Q148" i="1" s="1"/>
  <c r="AF148" i="1"/>
  <c r="S148" i="1" s="1"/>
  <c r="AG148" i="1"/>
  <c r="CU148" i="1" s="1"/>
  <c r="T148" i="1" s="1"/>
  <c r="AH148" i="1"/>
  <c r="CV148" i="1" s="1"/>
  <c r="U148" i="1" s="1"/>
  <c r="AI148" i="1"/>
  <c r="AJ148" i="1"/>
  <c r="CR148" i="1"/>
  <c r="CS148" i="1"/>
  <c r="CT148" i="1"/>
  <c r="CW148" i="1"/>
  <c r="CX148" i="1"/>
  <c r="W148" i="1" s="1"/>
  <c r="CY148" i="1"/>
  <c r="GL148" i="1"/>
  <c r="GN148" i="1"/>
  <c r="GO148" i="1"/>
  <c r="GP148" i="1"/>
  <c r="GV148" i="1"/>
  <c r="HC148" i="1"/>
  <c r="GX148" i="1" s="1"/>
  <c r="R149" i="1"/>
  <c r="S149" i="1"/>
  <c r="X149" i="1" s="1"/>
  <c r="W149" i="1"/>
  <c r="AC149" i="1"/>
  <c r="AB149" i="1" s="1"/>
  <c r="AD149" i="1"/>
  <c r="AE149" i="1"/>
  <c r="Q149" i="1" s="1"/>
  <c r="AF149" i="1"/>
  <c r="AG149" i="1"/>
  <c r="AH149" i="1"/>
  <c r="CV149" i="1" s="1"/>
  <c r="U149" i="1" s="1"/>
  <c r="AI149" i="1"/>
  <c r="AJ149" i="1"/>
  <c r="CQ149" i="1"/>
  <c r="CR149" i="1"/>
  <c r="CS149" i="1"/>
  <c r="CT149" i="1"/>
  <c r="CU149" i="1"/>
  <c r="T149" i="1" s="1"/>
  <c r="CW149" i="1"/>
  <c r="V149" i="1" s="1"/>
  <c r="CX149" i="1"/>
  <c r="GL149" i="1"/>
  <c r="GN149" i="1"/>
  <c r="GO149" i="1"/>
  <c r="GP149" i="1"/>
  <c r="GV149" i="1"/>
  <c r="HC149" i="1"/>
  <c r="GX149" i="1" s="1"/>
  <c r="R150" i="1"/>
  <c r="V150" i="1"/>
  <c r="AC150" i="1"/>
  <c r="AD150" i="1"/>
  <c r="AE150" i="1"/>
  <c r="Q150" i="1" s="1"/>
  <c r="AF150" i="1"/>
  <c r="S150" i="1" s="1"/>
  <c r="AG150" i="1"/>
  <c r="CU150" i="1" s="1"/>
  <c r="T150" i="1" s="1"/>
  <c r="AH150" i="1"/>
  <c r="CV150" i="1" s="1"/>
  <c r="U150" i="1" s="1"/>
  <c r="AI150" i="1"/>
  <c r="AJ150" i="1"/>
  <c r="CR150" i="1"/>
  <c r="CS150" i="1"/>
  <c r="CT150" i="1"/>
  <c r="CW150" i="1"/>
  <c r="CX150" i="1"/>
  <c r="W150" i="1" s="1"/>
  <c r="CY150" i="1"/>
  <c r="GL150" i="1"/>
  <c r="GN150" i="1"/>
  <c r="GO150" i="1"/>
  <c r="GP150" i="1"/>
  <c r="GV150" i="1"/>
  <c r="HC150" i="1"/>
  <c r="GX150" i="1" s="1"/>
  <c r="R151" i="1"/>
  <c r="S151" i="1"/>
  <c r="W151" i="1"/>
  <c r="X151" i="1"/>
  <c r="AC151" i="1"/>
  <c r="AB151" i="1" s="1"/>
  <c r="AD151" i="1"/>
  <c r="AE151" i="1"/>
  <c r="Q151" i="1" s="1"/>
  <c r="AF151" i="1"/>
  <c r="AG151" i="1"/>
  <c r="AH151" i="1"/>
  <c r="CV151" i="1" s="1"/>
  <c r="U151" i="1" s="1"/>
  <c r="AI151" i="1"/>
  <c r="AJ151" i="1"/>
  <c r="CQ151" i="1"/>
  <c r="CR151" i="1"/>
  <c r="CS151" i="1"/>
  <c r="CT151" i="1"/>
  <c r="CU151" i="1"/>
  <c r="T151" i="1" s="1"/>
  <c r="CW151" i="1"/>
  <c r="V151" i="1" s="1"/>
  <c r="CX151" i="1"/>
  <c r="GL151" i="1"/>
  <c r="BZ182" i="1" s="1"/>
  <c r="GN151" i="1"/>
  <c r="GO151" i="1"/>
  <c r="GP151" i="1"/>
  <c r="GV151" i="1"/>
  <c r="HC151" i="1"/>
  <c r="GX151" i="1" s="1"/>
  <c r="R152" i="1"/>
  <c r="V152" i="1"/>
  <c r="AC152" i="1"/>
  <c r="P152" i="1" s="1"/>
  <c r="AD152" i="1"/>
  <c r="AE152" i="1"/>
  <c r="Q152" i="1" s="1"/>
  <c r="AF152" i="1"/>
  <c r="S152" i="1" s="1"/>
  <c r="AG152" i="1"/>
  <c r="CU152" i="1" s="1"/>
  <c r="T152" i="1" s="1"/>
  <c r="AH152" i="1"/>
  <c r="CV152" i="1" s="1"/>
  <c r="U152" i="1" s="1"/>
  <c r="AI152" i="1"/>
  <c r="AJ152" i="1"/>
  <c r="CR152" i="1"/>
  <c r="CS152" i="1"/>
  <c r="CT152" i="1"/>
  <c r="CW152" i="1"/>
  <c r="CX152" i="1"/>
  <c r="W152" i="1" s="1"/>
  <c r="GL152" i="1"/>
  <c r="GN152" i="1"/>
  <c r="GO152" i="1"/>
  <c r="GP152" i="1"/>
  <c r="GV152" i="1"/>
  <c r="HC152" i="1"/>
  <c r="GX152" i="1" s="1"/>
  <c r="R153" i="1"/>
  <c r="S153" i="1"/>
  <c r="W153" i="1"/>
  <c r="X153" i="1"/>
  <c r="AC153" i="1"/>
  <c r="AB153" i="1" s="1"/>
  <c r="AD153" i="1"/>
  <c r="AE153" i="1"/>
  <c r="Q153" i="1" s="1"/>
  <c r="AF153" i="1"/>
  <c r="AG153" i="1"/>
  <c r="AH153" i="1"/>
  <c r="CV153" i="1" s="1"/>
  <c r="U153" i="1" s="1"/>
  <c r="AI153" i="1"/>
  <c r="AJ153" i="1"/>
  <c r="CQ153" i="1"/>
  <c r="CR153" i="1"/>
  <c r="CS153" i="1"/>
  <c r="CT153" i="1"/>
  <c r="CU153" i="1"/>
  <c r="T153" i="1" s="1"/>
  <c r="CW153" i="1"/>
  <c r="V153" i="1" s="1"/>
  <c r="CX153" i="1"/>
  <c r="GL153" i="1"/>
  <c r="GN153" i="1"/>
  <c r="GO153" i="1"/>
  <c r="GP153" i="1"/>
  <c r="GV153" i="1"/>
  <c r="HC153" i="1"/>
  <c r="GX153" i="1" s="1"/>
  <c r="R154" i="1"/>
  <c r="V154" i="1"/>
  <c r="AC154" i="1"/>
  <c r="P154" i="1" s="1"/>
  <c r="AD154" i="1"/>
  <c r="AE154" i="1"/>
  <c r="Q154" i="1" s="1"/>
  <c r="AF154" i="1"/>
  <c r="S154" i="1" s="1"/>
  <c r="AG154" i="1"/>
  <c r="CU154" i="1" s="1"/>
  <c r="T154" i="1" s="1"/>
  <c r="AH154" i="1"/>
  <c r="CV154" i="1" s="1"/>
  <c r="U154" i="1" s="1"/>
  <c r="AI154" i="1"/>
  <c r="AJ154" i="1"/>
  <c r="CR154" i="1"/>
  <c r="CS154" i="1"/>
  <c r="CT154" i="1"/>
  <c r="CW154" i="1"/>
  <c r="CX154" i="1"/>
  <c r="W154" i="1" s="1"/>
  <c r="CY154" i="1"/>
  <c r="GL154" i="1"/>
  <c r="GN154" i="1"/>
  <c r="GO154" i="1"/>
  <c r="GP154" i="1"/>
  <c r="GV154" i="1"/>
  <c r="HC154" i="1"/>
  <c r="GX154" i="1" s="1"/>
  <c r="R155" i="1"/>
  <c r="S155" i="1"/>
  <c r="W155" i="1"/>
  <c r="AC155" i="1"/>
  <c r="AB155" i="1" s="1"/>
  <c r="AD155" i="1"/>
  <c r="AE155" i="1"/>
  <c r="Q155" i="1" s="1"/>
  <c r="AF155" i="1"/>
  <c r="AG155" i="1"/>
  <c r="AH155" i="1"/>
  <c r="CV155" i="1" s="1"/>
  <c r="U155" i="1" s="1"/>
  <c r="AI155" i="1"/>
  <c r="AJ155" i="1"/>
  <c r="CQ155" i="1"/>
  <c r="CR155" i="1"/>
  <c r="CS155" i="1"/>
  <c r="CT155" i="1"/>
  <c r="CU155" i="1"/>
  <c r="T155" i="1" s="1"/>
  <c r="CW155" i="1"/>
  <c r="V155" i="1" s="1"/>
  <c r="CX155" i="1"/>
  <c r="GL155" i="1"/>
  <c r="GN155" i="1"/>
  <c r="GO155" i="1"/>
  <c r="GP155" i="1"/>
  <c r="GV155" i="1"/>
  <c r="HC155" i="1"/>
  <c r="GX155" i="1" s="1"/>
  <c r="P156" i="1"/>
  <c r="R156" i="1"/>
  <c r="V156" i="1"/>
  <c r="AC156" i="1"/>
  <c r="AD156" i="1"/>
  <c r="AE156" i="1"/>
  <c r="Q156" i="1" s="1"/>
  <c r="AF156" i="1"/>
  <c r="S156" i="1" s="1"/>
  <c r="AG156" i="1"/>
  <c r="CU156" i="1" s="1"/>
  <c r="T156" i="1" s="1"/>
  <c r="AH156" i="1"/>
  <c r="CV156" i="1" s="1"/>
  <c r="U156" i="1" s="1"/>
  <c r="AI156" i="1"/>
  <c r="AJ156" i="1"/>
  <c r="CR156" i="1"/>
  <c r="CS156" i="1"/>
  <c r="CT156" i="1"/>
  <c r="CW156" i="1"/>
  <c r="CX156" i="1"/>
  <c r="W156" i="1" s="1"/>
  <c r="CY156" i="1"/>
  <c r="GL156" i="1"/>
  <c r="GN156" i="1"/>
  <c r="GO156" i="1"/>
  <c r="GP156" i="1"/>
  <c r="GV156" i="1"/>
  <c r="HC156" i="1"/>
  <c r="GX156" i="1" s="1"/>
  <c r="C157" i="1"/>
  <c r="D157" i="1"/>
  <c r="I157" i="1"/>
  <c r="K157" i="1"/>
  <c r="S157" i="1"/>
  <c r="W157" i="1"/>
  <c r="AC157" i="1"/>
  <c r="AE157" i="1"/>
  <c r="CZ157" i="1" s="1"/>
  <c r="AF157" i="1"/>
  <c r="AG157" i="1"/>
  <c r="AH157" i="1"/>
  <c r="AI157" i="1"/>
  <c r="CW157" i="1" s="1"/>
  <c r="V157" i="1" s="1"/>
  <c r="AJ157" i="1"/>
  <c r="CQ157" i="1"/>
  <c r="CT157" i="1"/>
  <c r="CU157" i="1"/>
  <c r="T157" i="1" s="1"/>
  <c r="CV157" i="1"/>
  <c r="U157" i="1" s="1"/>
  <c r="CX157" i="1"/>
  <c r="GL157" i="1"/>
  <c r="GO157" i="1"/>
  <c r="GP157" i="1"/>
  <c r="GV157" i="1"/>
  <c r="HC157" i="1"/>
  <c r="GX157" i="1" s="1"/>
  <c r="C158" i="1"/>
  <c r="D158" i="1"/>
  <c r="I158" i="1"/>
  <c r="K158" i="1"/>
  <c r="R158" i="1"/>
  <c r="AB158" i="1"/>
  <c r="AC158" i="1"/>
  <c r="AE158" i="1"/>
  <c r="AD158" i="1" s="1"/>
  <c r="AF158" i="1"/>
  <c r="AG158" i="1"/>
  <c r="AH158" i="1"/>
  <c r="AI158" i="1"/>
  <c r="AJ158" i="1"/>
  <c r="CX158" i="1" s="1"/>
  <c r="W158" i="1" s="1"/>
  <c r="CQ158" i="1"/>
  <c r="CR158" i="1"/>
  <c r="CS158" i="1"/>
  <c r="CU158" i="1"/>
  <c r="T158" i="1" s="1"/>
  <c r="CV158" i="1"/>
  <c r="U158" i="1" s="1"/>
  <c r="CW158" i="1"/>
  <c r="V158" i="1" s="1"/>
  <c r="GL158" i="1"/>
  <c r="GO158" i="1"/>
  <c r="GP158" i="1"/>
  <c r="GV158" i="1"/>
  <c r="HC158" i="1"/>
  <c r="GX158" i="1" s="1"/>
  <c r="I159" i="1"/>
  <c r="R159" i="1"/>
  <c r="V159" i="1"/>
  <c r="AC159" i="1"/>
  <c r="AE159" i="1"/>
  <c r="AD159" i="1" s="1"/>
  <c r="AB159" i="1" s="1"/>
  <c r="AF159" i="1"/>
  <c r="AG159" i="1"/>
  <c r="AH159" i="1"/>
  <c r="AI159" i="1"/>
  <c r="AJ159" i="1"/>
  <c r="CX159" i="1" s="1"/>
  <c r="W159" i="1" s="1"/>
  <c r="CQ159" i="1"/>
  <c r="CR159" i="1"/>
  <c r="CS159" i="1"/>
  <c r="CU159" i="1"/>
  <c r="T159" i="1" s="1"/>
  <c r="CV159" i="1"/>
  <c r="U159" i="1" s="1"/>
  <c r="CW159" i="1"/>
  <c r="GL159" i="1"/>
  <c r="GO159" i="1"/>
  <c r="GP159" i="1"/>
  <c r="GV159" i="1"/>
  <c r="HC159" i="1"/>
  <c r="GX159" i="1" s="1"/>
  <c r="I160" i="1"/>
  <c r="R160" i="1" s="1"/>
  <c r="AB160" i="1"/>
  <c r="AC160" i="1"/>
  <c r="AE160" i="1"/>
  <c r="AD160" i="1" s="1"/>
  <c r="AF160" i="1"/>
  <c r="AG160" i="1"/>
  <c r="AH160" i="1"/>
  <c r="AI160" i="1"/>
  <c r="AJ160" i="1"/>
  <c r="CX160" i="1" s="1"/>
  <c r="CQ160" i="1"/>
  <c r="CR160" i="1"/>
  <c r="CS160" i="1"/>
  <c r="CU160" i="1"/>
  <c r="CV160" i="1"/>
  <c r="U160" i="1" s="1"/>
  <c r="CW160" i="1"/>
  <c r="V160" i="1" s="1"/>
  <c r="GL160" i="1"/>
  <c r="GO160" i="1"/>
  <c r="GP160" i="1"/>
  <c r="GV160" i="1"/>
  <c r="HC160" i="1"/>
  <c r="C161" i="1"/>
  <c r="D161" i="1"/>
  <c r="I161" i="1"/>
  <c r="K161" i="1"/>
  <c r="R161" i="1"/>
  <c r="S161" i="1"/>
  <c r="AC161" i="1"/>
  <c r="AE161" i="1"/>
  <c r="AD161" i="1" s="1"/>
  <c r="AF161" i="1"/>
  <c r="AG161" i="1"/>
  <c r="CU161" i="1" s="1"/>
  <c r="T161" i="1" s="1"/>
  <c r="AH161" i="1"/>
  <c r="AI161" i="1"/>
  <c r="AJ161" i="1"/>
  <c r="CR161" i="1"/>
  <c r="CS161" i="1"/>
  <c r="CT161" i="1"/>
  <c r="CV161" i="1"/>
  <c r="U161" i="1" s="1"/>
  <c r="CW161" i="1"/>
  <c r="V161" i="1" s="1"/>
  <c r="CX161" i="1"/>
  <c r="W161" i="1" s="1"/>
  <c r="GL161" i="1"/>
  <c r="GN161" i="1"/>
  <c r="GP161" i="1"/>
  <c r="GV161" i="1"/>
  <c r="HC161" i="1" s="1"/>
  <c r="GX161" i="1" s="1"/>
  <c r="C162" i="1"/>
  <c r="D162" i="1"/>
  <c r="I162" i="1"/>
  <c r="K162" i="1"/>
  <c r="P162" i="1"/>
  <c r="R162" i="1"/>
  <c r="S162" i="1"/>
  <c r="Y162" i="1" s="1"/>
  <c r="T162" i="1"/>
  <c r="X162" i="1"/>
  <c r="AC162" i="1"/>
  <c r="AD162" i="1"/>
  <c r="AE162" i="1"/>
  <c r="Q162" i="1" s="1"/>
  <c r="AF162" i="1"/>
  <c r="AG162" i="1"/>
  <c r="AH162" i="1"/>
  <c r="CV162" i="1" s="1"/>
  <c r="U162" i="1" s="1"/>
  <c r="AI162" i="1"/>
  <c r="AJ162" i="1"/>
  <c r="CQ162" i="1"/>
  <c r="CR162" i="1"/>
  <c r="CS162" i="1"/>
  <c r="CT162" i="1"/>
  <c r="CU162" i="1"/>
  <c r="CW162" i="1"/>
  <c r="V162" i="1" s="1"/>
  <c r="CX162" i="1"/>
  <c r="W162" i="1" s="1"/>
  <c r="CY162" i="1"/>
  <c r="GL162" i="1"/>
  <c r="GN162" i="1"/>
  <c r="GP162" i="1"/>
  <c r="GV162" i="1"/>
  <c r="HC162" i="1" s="1"/>
  <c r="GX162" i="1" s="1"/>
  <c r="I163" i="1"/>
  <c r="Q163" i="1" s="1"/>
  <c r="P163" i="1"/>
  <c r="R163" i="1"/>
  <c r="S163" i="1"/>
  <c r="Y163" i="1" s="1"/>
  <c r="T163" i="1"/>
  <c r="X163" i="1"/>
  <c r="AC163" i="1"/>
  <c r="AB163" i="1" s="1"/>
  <c r="AD163" i="1"/>
  <c r="AE163" i="1"/>
  <c r="AF163" i="1"/>
  <c r="AG163" i="1"/>
  <c r="AH163" i="1"/>
  <c r="CV163" i="1" s="1"/>
  <c r="U163" i="1" s="1"/>
  <c r="AI163" i="1"/>
  <c r="AJ163" i="1"/>
  <c r="CQ163" i="1"/>
  <c r="CR163" i="1"/>
  <c r="CS163" i="1"/>
  <c r="CT163" i="1"/>
  <c r="CU163" i="1"/>
  <c r="CW163" i="1"/>
  <c r="V163" i="1" s="1"/>
  <c r="CX163" i="1"/>
  <c r="W163" i="1" s="1"/>
  <c r="CY163" i="1"/>
  <c r="GL163" i="1"/>
  <c r="GN163" i="1"/>
  <c r="GP163" i="1"/>
  <c r="GV163" i="1"/>
  <c r="HC163" i="1" s="1"/>
  <c r="GX163" i="1" s="1"/>
  <c r="I164" i="1"/>
  <c r="Q164" i="1" s="1"/>
  <c r="P164" i="1"/>
  <c r="CP164" i="1" s="1"/>
  <c r="O164" i="1" s="1"/>
  <c r="R164" i="1"/>
  <c r="S164" i="1"/>
  <c r="Y164" i="1" s="1"/>
  <c r="X164" i="1"/>
  <c r="AC164" i="1"/>
  <c r="AB164" i="1" s="1"/>
  <c r="AD164" i="1"/>
  <c r="AE164" i="1"/>
  <c r="AF164" i="1"/>
  <c r="AG164" i="1"/>
  <c r="AH164" i="1"/>
  <c r="CV164" i="1" s="1"/>
  <c r="U164" i="1" s="1"/>
  <c r="AI164" i="1"/>
  <c r="AJ164" i="1"/>
  <c r="CQ164" i="1"/>
  <c r="CR164" i="1"/>
  <c r="CS164" i="1"/>
  <c r="CT164" i="1"/>
  <c r="CU164" i="1"/>
  <c r="T164" i="1" s="1"/>
  <c r="CW164" i="1"/>
  <c r="V164" i="1" s="1"/>
  <c r="CX164" i="1"/>
  <c r="W164" i="1" s="1"/>
  <c r="CY164" i="1"/>
  <c r="GL164" i="1"/>
  <c r="GN164" i="1"/>
  <c r="GP164" i="1"/>
  <c r="GV164" i="1"/>
  <c r="HC164" i="1" s="1"/>
  <c r="GX164" i="1" s="1"/>
  <c r="C165" i="1"/>
  <c r="D165" i="1"/>
  <c r="I165" i="1"/>
  <c r="K165" i="1"/>
  <c r="AC165" i="1"/>
  <c r="AE165" i="1"/>
  <c r="AF165" i="1"/>
  <c r="AG165" i="1"/>
  <c r="AH165" i="1"/>
  <c r="AI165" i="1"/>
  <c r="CW165" i="1" s="1"/>
  <c r="AJ165" i="1"/>
  <c r="CQ165" i="1"/>
  <c r="CR165" i="1"/>
  <c r="CT165" i="1"/>
  <c r="CU165" i="1"/>
  <c r="CV165" i="1"/>
  <c r="CX165" i="1"/>
  <c r="GL165" i="1"/>
  <c r="GO165" i="1"/>
  <c r="GP165" i="1"/>
  <c r="GV165" i="1"/>
  <c r="HC165" i="1"/>
  <c r="C166" i="1"/>
  <c r="D166" i="1"/>
  <c r="I166" i="1"/>
  <c r="K166" i="1"/>
  <c r="R166" i="1"/>
  <c r="V166" i="1"/>
  <c r="AC166" i="1"/>
  <c r="AE166" i="1"/>
  <c r="AD166" i="1" s="1"/>
  <c r="AB166" i="1" s="1"/>
  <c r="AF166" i="1"/>
  <c r="AG166" i="1"/>
  <c r="AH166" i="1"/>
  <c r="AI166" i="1"/>
  <c r="AJ166" i="1"/>
  <c r="CX166" i="1" s="1"/>
  <c r="W166" i="1" s="1"/>
  <c r="CQ166" i="1"/>
  <c r="CR166" i="1"/>
  <c r="CS166" i="1"/>
  <c r="CU166" i="1"/>
  <c r="T166" i="1" s="1"/>
  <c r="CV166" i="1"/>
  <c r="U166" i="1" s="1"/>
  <c r="CW166" i="1"/>
  <c r="GL166" i="1"/>
  <c r="GO166" i="1"/>
  <c r="GP166" i="1"/>
  <c r="GV166" i="1"/>
  <c r="HC166" i="1"/>
  <c r="GX166" i="1" s="1"/>
  <c r="AB167" i="1"/>
  <c r="AC167" i="1"/>
  <c r="AE167" i="1"/>
  <c r="AD167" i="1" s="1"/>
  <c r="AF167" i="1"/>
  <c r="AG167" i="1"/>
  <c r="AH167" i="1"/>
  <c r="AI167" i="1"/>
  <c r="AJ167" i="1"/>
  <c r="CX167" i="1" s="1"/>
  <c r="CQ167" i="1"/>
  <c r="CR167" i="1"/>
  <c r="CS167" i="1"/>
  <c r="CU167" i="1"/>
  <c r="CV167" i="1"/>
  <c r="CW167" i="1"/>
  <c r="GL167" i="1"/>
  <c r="GO167" i="1"/>
  <c r="GP167" i="1"/>
  <c r="GV167" i="1"/>
  <c r="HC167" i="1"/>
  <c r="I168" i="1"/>
  <c r="R168" i="1"/>
  <c r="V168" i="1"/>
  <c r="AC168" i="1"/>
  <c r="AE168" i="1"/>
  <c r="AD168" i="1" s="1"/>
  <c r="AB168" i="1" s="1"/>
  <c r="AF168" i="1"/>
  <c r="AG168" i="1"/>
  <c r="AH168" i="1"/>
  <c r="AI168" i="1"/>
  <c r="AJ168" i="1"/>
  <c r="CX168" i="1" s="1"/>
  <c r="W168" i="1" s="1"/>
  <c r="CQ168" i="1"/>
  <c r="CR168" i="1"/>
  <c r="CS168" i="1"/>
  <c r="CU168" i="1"/>
  <c r="T168" i="1" s="1"/>
  <c r="CV168" i="1"/>
  <c r="U168" i="1" s="1"/>
  <c r="CW168" i="1"/>
  <c r="GL168" i="1"/>
  <c r="GO168" i="1"/>
  <c r="GP168" i="1"/>
  <c r="GV168" i="1"/>
  <c r="HC168" i="1"/>
  <c r="GX168" i="1" s="1"/>
  <c r="R169" i="1"/>
  <c r="S169" i="1"/>
  <c r="W169" i="1"/>
  <c r="AC169" i="1"/>
  <c r="AE169" i="1"/>
  <c r="AD169" i="1" s="1"/>
  <c r="AF169" i="1"/>
  <c r="AG169" i="1"/>
  <c r="CU169" i="1" s="1"/>
  <c r="T169" i="1" s="1"/>
  <c r="AH169" i="1"/>
  <c r="AI169" i="1"/>
  <c r="AJ169" i="1"/>
  <c r="CR169" i="1"/>
  <c r="CS169" i="1"/>
  <c r="CT169" i="1"/>
  <c r="CV169" i="1"/>
  <c r="U169" i="1" s="1"/>
  <c r="CW169" i="1"/>
  <c r="V169" i="1" s="1"/>
  <c r="CX169" i="1"/>
  <c r="GL169" i="1"/>
  <c r="GN169" i="1"/>
  <c r="GO169" i="1"/>
  <c r="GP169" i="1"/>
  <c r="GV169" i="1"/>
  <c r="HC169" i="1"/>
  <c r="GX169" i="1" s="1"/>
  <c r="R170" i="1"/>
  <c r="S170" i="1"/>
  <c r="W170" i="1"/>
  <c r="AC170" i="1"/>
  <c r="AE170" i="1"/>
  <c r="AD170" i="1" s="1"/>
  <c r="AF170" i="1"/>
  <c r="AG170" i="1"/>
  <c r="CU170" i="1" s="1"/>
  <c r="T170" i="1" s="1"/>
  <c r="AH170" i="1"/>
  <c r="AI170" i="1"/>
  <c r="AJ170" i="1"/>
  <c r="CR170" i="1"/>
  <c r="CS170" i="1"/>
  <c r="CT170" i="1"/>
  <c r="CV170" i="1"/>
  <c r="U170" i="1" s="1"/>
  <c r="CW170" i="1"/>
  <c r="V170" i="1" s="1"/>
  <c r="CX170" i="1"/>
  <c r="GL170" i="1"/>
  <c r="GN170" i="1"/>
  <c r="GO170" i="1"/>
  <c r="GP170" i="1"/>
  <c r="GV170" i="1"/>
  <c r="HC170" i="1"/>
  <c r="GX170" i="1" s="1"/>
  <c r="C171" i="1"/>
  <c r="D171" i="1"/>
  <c r="P171" i="1"/>
  <c r="Q171" i="1"/>
  <c r="S171" i="1"/>
  <c r="U171" i="1"/>
  <c r="AC171" i="1"/>
  <c r="AE171" i="1"/>
  <c r="Y171" i="1" s="1"/>
  <c r="AF171" i="1"/>
  <c r="AG171" i="1"/>
  <c r="AH171" i="1"/>
  <c r="AI171" i="1"/>
  <c r="CW171" i="1" s="1"/>
  <c r="V171" i="1" s="1"/>
  <c r="AJ171" i="1"/>
  <c r="CQ171" i="1"/>
  <c r="CR171" i="1"/>
  <c r="CT171" i="1"/>
  <c r="CU171" i="1"/>
  <c r="T171" i="1" s="1"/>
  <c r="CV171" i="1"/>
  <c r="CX171" i="1"/>
  <c r="W171" i="1" s="1"/>
  <c r="CZ171" i="1"/>
  <c r="GL171" i="1"/>
  <c r="GO171" i="1"/>
  <c r="GP171" i="1"/>
  <c r="GV171" i="1"/>
  <c r="HC171" i="1"/>
  <c r="GX171" i="1" s="1"/>
  <c r="C172" i="1"/>
  <c r="D172" i="1"/>
  <c r="P172" i="1"/>
  <c r="R172" i="1"/>
  <c r="S172" i="1"/>
  <c r="Y172" i="1" s="1"/>
  <c r="T172" i="1"/>
  <c r="X172" i="1"/>
  <c r="AC172" i="1"/>
  <c r="AB172" i="1" s="1"/>
  <c r="AD172" i="1"/>
  <c r="AE172" i="1"/>
  <c r="Q172" i="1" s="1"/>
  <c r="AF172" i="1"/>
  <c r="AG172" i="1"/>
  <c r="AH172" i="1"/>
  <c r="CV172" i="1" s="1"/>
  <c r="U172" i="1" s="1"/>
  <c r="AI172" i="1"/>
  <c r="AJ172" i="1"/>
  <c r="CQ172" i="1"/>
  <c r="CR172" i="1"/>
  <c r="CS172" i="1"/>
  <c r="CT172" i="1"/>
  <c r="CU172" i="1"/>
  <c r="CW172" i="1"/>
  <c r="V172" i="1" s="1"/>
  <c r="CX172" i="1"/>
  <c r="W172" i="1" s="1"/>
  <c r="CY172" i="1"/>
  <c r="GL172" i="1"/>
  <c r="GO172" i="1"/>
  <c r="GP172" i="1"/>
  <c r="GV172" i="1"/>
  <c r="HC172" i="1" s="1"/>
  <c r="GX172" i="1" s="1"/>
  <c r="I173" i="1"/>
  <c r="Q173" i="1" s="1"/>
  <c r="P173" i="1"/>
  <c r="R173" i="1"/>
  <c r="S173" i="1"/>
  <c r="Y173" i="1" s="1"/>
  <c r="T173" i="1"/>
  <c r="X173" i="1"/>
  <c r="AC173" i="1"/>
  <c r="AB173" i="1" s="1"/>
  <c r="AD173" i="1"/>
  <c r="AE173" i="1"/>
  <c r="AF173" i="1"/>
  <c r="AG173" i="1"/>
  <c r="AH173" i="1"/>
  <c r="CV173" i="1" s="1"/>
  <c r="U173" i="1" s="1"/>
  <c r="AI173" i="1"/>
  <c r="AJ173" i="1"/>
  <c r="CQ173" i="1"/>
  <c r="CR173" i="1"/>
  <c r="CS173" i="1"/>
  <c r="CT173" i="1"/>
  <c r="CU173" i="1"/>
  <c r="CW173" i="1"/>
  <c r="V173" i="1" s="1"/>
  <c r="CX173" i="1"/>
  <c r="W173" i="1" s="1"/>
  <c r="CY173" i="1"/>
  <c r="GL173" i="1"/>
  <c r="GO173" i="1"/>
  <c r="GP173" i="1"/>
  <c r="GV173" i="1"/>
  <c r="HC173" i="1" s="1"/>
  <c r="GX173" i="1" s="1"/>
  <c r="I174" i="1"/>
  <c r="Q174" i="1" s="1"/>
  <c r="P174" i="1"/>
  <c r="R174" i="1"/>
  <c r="S174" i="1"/>
  <c r="Y174" i="1" s="1"/>
  <c r="T174" i="1"/>
  <c r="X174" i="1"/>
  <c r="AC174" i="1"/>
  <c r="AB174" i="1" s="1"/>
  <c r="AD174" i="1"/>
  <c r="AE174" i="1"/>
  <c r="AF174" i="1"/>
  <c r="AG174" i="1"/>
  <c r="AH174" i="1"/>
  <c r="CV174" i="1" s="1"/>
  <c r="U174" i="1" s="1"/>
  <c r="AI174" i="1"/>
  <c r="AJ174" i="1"/>
  <c r="CQ174" i="1"/>
  <c r="CR174" i="1"/>
  <c r="CS174" i="1"/>
  <c r="CT174" i="1"/>
  <c r="CU174" i="1"/>
  <c r="CW174" i="1"/>
  <c r="V174" i="1" s="1"/>
  <c r="CX174" i="1"/>
  <c r="W174" i="1" s="1"/>
  <c r="CY174" i="1"/>
  <c r="GL174" i="1"/>
  <c r="GO174" i="1"/>
  <c r="GP174" i="1"/>
  <c r="GV174" i="1"/>
  <c r="HC174" i="1" s="1"/>
  <c r="GX174" i="1" s="1"/>
  <c r="I175" i="1"/>
  <c r="Q175" i="1" s="1"/>
  <c r="P175" i="1"/>
  <c r="R175" i="1"/>
  <c r="S175" i="1"/>
  <c r="Y175" i="1" s="1"/>
  <c r="T175" i="1"/>
  <c r="X175" i="1"/>
  <c r="AC175" i="1"/>
  <c r="AB175" i="1" s="1"/>
  <c r="AD175" i="1"/>
  <c r="AE175" i="1"/>
  <c r="AF175" i="1"/>
  <c r="AG175" i="1"/>
  <c r="AH175" i="1"/>
  <c r="CV175" i="1" s="1"/>
  <c r="U175" i="1" s="1"/>
  <c r="AI175" i="1"/>
  <c r="AJ175" i="1"/>
  <c r="CQ175" i="1"/>
  <c r="CR175" i="1"/>
  <c r="CS175" i="1"/>
  <c r="CT175" i="1"/>
  <c r="CU175" i="1"/>
  <c r="CW175" i="1"/>
  <c r="V175" i="1" s="1"/>
  <c r="CX175" i="1"/>
  <c r="W175" i="1" s="1"/>
  <c r="CY175" i="1"/>
  <c r="GL175" i="1"/>
  <c r="GN175" i="1"/>
  <c r="GO175" i="1"/>
  <c r="GP175" i="1"/>
  <c r="GV175" i="1"/>
  <c r="HC175" i="1" s="1"/>
  <c r="GX175" i="1" s="1"/>
  <c r="I176" i="1"/>
  <c r="Q176" i="1" s="1"/>
  <c r="R176" i="1"/>
  <c r="S176" i="1"/>
  <c r="W176" i="1"/>
  <c r="AC176" i="1"/>
  <c r="AE176" i="1"/>
  <c r="AD176" i="1" s="1"/>
  <c r="AF176" i="1"/>
  <c r="AG176" i="1"/>
  <c r="CU176" i="1" s="1"/>
  <c r="T176" i="1" s="1"/>
  <c r="AH176" i="1"/>
  <c r="AI176" i="1"/>
  <c r="AJ176" i="1"/>
  <c r="CR176" i="1"/>
  <c r="CS176" i="1"/>
  <c r="CT176" i="1"/>
  <c r="CV176" i="1"/>
  <c r="U176" i="1" s="1"/>
  <c r="CW176" i="1"/>
  <c r="V176" i="1" s="1"/>
  <c r="CX176" i="1"/>
  <c r="GL176" i="1"/>
  <c r="GN176" i="1"/>
  <c r="GO176" i="1"/>
  <c r="GP176" i="1"/>
  <c r="GV176" i="1"/>
  <c r="HC176" i="1"/>
  <c r="GX176" i="1" s="1"/>
  <c r="C177" i="1"/>
  <c r="D177" i="1"/>
  <c r="I177" i="1"/>
  <c r="K177" i="1"/>
  <c r="R177" i="1"/>
  <c r="S177" i="1"/>
  <c r="W177" i="1"/>
  <c r="AC177" i="1"/>
  <c r="AE177" i="1"/>
  <c r="AD177" i="1" s="1"/>
  <c r="AF177" i="1"/>
  <c r="AG177" i="1"/>
  <c r="CU177" i="1" s="1"/>
  <c r="T177" i="1" s="1"/>
  <c r="AH177" i="1"/>
  <c r="AI177" i="1"/>
  <c r="AJ177" i="1"/>
  <c r="CR177" i="1"/>
  <c r="CS177" i="1"/>
  <c r="CT177" i="1"/>
  <c r="CV177" i="1"/>
  <c r="U177" i="1" s="1"/>
  <c r="CW177" i="1"/>
  <c r="V177" i="1" s="1"/>
  <c r="CX177" i="1"/>
  <c r="GL177" i="1"/>
  <c r="GO177" i="1"/>
  <c r="GP177" i="1"/>
  <c r="GV177" i="1"/>
  <c r="HC177" i="1" s="1"/>
  <c r="GX177" i="1" s="1"/>
  <c r="C178" i="1"/>
  <c r="D178" i="1"/>
  <c r="I178" i="1"/>
  <c r="K178" i="1"/>
  <c r="P178" i="1"/>
  <c r="CP178" i="1" s="1"/>
  <c r="O178" i="1" s="1"/>
  <c r="GM178" i="1" s="1"/>
  <c r="GN178" i="1" s="1"/>
  <c r="R178" i="1"/>
  <c r="S178" i="1"/>
  <c r="Y178" i="1" s="1"/>
  <c r="X178" i="1"/>
  <c r="AC178" i="1"/>
  <c r="AB178" i="1" s="1"/>
  <c r="AD178" i="1"/>
  <c r="AE178" i="1"/>
  <c r="Q178" i="1" s="1"/>
  <c r="AF178" i="1"/>
  <c r="AG178" i="1"/>
  <c r="AH178" i="1"/>
  <c r="CV178" i="1" s="1"/>
  <c r="U178" i="1" s="1"/>
  <c r="AI178" i="1"/>
  <c r="AJ178" i="1"/>
  <c r="CQ178" i="1"/>
  <c r="CR178" i="1"/>
  <c r="CS178" i="1"/>
  <c r="CT178" i="1"/>
  <c r="CU178" i="1"/>
  <c r="T178" i="1" s="1"/>
  <c r="CW178" i="1"/>
  <c r="V178" i="1" s="1"/>
  <c r="CX178" i="1"/>
  <c r="W178" i="1" s="1"/>
  <c r="CY178" i="1"/>
  <c r="GL178" i="1"/>
  <c r="GO178" i="1"/>
  <c r="GP178" i="1"/>
  <c r="GV178" i="1"/>
  <c r="HC178" i="1" s="1"/>
  <c r="GX178" i="1" s="1"/>
  <c r="I179" i="1"/>
  <c r="Q179" i="1" s="1"/>
  <c r="R179" i="1"/>
  <c r="S179" i="1"/>
  <c r="W179" i="1"/>
  <c r="AC179" i="1"/>
  <c r="AD179" i="1"/>
  <c r="AE179" i="1"/>
  <c r="AF179" i="1"/>
  <c r="AG179" i="1"/>
  <c r="CU179" i="1" s="1"/>
  <c r="T179" i="1" s="1"/>
  <c r="AH179" i="1"/>
  <c r="CV179" i="1" s="1"/>
  <c r="U179" i="1" s="1"/>
  <c r="AI179" i="1"/>
  <c r="AJ179" i="1"/>
  <c r="CR179" i="1"/>
  <c r="CS179" i="1"/>
  <c r="CT179" i="1"/>
  <c r="CW179" i="1"/>
  <c r="V179" i="1" s="1"/>
  <c r="CX179" i="1"/>
  <c r="CY179" i="1"/>
  <c r="GL179" i="1"/>
  <c r="GO179" i="1"/>
  <c r="GP179" i="1"/>
  <c r="GV179" i="1"/>
  <c r="HC179" i="1" s="1"/>
  <c r="GX179" i="1" s="1"/>
  <c r="I180" i="1"/>
  <c r="Q180" i="1" s="1"/>
  <c r="R180" i="1"/>
  <c r="S180" i="1"/>
  <c r="W180" i="1"/>
  <c r="AC180" i="1"/>
  <c r="AD180" i="1"/>
  <c r="AE180" i="1"/>
  <c r="AF180" i="1"/>
  <c r="AG180" i="1"/>
  <c r="CU180" i="1" s="1"/>
  <c r="T180" i="1" s="1"/>
  <c r="AH180" i="1"/>
  <c r="CV180" i="1" s="1"/>
  <c r="U180" i="1" s="1"/>
  <c r="AI180" i="1"/>
  <c r="AJ180" i="1"/>
  <c r="CR180" i="1"/>
  <c r="CS180" i="1"/>
  <c r="CT180" i="1"/>
  <c r="CW180" i="1"/>
  <c r="V180" i="1" s="1"/>
  <c r="CX180" i="1"/>
  <c r="GL180" i="1"/>
  <c r="GO180" i="1"/>
  <c r="GP180" i="1"/>
  <c r="GV180" i="1"/>
  <c r="HC180" i="1" s="1"/>
  <c r="GX180" i="1" s="1"/>
  <c r="B182" i="1"/>
  <c r="B97" i="1" s="1"/>
  <c r="C182" i="1"/>
  <c r="C97" i="1" s="1"/>
  <c r="D182" i="1"/>
  <c r="D97" i="1" s="1"/>
  <c r="F182" i="1"/>
  <c r="G182" i="1"/>
  <c r="G97" i="1" s="1"/>
  <c r="BD182" i="1"/>
  <c r="BX182" i="1"/>
  <c r="BX97" i="1" s="1"/>
  <c r="CD182" i="1"/>
  <c r="CK182" i="1"/>
  <c r="CK97" i="1" s="1"/>
  <c r="CL182" i="1"/>
  <c r="CL97" i="1" s="1"/>
  <c r="CM182" i="1"/>
  <c r="CM97" i="1" s="1"/>
  <c r="ET182" i="1"/>
  <c r="FP182" i="1"/>
  <c r="FP97" i="1" s="1"/>
  <c r="GC182" i="1"/>
  <c r="GC97" i="1" s="1"/>
  <c r="GD182" i="1"/>
  <c r="EU182" i="1" s="1"/>
  <c r="EU97" i="1" s="1"/>
  <c r="GE182" i="1"/>
  <c r="GE97" i="1" s="1"/>
  <c r="D212" i="1"/>
  <c r="E214" i="1"/>
  <c r="Z214" i="1"/>
  <c r="AA214" i="1"/>
  <c r="AM214" i="1"/>
  <c r="AN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CN214" i="1"/>
  <c r="CO214" i="1"/>
  <c r="CP214" i="1"/>
  <c r="CQ214" i="1"/>
  <c r="CR214" i="1"/>
  <c r="CS214" i="1"/>
  <c r="CT214" i="1"/>
  <c r="CU214" i="1"/>
  <c r="CV214" i="1"/>
  <c r="CW214" i="1"/>
  <c r="CX214" i="1"/>
  <c r="CY214" i="1"/>
  <c r="CZ214" i="1"/>
  <c r="DA214" i="1"/>
  <c r="DB214" i="1"/>
  <c r="DC214" i="1"/>
  <c r="DD214" i="1"/>
  <c r="DE214" i="1"/>
  <c r="DF214" i="1"/>
  <c r="DR214" i="1"/>
  <c r="DS214" i="1"/>
  <c r="EE214" i="1"/>
  <c r="EF214" i="1"/>
  <c r="EW214" i="1"/>
  <c r="EX214" i="1"/>
  <c r="EY214" i="1"/>
  <c r="EZ214" i="1"/>
  <c r="FA214" i="1"/>
  <c r="FB214" i="1"/>
  <c r="FC214" i="1"/>
  <c r="FD214" i="1"/>
  <c r="FE214" i="1"/>
  <c r="FF214" i="1"/>
  <c r="FG214" i="1"/>
  <c r="FH214" i="1"/>
  <c r="FI214" i="1"/>
  <c r="FJ214" i="1"/>
  <c r="FK214" i="1"/>
  <c r="FL214" i="1"/>
  <c r="FM214" i="1"/>
  <c r="FN214" i="1"/>
  <c r="FO214" i="1"/>
  <c r="GF214" i="1"/>
  <c r="GG214" i="1"/>
  <c r="GH214" i="1"/>
  <c r="GI214" i="1"/>
  <c r="GJ214" i="1"/>
  <c r="GK214" i="1"/>
  <c r="GL214" i="1"/>
  <c r="GM214" i="1"/>
  <c r="GN214" i="1"/>
  <c r="GO214" i="1"/>
  <c r="GP214" i="1"/>
  <c r="GQ214" i="1"/>
  <c r="GR214" i="1"/>
  <c r="GS214" i="1"/>
  <c r="GT214" i="1"/>
  <c r="GU214" i="1"/>
  <c r="GV214" i="1"/>
  <c r="GW214" i="1"/>
  <c r="GX214" i="1"/>
  <c r="C216" i="1"/>
  <c r="D216" i="1"/>
  <c r="I216" i="1"/>
  <c r="K216" i="1"/>
  <c r="R216" i="1"/>
  <c r="W216" i="1"/>
  <c r="AC216" i="1"/>
  <c r="AE216" i="1"/>
  <c r="AD216" i="1" s="1"/>
  <c r="AF216" i="1"/>
  <c r="AG216" i="1"/>
  <c r="CU216" i="1" s="1"/>
  <c r="T216" i="1" s="1"/>
  <c r="AH216" i="1"/>
  <c r="AI216" i="1"/>
  <c r="AJ216" i="1"/>
  <c r="CX216" i="1" s="1"/>
  <c r="CR216" i="1"/>
  <c r="CS216" i="1"/>
  <c r="CV216" i="1"/>
  <c r="U216" i="1" s="1"/>
  <c r="CW216" i="1"/>
  <c r="V216" i="1" s="1"/>
  <c r="GL216" i="1"/>
  <c r="GN216" i="1"/>
  <c r="GP216" i="1"/>
  <c r="GV216" i="1"/>
  <c r="HC216" i="1" s="1"/>
  <c r="GX216" i="1" s="1"/>
  <c r="C217" i="1"/>
  <c r="D217" i="1"/>
  <c r="I217" i="1"/>
  <c r="K217" i="1"/>
  <c r="R217" i="1"/>
  <c r="S217" i="1"/>
  <c r="W217" i="1"/>
  <c r="AC217" i="1"/>
  <c r="AD217" i="1"/>
  <c r="AE217" i="1"/>
  <c r="Q217" i="1" s="1"/>
  <c r="AF217" i="1"/>
  <c r="AG217" i="1"/>
  <c r="CU217" i="1" s="1"/>
  <c r="T217" i="1" s="1"/>
  <c r="AH217" i="1"/>
  <c r="CV217" i="1" s="1"/>
  <c r="U217" i="1" s="1"/>
  <c r="AI217" i="1"/>
  <c r="AJ217" i="1"/>
  <c r="CR217" i="1"/>
  <c r="CS217" i="1"/>
  <c r="CT217" i="1"/>
  <c r="CW217" i="1"/>
  <c r="V217" i="1" s="1"/>
  <c r="CX217" i="1"/>
  <c r="CY217" i="1"/>
  <c r="GL217" i="1"/>
  <c r="GN217" i="1"/>
  <c r="GP217" i="1"/>
  <c r="GV217" i="1"/>
  <c r="HC217" i="1" s="1"/>
  <c r="GX217" i="1" s="1"/>
  <c r="I218" i="1"/>
  <c r="Q218" i="1" s="1"/>
  <c r="O218" i="1"/>
  <c r="P218" i="1"/>
  <c r="CP218" i="1" s="1"/>
  <c r="R218" i="1"/>
  <c r="S218" i="1"/>
  <c r="T218" i="1"/>
  <c r="W218" i="1"/>
  <c r="X218" i="1"/>
  <c r="AC218" i="1"/>
  <c r="AD218" i="1"/>
  <c r="AE218" i="1"/>
  <c r="AF218" i="1"/>
  <c r="AG218" i="1"/>
  <c r="AH218" i="1"/>
  <c r="CV218" i="1" s="1"/>
  <c r="U218" i="1" s="1"/>
  <c r="AI218" i="1"/>
  <c r="AJ218" i="1"/>
  <c r="CQ218" i="1"/>
  <c r="CR218" i="1"/>
  <c r="CS218" i="1"/>
  <c r="CT218" i="1"/>
  <c r="CU218" i="1"/>
  <c r="CW218" i="1"/>
  <c r="V218" i="1" s="1"/>
  <c r="CX218" i="1"/>
  <c r="CY218" i="1"/>
  <c r="GL218" i="1"/>
  <c r="GN218" i="1"/>
  <c r="GP218" i="1"/>
  <c r="GV218" i="1"/>
  <c r="HC218" i="1" s="1"/>
  <c r="GX218" i="1" s="1"/>
  <c r="I219" i="1"/>
  <c r="Q219" i="1" s="1"/>
  <c r="P219" i="1"/>
  <c r="CP219" i="1" s="1"/>
  <c r="O219" i="1" s="1"/>
  <c r="R219" i="1"/>
  <c r="S219" i="1"/>
  <c r="W219" i="1"/>
  <c r="X219" i="1"/>
  <c r="AC219" i="1"/>
  <c r="AB219" i="1" s="1"/>
  <c r="AD219" i="1"/>
  <c r="AE219" i="1"/>
  <c r="AF219" i="1"/>
  <c r="AG219" i="1"/>
  <c r="CU219" i="1" s="1"/>
  <c r="T219" i="1" s="1"/>
  <c r="AH219" i="1"/>
  <c r="CV219" i="1" s="1"/>
  <c r="U219" i="1" s="1"/>
  <c r="AI219" i="1"/>
  <c r="AJ219" i="1"/>
  <c r="CR219" i="1"/>
  <c r="CS219" i="1"/>
  <c r="CT219" i="1"/>
  <c r="CW219" i="1"/>
  <c r="V219" i="1" s="1"/>
  <c r="CX219" i="1"/>
  <c r="CY219" i="1"/>
  <c r="GL219" i="1"/>
  <c r="GN219" i="1"/>
  <c r="GP219" i="1"/>
  <c r="GV219" i="1"/>
  <c r="HC219" i="1" s="1"/>
  <c r="GX219" i="1"/>
  <c r="I220" i="1"/>
  <c r="Q220" i="1" s="1"/>
  <c r="R220" i="1"/>
  <c r="S220" i="1"/>
  <c r="X220" i="1"/>
  <c r="AC220" i="1"/>
  <c r="AB220" i="1" s="1"/>
  <c r="AD220" i="1"/>
  <c r="AE220" i="1"/>
  <c r="AF220" i="1"/>
  <c r="AG220" i="1"/>
  <c r="CU220" i="1" s="1"/>
  <c r="T220" i="1" s="1"/>
  <c r="AH220" i="1"/>
  <c r="CV220" i="1" s="1"/>
  <c r="U220" i="1" s="1"/>
  <c r="AI220" i="1"/>
  <c r="AJ220" i="1"/>
  <c r="CR220" i="1"/>
  <c r="CS220" i="1"/>
  <c r="CT220" i="1"/>
  <c r="CW220" i="1"/>
  <c r="V220" i="1" s="1"/>
  <c r="CX220" i="1"/>
  <c r="W220" i="1" s="1"/>
  <c r="CY220" i="1"/>
  <c r="GL220" i="1"/>
  <c r="GN220" i="1"/>
  <c r="GP220" i="1"/>
  <c r="GV220" i="1"/>
  <c r="HC220" i="1" s="1"/>
  <c r="GX220" i="1" s="1"/>
  <c r="I221" i="1"/>
  <c r="Q221" i="1" s="1"/>
  <c r="R221" i="1"/>
  <c r="S221" i="1"/>
  <c r="W221" i="1"/>
  <c r="AC221" i="1"/>
  <c r="AD221" i="1"/>
  <c r="AE221" i="1"/>
  <c r="AF221" i="1"/>
  <c r="AG221" i="1"/>
  <c r="CU221" i="1" s="1"/>
  <c r="T221" i="1" s="1"/>
  <c r="AH221" i="1"/>
  <c r="CV221" i="1" s="1"/>
  <c r="U221" i="1" s="1"/>
  <c r="AI221" i="1"/>
  <c r="AJ221" i="1"/>
  <c r="CR221" i="1"/>
  <c r="CS221" i="1"/>
  <c r="CT221" i="1"/>
  <c r="CW221" i="1"/>
  <c r="V221" i="1" s="1"/>
  <c r="CX221" i="1"/>
  <c r="CY221" i="1"/>
  <c r="GL221" i="1"/>
  <c r="GN221" i="1"/>
  <c r="GP221" i="1"/>
  <c r="GV221" i="1"/>
  <c r="HC221" i="1" s="1"/>
  <c r="GX221" i="1" s="1"/>
  <c r="I222" i="1"/>
  <c r="Q222" i="1" s="1"/>
  <c r="R222" i="1"/>
  <c r="W222" i="1"/>
  <c r="AC222" i="1"/>
  <c r="AD222" i="1"/>
  <c r="AE222" i="1"/>
  <c r="AF222" i="1"/>
  <c r="S222" i="1" s="1"/>
  <c r="AG222" i="1"/>
  <c r="CU222" i="1" s="1"/>
  <c r="T222" i="1" s="1"/>
  <c r="AH222" i="1"/>
  <c r="CV222" i="1" s="1"/>
  <c r="U222" i="1" s="1"/>
  <c r="AI222" i="1"/>
  <c r="AJ222" i="1"/>
  <c r="CR222" i="1"/>
  <c r="CS222" i="1"/>
  <c r="CT222" i="1"/>
  <c r="CW222" i="1"/>
  <c r="V222" i="1" s="1"/>
  <c r="CX222" i="1"/>
  <c r="GL222" i="1"/>
  <c r="GN222" i="1"/>
  <c r="GP222" i="1"/>
  <c r="GV222" i="1"/>
  <c r="HC222" i="1" s="1"/>
  <c r="GX222" i="1" s="1"/>
  <c r="I223" i="1"/>
  <c r="Q223" i="1" s="1"/>
  <c r="R223" i="1"/>
  <c r="V223" i="1"/>
  <c r="AC223" i="1"/>
  <c r="P223" i="1" s="1"/>
  <c r="AD223" i="1"/>
  <c r="AE223" i="1"/>
  <c r="AF223" i="1"/>
  <c r="AG223" i="1"/>
  <c r="CU223" i="1" s="1"/>
  <c r="T223" i="1" s="1"/>
  <c r="AH223" i="1"/>
  <c r="CV223" i="1" s="1"/>
  <c r="U223" i="1" s="1"/>
  <c r="AI223" i="1"/>
  <c r="AJ223" i="1"/>
  <c r="CR223" i="1"/>
  <c r="CS223" i="1"/>
  <c r="CW223" i="1"/>
  <c r="CX223" i="1"/>
  <c r="W223" i="1" s="1"/>
  <c r="GL223" i="1"/>
  <c r="GN223" i="1"/>
  <c r="GP223" i="1"/>
  <c r="GV223" i="1"/>
  <c r="HC223" i="1" s="1"/>
  <c r="GX223" i="1" s="1"/>
  <c r="I224" i="1"/>
  <c r="Q224" i="1" s="1"/>
  <c r="K224" i="1"/>
  <c r="AC224" i="1"/>
  <c r="AE224" i="1"/>
  <c r="AF224" i="1"/>
  <c r="AG224" i="1"/>
  <c r="CU224" i="1" s="1"/>
  <c r="AH224" i="1"/>
  <c r="AI224" i="1"/>
  <c r="CW224" i="1" s="1"/>
  <c r="AJ224" i="1"/>
  <c r="CS224" i="1"/>
  <c r="CT224" i="1"/>
  <c r="CV224" i="1"/>
  <c r="CX224" i="1"/>
  <c r="GL224" i="1"/>
  <c r="GN224" i="1"/>
  <c r="GP224" i="1"/>
  <c r="GV224" i="1"/>
  <c r="HC224" i="1"/>
  <c r="I225" i="1"/>
  <c r="T225" i="1" s="1"/>
  <c r="K225" i="1"/>
  <c r="Q225" i="1"/>
  <c r="R225" i="1"/>
  <c r="V225" i="1"/>
  <c r="AC225" i="1"/>
  <c r="AD225" i="1"/>
  <c r="AB225" i="1" s="1"/>
  <c r="AE225" i="1"/>
  <c r="AF225" i="1"/>
  <c r="AG225" i="1"/>
  <c r="AH225" i="1"/>
  <c r="AI225" i="1"/>
  <c r="AJ225" i="1"/>
  <c r="CX225" i="1" s="1"/>
  <c r="CQ225" i="1"/>
  <c r="CR225" i="1"/>
  <c r="CS225" i="1"/>
  <c r="CU225" i="1"/>
  <c r="CV225" i="1"/>
  <c r="U225" i="1" s="1"/>
  <c r="CW225" i="1"/>
  <c r="GL225" i="1"/>
  <c r="GN225" i="1"/>
  <c r="GP225" i="1"/>
  <c r="GV225" i="1"/>
  <c r="GX225" i="1"/>
  <c r="HC225" i="1"/>
  <c r="I226" i="1"/>
  <c r="K226" i="1"/>
  <c r="S226" i="1"/>
  <c r="T226" i="1"/>
  <c r="U226" i="1"/>
  <c r="AC226" i="1"/>
  <c r="CQ226" i="1" s="1"/>
  <c r="AE226" i="1"/>
  <c r="AF226" i="1"/>
  <c r="AG226" i="1"/>
  <c r="AH226" i="1"/>
  <c r="AI226" i="1"/>
  <c r="CW226" i="1" s="1"/>
  <c r="V226" i="1" s="1"/>
  <c r="AJ226" i="1"/>
  <c r="CT226" i="1"/>
  <c r="CU226" i="1"/>
  <c r="CV226" i="1"/>
  <c r="CX226" i="1"/>
  <c r="W226" i="1" s="1"/>
  <c r="GL226" i="1"/>
  <c r="GN226" i="1"/>
  <c r="GP226" i="1"/>
  <c r="GV226" i="1"/>
  <c r="HC226" i="1" s="1"/>
  <c r="GX226" i="1" s="1"/>
  <c r="I227" i="1"/>
  <c r="K227" i="1"/>
  <c r="R227" i="1"/>
  <c r="S227" i="1"/>
  <c r="X227" i="1"/>
  <c r="AC227" i="1"/>
  <c r="P227" i="1" s="1"/>
  <c r="AD227" i="1"/>
  <c r="AE227" i="1"/>
  <c r="Q227" i="1" s="1"/>
  <c r="AF227" i="1"/>
  <c r="AB227" i="1" s="1"/>
  <c r="AG227" i="1"/>
  <c r="CU227" i="1" s="1"/>
  <c r="T227" i="1" s="1"/>
  <c r="AH227" i="1"/>
  <c r="CV227" i="1" s="1"/>
  <c r="U227" i="1" s="1"/>
  <c r="AI227" i="1"/>
  <c r="AJ227" i="1"/>
  <c r="CR227" i="1"/>
  <c r="CS227" i="1"/>
  <c r="CW227" i="1"/>
  <c r="V227" i="1" s="1"/>
  <c r="CX227" i="1"/>
  <c r="W227" i="1" s="1"/>
  <c r="GL227" i="1"/>
  <c r="GN227" i="1"/>
  <c r="GP227" i="1"/>
  <c r="GV227" i="1"/>
  <c r="HC227" i="1" s="1"/>
  <c r="GX227" i="1"/>
  <c r="C228" i="1"/>
  <c r="D228" i="1"/>
  <c r="I228" i="1"/>
  <c r="K228" i="1"/>
  <c r="S228" i="1"/>
  <c r="T228" i="1"/>
  <c r="U228" i="1"/>
  <c r="AC228" i="1"/>
  <c r="CQ228" i="1" s="1"/>
  <c r="AE228" i="1"/>
  <c r="AF228" i="1"/>
  <c r="AG228" i="1"/>
  <c r="AH228" i="1"/>
  <c r="AI228" i="1"/>
  <c r="CW228" i="1" s="1"/>
  <c r="V228" i="1" s="1"/>
  <c r="AJ228" i="1"/>
  <c r="CT228" i="1"/>
  <c r="CU228" i="1"/>
  <c r="CV228" i="1"/>
  <c r="CX228" i="1"/>
  <c r="W228" i="1" s="1"/>
  <c r="GL228" i="1"/>
  <c r="GN228" i="1"/>
  <c r="GP228" i="1"/>
  <c r="GV228" i="1"/>
  <c r="HC228" i="1" s="1"/>
  <c r="GX228" i="1" s="1"/>
  <c r="C229" i="1"/>
  <c r="D229" i="1"/>
  <c r="I229" i="1"/>
  <c r="R229" i="1" s="1"/>
  <c r="K229" i="1"/>
  <c r="P229" i="1"/>
  <c r="CP229" i="1" s="1"/>
  <c r="O229" i="1" s="1"/>
  <c r="AC229" i="1"/>
  <c r="AD229" i="1"/>
  <c r="AB229" i="1" s="1"/>
  <c r="AE229" i="1"/>
  <c r="Q229" i="1" s="1"/>
  <c r="AF229" i="1"/>
  <c r="S229" i="1" s="1"/>
  <c r="AG229" i="1"/>
  <c r="AH229" i="1"/>
  <c r="CV229" i="1" s="1"/>
  <c r="U229" i="1" s="1"/>
  <c r="AI229" i="1"/>
  <c r="CW229" i="1" s="1"/>
  <c r="V229" i="1" s="1"/>
  <c r="AJ229" i="1"/>
  <c r="CX229" i="1" s="1"/>
  <c r="W229" i="1" s="1"/>
  <c r="CQ229" i="1"/>
  <c r="CR229" i="1"/>
  <c r="CU229" i="1"/>
  <c r="T229" i="1" s="1"/>
  <c r="CY229" i="1"/>
  <c r="GL229" i="1"/>
  <c r="GN229" i="1"/>
  <c r="FT289" i="1" s="1"/>
  <c r="GP229" i="1"/>
  <c r="GV229" i="1"/>
  <c r="GX229" i="1"/>
  <c r="HC229" i="1"/>
  <c r="I230" i="1"/>
  <c r="P230" i="1"/>
  <c r="AC230" i="1"/>
  <c r="AD230" i="1"/>
  <c r="AB230" i="1" s="1"/>
  <c r="AE230" i="1"/>
  <c r="Q230" i="1" s="1"/>
  <c r="AF230" i="1"/>
  <c r="S230" i="1" s="1"/>
  <c r="X230" i="1" s="1"/>
  <c r="AG230" i="1"/>
  <c r="AH230" i="1"/>
  <c r="CV230" i="1" s="1"/>
  <c r="U230" i="1" s="1"/>
  <c r="AI230" i="1"/>
  <c r="CW230" i="1" s="1"/>
  <c r="V230" i="1" s="1"/>
  <c r="AJ230" i="1"/>
  <c r="CX230" i="1" s="1"/>
  <c r="W230" i="1" s="1"/>
  <c r="CQ230" i="1"/>
  <c r="CR230" i="1"/>
  <c r="CU230" i="1"/>
  <c r="T230" i="1" s="1"/>
  <c r="CY230" i="1"/>
  <c r="GL230" i="1"/>
  <c r="GN230" i="1"/>
  <c r="GP230" i="1"/>
  <c r="GV230" i="1"/>
  <c r="GX230" i="1"/>
  <c r="HC230" i="1"/>
  <c r="AC231" i="1"/>
  <c r="AD231" i="1"/>
  <c r="AB231" i="1" s="1"/>
  <c r="AE231" i="1"/>
  <c r="CS231" i="1" s="1"/>
  <c r="AF231" i="1"/>
  <c r="AG231" i="1"/>
  <c r="AH231" i="1"/>
  <c r="CV231" i="1" s="1"/>
  <c r="AI231" i="1"/>
  <c r="CW231" i="1" s="1"/>
  <c r="AJ231" i="1"/>
  <c r="CX231" i="1" s="1"/>
  <c r="CQ231" i="1"/>
  <c r="CR231" i="1"/>
  <c r="CU231" i="1"/>
  <c r="GL231" i="1"/>
  <c r="GN231" i="1"/>
  <c r="GP231" i="1"/>
  <c r="GV231" i="1"/>
  <c r="HC231" i="1"/>
  <c r="I232" i="1"/>
  <c r="P232" i="1"/>
  <c r="AC232" i="1"/>
  <c r="AD232" i="1"/>
  <c r="AB232" i="1" s="1"/>
  <c r="AE232" i="1"/>
  <c r="Q232" i="1" s="1"/>
  <c r="AF232" i="1"/>
  <c r="S232" i="1" s="1"/>
  <c r="AG232" i="1"/>
  <c r="AH232" i="1"/>
  <c r="CV232" i="1" s="1"/>
  <c r="U232" i="1" s="1"/>
  <c r="AI232" i="1"/>
  <c r="CW232" i="1" s="1"/>
  <c r="V232" i="1" s="1"/>
  <c r="AJ232" i="1"/>
  <c r="CX232" i="1" s="1"/>
  <c r="W232" i="1" s="1"/>
  <c r="CQ232" i="1"/>
  <c r="CR232" i="1"/>
  <c r="CU232" i="1"/>
  <c r="T232" i="1" s="1"/>
  <c r="CY232" i="1"/>
  <c r="GL232" i="1"/>
  <c r="GN232" i="1"/>
  <c r="GP232" i="1"/>
  <c r="GV232" i="1"/>
  <c r="GX232" i="1"/>
  <c r="HC232" i="1"/>
  <c r="AC233" i="1"/>
  <c r="AD233" i="1"/>
  <c r="AB233" i="1" s="1"/>
  <c r="AE233" i="1"/>
  <c r="CS233" i="1" s="1"/>
  <c r="AF233" i="1"/>
  <c r="AG233" i="1"/>
  <c r="AH233" i="1"/>
  <c r="CV233" i="1" s="1"/>
  <c r="AI233" i="1"/>
  <c r="CW233" i="1" s="1"/>
  <c r="AJ233" i="1"/>
  <c r="CX233" i="1" s="1"/>
  <c r="CQ233" i="1"/>
  <c r="CR233" i="1"/>
  <c r="CU233" i="1"/>
  <c r="GL233" i="1"/>
  <c r="GN233" i="1"/>
  <c r="GP233" i="1"/>
  <c r="GV233" i="1"/>
  <c r="HC233" i="1"/>
  <c r="I234" i="1"/>
  <c r="P234" i="1"/>
  <c r="CP234" i="1" s="1"/>
  <c r="O234" i="1" s="1"/>
  <c r="AC234" i="1"/>
  <c r="AD234" i="1"/>
  <c r="AB234" i="1" s="1"/>
  <c r="AE234" i="1"/>
  <c r="Q234" i="1" s="1"/>
  <c r="AF234" i="1"/>
  <c r="S234" i="1" s="1"/>
  <c r="AG234" i="1"/>
  <c r="AH234" i="1"/>
  <c r="CV234" i="1" s="1"/>
  <c r="U234" i="1" s="1"/>
  <c r="AI234" i="1"/>
  <c r="CW234" i="1" s="1"/>
  <c r="V234" i="1" s="1"/>
  <c r="AJ234" i="1"/>
  <c r="CX234" i="1" s="1"/>
  <c r="W234" i="1" s="1"/>
  <c r="CQ234" i="1"/>
  <c r="CR234" i="1"/>
  <c r="CU234" i="1"/>
  <c r="T234" i="1" s="1"/>
  <c r="CY234" i="1"/>
  <c r="GL234" i="1"/>
  <c r="GN234" i="1"/>
  <c r="CB289" i="1" s="1"/>
  <c r="GP234" i="1"/>
  <c r="GV234" i="1"/>
  <c r="GX234" i="1"/>
  <c r="HC234" i="1"/>
  <c r="AC235" i="1"/>
  <c r="AD235" i="1"/>
  <c r="AB235" i="1" s="1"/>
  <c r="AE235" i="1"/>
  <c r="CS235" i="1" s="1"/>
  <c r="AF235" i="1"/>
  <c r="AG235" i="1"/>
  <c r="AH235" i="1"/>
  <c r="CV235" i="1" s="1"/>
  <c r="AI235" i="1"/>
  <c r="CW235" i="1" s="1"/>
  <c r="AJ235" i="1"/>
  <c r="CX235" i="1" s="1"/>
  <c r="CQ235" i="1"/>
  <c r="CR235" i="1"/>
  <c r="CU235" i="1"/>
  <c r="GL235" i="1"/>
  <c r="GN235" i="1"/>
  <c r="GP235" i="1"/>
  <c r="GV235" i="1"/>
  <c r="HC235" i="1"/>
  <c r="I236" i="1"/>
  <c r="P236" i="1"/>
  <c r="AC236" i="1"/>
  <c r="AD236" i="1"/>
  <c r="AB236" i="1" s="1"/>
  <c r="AE236" i="1"/>
  <c r="Q236" i="1" s="1"/>
  <c r="AF236" i="1"/>
  <c r="S236" i="1" s="1"/>
  <c r="AG236" i="1"/>
  <c r="AH236" i="1"/>
  <c r="CV236" i="1" s="1"/>
  <c r="U236" i="1" s="1"/>
  <c r="AI236" i="1"/>
  <c r="CW236" i="1" s="1"/>
  <c r="V236" i="1" s="1"/>
  <c r="AJ236" i="1"/>
  <c r="CX236" i="1" s="1"/>
  <c r="W236" i="1" s="1"/>
  <c r="CQ236" i="1"/>
  <c r="CR236" i="1"/>
  <c r="CU236" i="1"/>
  <c r="T236" i="1" s="1"/>
  <c r="CY236" i="1"/>
  <c r="GL236" i="1"/>
  <c r="GN236" i="1"/>
  <c r="GP236" i="1"/>
  <c r="GV236" i="1"/>
  <c r="GX236" i="1"/>
  <c r="HC236" i="1"/>
  <c r="I237" i="1"/>
  <c r="P237" i="1"/>
  <c r="AC237" i="1"/>
  <c r="AD237" i="1"/>
  <c r="AB237" i="1" s="1"/>
  <c r="AE237" i="1"/>
  <c r="Q237" i="1" s="1"/>
  <c r="AF237" i="1"/>
  <c r="S237" i="1" s="1"/>
  <c r="AG237" i="1"/>
  <c r="AH237" i="1"/>
  <c r="CV237" i="1" s="1"/>
  <c r="U237" i="1" s="1"/>
  <c r="AI237" i="1"/>
  <c r="CW237" i="1" s="1"/>
  <c r="V237" i="1" s="1"/>
  <c r="AJ237" i="1"/>
  <c r="CX237" i="1" s="1"/>
  <c r="W237" i="1" s="1"/>
  <c r="CQ237" i="1"/>
  <c r="CR237" i="1"/>
  <c r="CU237" i="1"/>
  <c r="T237" i="1" s="1"/>
  <c r="CY237" i="1"/>
  <c r="GL237" i="1"/>
  <c r="GN237" i="1"/>
  <c r="GP237" i="1"/>
  <c r="GV237" i="1"/>
  <c r="GX237" i="1"/>
  <c r="HC237" i="1"/>
  <c r="U238" i="1"/>
  <c r="Y238" i="1"/>
  <c r="AC238" i="1"/>
  <c r="P238" i="1" s="1"/>
  <c r="AE238" i="1"/>
  <c r="AF238" i="1"/>
  <c r="S238" i="1" s="1"/>
  <c r="AG238" i="1"/>
  <c r="CU238" i="1" s="1"/>
  <c r="T238" i="1" s="1"/>
  <c r="AH238" i="1"/>
  <c r="AI238" i="1"/>
  <c r="CW238" i="1" s="1"/>
  <c r="V238" i="1" s="1"/>
  <c r="AJ238" i="1"/>
  <c r="CX238" i="1" s="1"/>
  <c r="W238" i="1" s="1"/>
  <c r="CR238" i="1"/>
  <c r="CV238" i="1"/>
  <c r="GL238" i="1"/>
  <c r="GN238" i="1"/>
  <c r="GP238" i="1"/>
  <c r="GV238" i="1"/>
  <c r="HC238" i="1"/>
  <c r="GX238" i="1" s="1"/>
  <c r="R239" i="1"/>
  <c r="AC239" i="1"/>
  <c r="P239" i="1" s="1"/>
  <c r="AD239" i="1"/>
  <c r="AE239" i="1"/>
  <c r="Q239" i="1" s="1"/>
  <c r="AF239" i="1"/>
  <c r="AG239" i="1"/>
  <c r="CU239" i="1" s="1"/>
  <c r="T239" i="1" s="1"/>
  <c r="AH239" i="1"/>
  <c r="CV239" i="1" s="1"/>
  <c r="U239" i="1" s="1"/>
  <c r="AI239" i="1"/>
  <c r="AJ239" i="1"/>
  <c r="CX239" i="1" s="1"/>
  <c r="W239" i="1" s="1"/>
  <c r="CR239" i="1"/>
  <c r="CS239" i="1"/>
  <c r="CW239" i="1"/>
  <c r="V239" i="1" s="1"/>
  <c r="GL239" i="1"/>
  <c r="GN239" i="1"/>
  <c r="GP239" i="1"/>
  <c r="GV239" i="1"/>
  <c r="HC239" i="1" s="1"/>
  <c r="GX239" i="1" s="1"/>
  <c r="C240" i="1"/>
  <c r="D240" i="1"/>
  <c r="I240" i="1"/>
  <c r="R240" i="1" s="1"/>
  <c r="K240" i="1"/>
  <c r="S240" i="1"/>
  <c r="AC240" i="1"/>
  <c r="AD240" i="1"/>
  <c r="AE240" i="1"/>
  <c r="Q240" i="1" s="1"/>
  <c r="AF240" i="1"/>
  <c r="AG240" i="1"/>
  <c r="CU240" i="1" s="1"/>
  <c r="T240" i="1" s="1"/>
  <c r="AH240" i="1"/>
  <c r="CV240" i="1" s="1"/>
  <c r="U240" i="1" s="1"/>
  <c r="AI240" i="1"/>
  <c r="CW240" i="1" s="1"/>
  <c r="V240" i="1" s="1"/>
  <c r="AJ240" i="1"/>
  <c r="CR240" i="1"/>
  <c r="CT240" i="1"/>
  <c r="CX240" i="1"/>
  <c r="W240" i="1" s="1"/>
  <c r="GL240" i="1"/>
  <c r="GN240" i="1"/>
  <c r="GP240" i="1"/>
  <c r="GV240" i="1"/>
  <c r="HC240" i="1" s="1"/>
  <c r="GX240" i="1" s="1"/>
  <c r="C241" i="1"/>
  <c r="D241" i="1"/>
  <c r="I241" i="1"/>
  <c r="R241" i="1" s="1"/>
  <c r="K241" i="1"/>
  <c r="P241" i="1"/>
  <c r="AC241" i="1"/>
  <c r="AD241" i="1"/>
  <c r="AB241" i="1" s="1"/>
  <c r="AE241" i="1"/>
  <c r="Q241" i="1" s="1"/>
  <c r="AF241" i="1"/>
  <c r="S241" i="1" s="1"/>
  <c r="AG241" i="1"/>
  <c r="AH241" i="1"/>
  <c r="CV241" i="1" s="1"/>
  <c r="U241" i="1" s="1"/>
  <c r="AI241" i="1"/>
  <c r="CW241" i="1" s="1"/>
  <c r="V241" i="1" s="1"/>
  <c r="AJ241" i="1"/>
  <c r="CX241" i="1" s="1"/>
  <c r="W241" i="1" s="1"/>
  <c r="CQ241" i="1"/>
  <c r="CR241" i="1"/>
  <c r="CU241" i="1"/>
  <c r="T241" i="1" s="1"/>
  <c r="CY241" i="1"/>
  <c r="GL241" i="1"/>
  <c r="GN241" i="1"/>
  <c r="GP241" i="1"/>
  <c r="GV241" i="1"/>
  <c r="GX241" i="1"/>
  <c r="HC241" i="1"/>
  <c r="AC242" i="1"/>
  <c r="P242" i="1" s="1"/>
  <c r="AE242" i="1"/>
  <c r="Y242" i="1" s="1"/>
  <c r="AF242" i="1"/>
  <c r="S242" i="1" s="1"/>
  <c r="AG242" i="1"/>
  <c r="CU242" i="1" s="1"/>
  <c r="T242" i="1" s="1"/>
  <c r="AH242" i="1"/>
  <c r="AI242" i="1"/>
  <c r="CW242" i="1" s="1"/>
  <c r="V242" i="1" s="1"/>
  <c r="AJ242" i="1"/>
  <c r="CX242" i="1" s="1"/>
  <c r="W242" i="1" s="1"/>
  <c r="CV242" i="1"/>
  <c r="U242" i="1" s="1"/>
  <c r="CZ242" i="1"/>
  <c r="GL242" i="1"/>
  <c r="GN242" i="1"/>
  <c r="GP242" i="1"/>
  <c r="GV242" i="1"/>
  <c r="HC242" i="1"/>
  <c r="GX242" i="1" s="1"/>
  <c r="R243" i="1"/>
  <c r="AC243" i="1"/>
  <c r="P243" i="1" s="1"/>
  <c r="AD243" i="1"/>
  <c r="AE243" i="1"/>
  <c r="Q243" i="1" s="1"/>
  <c r="AF243" i="1"/>
  <c r="AG243" i="1"/>
  <c r="CU243" i="1" s="1"/>
  <c r="T243" i="1" s="1"/>
  <c r="AH243" i="1"/>
  <c r="CV243" i="1" s="1"/>
  <c r="U243" i="1" s="1"/>
  <c r="AI243" i="1"/>
  <c r="AJ243" i="1"/>
  <c r="CX243" i="1" s="1"/>
  <c r="W243" i="1" s="1"/>
  <c r="CR243" i="1"/>
  <c r="CS243" i="1"/>
  <c r="CW243" i="1"/>
  <c r="V243" i="1" s="1"/>
  <c r="GL243" i="1"/>
  <c r="GN243" i="1"/>
  <c r="GP243" i="1"/>
  <c r="GV243" i="1"/>
  <c r="HC243" i="1" s="1"/>
  <c r="GX243" i="1" s="1"/>
  <c r="C244" i="1"/>
  <c r="D244" i="1"/>
  <c r="I244" i="1"/>
  <c r="R244" i="1" s="1"/>
  <c r="K244" i="1"/>
  <c r="S244" i="1"/>
  <c r="AC244" i="1"/>
  <c r="AD244" i="1"/>
  <c r="AE244" i="1"/>
  <c r="Q244" i="1" s="1"/>
  <c r="AF244" i="1"/>
  <c r="AG244" i="1"/>
  <c r="CU244" i="1" s="1"/>
  <c r="T244" i="1" s="1"/>
  <c r="AH244" i="1"/>
  <c r="CV244" i="1" s="1"/>
  <c r="U244" i="1" s="1"/>
  <c r="AI244" i="1"/>
  <c r="CW244" i="1" s="1"/>
  <c r="V244" i="1" s="1"/>
  <c r="AJ244" i="1"/>
  <c r="CR244" i="1"/>
  <c r="CT244" i="1"/>
  <c r="CX244" i="1"/>
  <c r="W244" i="1" s="1"/>
  <c r="GL244" i="1"/>
  <c r="GN244" i="1"/>
  <c r="GP244" i="1"/>
  <c r="GV244" i="1"/>
  <c r="HC244" i="1" s="1"/>
  <c r="GX244" i="1" s="1"/>
  <c r="C245" i="1"/>
  <c r="D245" i="1"/>
  <c r="I245" i="1"/>
  <c r="R245" i="1" s="1"/>
  <c r="K245" i="1"/>
  <c r="P245" i="1"/>
  <c r="AC245" i="1"/>
  <c r="AD245" i="1"/>
  <c r="AB245" i="1" s="1"/>
  <c r="AE245" i="1"/>
  <c r="Q245" i="1" s="1"/>
  <c r="AF245" i="1"/>
  <c r="S245" i="1" s="1"/>
  <c r="AG245" i="1"/>
  <c r="AH245" i="1"/>
  <c r="CV245" i="1" s="1"/>
  <c r="U245" i="1" s="1"/>
  <c r="AI245" i="1"/>
  <c r="CW245" i="1" s="1"/>
  <c r="V245" i="1" s="1"/>
  <c r="AJ245" i="1"/>
  <c r="CX245" i="1" s="1"/>
  <c r="W245" i="1" s="1"/>
  <c r="CQ245" i="1"/>
  <c r="CR245" i="1"/>
  <c r="CU245" i="1"/>
  <c r="T245" i="1" s="1"/>
  <c r="CY245" i="1"/>
  <c r="GL245" i="1"/>
  <c r="GN245" i="1"/>
  <c r="GP245" i="1"/>
  <c r="GV245" i="1"/>
  <c r="GX245" i="1"/>
  <c r="HC245" i="1"/>
  <c r="I246" i="1"/>
  <c r="P246" i="1"/>
  <c r="AC246" i="1"/>
  <c r="AD246" i="1"/>
  <c r="AB246" i="1" s="1"/>
  <c r="AE246" i="1"/>
  <c r="Q246" i="1" s="1"/>
  <c r="AF246" i="1"/>
  <c r="S246" i="1" s="1"/>
  <c r="AG246" i="1"/>
  <c r="AH246" i="1"/>
  <c r="CV246" i="1" s="1"/>
  <c r="U246" i="1" s="1"/>
  <c r="AI246" i="1"/>
  <c r="CW246" i="1" s="1"/>
  <c r="V246" i="1" s="1"/>
  <c r="AJ246" i="1"/>
  <c r="CX246" i="1" s="1"/>
  <c r="W246" i="1" s="1"/>
  <c r="CQ246" i="1"/>
  <c r="CR246" i="1"/>
  <c r="CU246" i="1"/>
  <c r="T246" i="1" s="1"/>
  <c r="CY246" i="1"/>
  <c r="GL246" i="1"/>
  <c r="GN246" i="1"/>
  <c r="GP246" i="1"/>
  <c r="GV246" i="1"/>
  <c r="GX246" i="1"/>
  <c r="HC246" i="1"/>
  <c r="AC247" i="1"/>
  <c r="AD247" i="1"/>
  <c r="AB247" i="1" s="1"/>
  <c r="AE247" i="1"/>
  <c r="CS247" i="1" s="1"/>
  <c r="AF247" i="1"/>
  <c r="AG247" i="1"/>
  <c r="AH247" i="1"/>
  <c r="CV247" i="1" s="1"/>
  <c r="AI247" i="1"/>
  <c r="CW247" i="1" s="1"/>
  <c r="AJ247" i="1"/>
  <c r="CX247" i="1" s="1"/>
  <c r="CQ247" i="1"/>
  <c r="CR247" i="1"/>
  <c r="CU247" i="1"/>
  <c r="GL247" i="1"/>
  <c r="GN247" i="1"/>
  <c r="GP247" i="1"/>
  <c r="GV247" i="1"/>
  <c r="HC247" i="1"/>
  <c r="I248" i="1"/>
  <c r="P248" i="1"/>
  <c r="Q248" i="1"/>
  <c r="T248" i="1"/>
  <c r="AC248" i="1"/>
  <c r="AD248" i="1"/>
  <c r="AB248" i="1" s="1"/>
  <c r="AE248" i="1"/>
  <c r="AF248" i="1"/>
  <c r="S248" i="1" s="1"/>
  <c r="X248" i="1" s="1"/>
  <c r="AG248" i="1"/>
  <c r="AH248" i="1"/>
  <c r="CV248" i="1" s="1"/>
  <c r="U248" i="1" s="1"/>
  <c r="AI248" i="1"/>
  <c r="CW248" i="1" s="1"/>
  <c r="V248" i="1" s="1"/>
  <c r="AJ248" i="1"/>
  <c r="CX248" i="1" s="1"/>
  <c r="W248" i="1" s="1"/>
  <c r="CQ248" i="1"/>
  <c r="CR248" i="1"/>
  <c r="CU248" i="1"/>
  <c r="CY248" i="1"/>
  <c r="CZ248" i="1"/>
  <c r="GL248" i="1"/>
  <c r="GN248" i="1"/>
  <c r="GP248" i="1"/>
  <c r="GV248" i="1"/>
  <c r="HC248" i="1"/>
  <c r="GX248" i="1" s="1"/>
  <c r="AC249" i="1"/>
  <c r="AE249" i="1"/>
  <c r="CS249" i="1" s="1"/>
  <c r="AF249" i="1"/>
  <c r="AG249" i="1"/>
  <c r="AH249" i="1"/>
  <c r="CV249" i="1" s="1"/>
  <c r="AI249" i="1"/>
  <c r="CW249" i="1" s="1"/>
  <c r="AJ249" i="1"/>
  <c r="CX249" i="1" s="1"/>
  <c r="CQ249" i="1"/>
  <c r="CU249" i="1"/>
  <c r="GL249" i="1"/>
  <c r="GN249" i="1"/>
  <c r="GP249" i="1"/>
  <c r="GV249" i="1"/>
  <c r="HC249" i="1"/>
  <c r="C250" i="1"/>
  <c r="D250" i="1"/>
  <c r="I250" i="1"/>
  <c r="K250" i="1"/>
  <c r="Q250" i="1"/>
  <c r="R250" i="1"/>
  <c r="AB250" i="1"/>
  <c r="AC250" i="1"/>
  <c r="P250" i="1" s="1"/>
  <c r="AE250" i="1"/>
  <c r="AD250" i="1" s="1"/>
  <c r="AF250" i="1"/>
  <c r="AG250" i="1"/>
  <c r="CU250" i="1" s="1"/>
  <c r="T250" i="1" s="1"/>
  <c r="AH250" i="1"/>
  <c r="AI250" i="1"/>
  <c r="AJ250" i="1"/>
  <c r="CX250" i="1" s="1"/>
  <c r="W250" i="1" s="1"/>
  <c r="CR250" i="1"/>
  <c r="CV250" i="1"/>
  <c r="U250" i="1" s="1"/>
  <c r="CW250" i="1"/>
  <c r="V250" i="1" s="1"/>
  <c r="GL250" i="1"/>
  <c r="GN250" i="1"/>
  <c r="GP250" i="1"/>
  <c r="CD289" i="1" s="1"/>
  <c r="GV250" i="1"/>
  <c r="HC250" i="1"/>
  <c r="GX250" i="1" s="1"/>
  <c r="C251" i="1"/>
  <c r="D251" i="1"/>
  <c r="I251" i="1"/>
  <c r="K251" i="1"/>
  <c r="R251" i="1"/>
  <c r="V251" i="1"/>
  <c r="AC251" i="1"/>
  <c r="AD251" i="1"/>
  <c r="AE251" i="1"/>
  <c r="Q251" i="1" s="1"/>
  <c r="AF251" i="1"/>
  <c r="S251" i="1" s="1"/>
  <c r="AG251" i="1"/>
  <c r="CU251" i="1" s="1"/>
  <c r="T251" i="1" s="1"/>
  <c r="AH251" i="1"/>
  <c r="CV251" i="1" s="1"/>
  <c r="U251" i="1" s="1"/>
  <c r="AI251" i="1"/>
  <c r="AJ251" i="1"/>
  <c r="CX251" i="1" s="1"/>
  <c r="W251" i="1" s="1"/>
  <c r="CR251" i="1"/>
  <c r="CS251" i="1"/>
  <c r="CT251" i="1"/>
  <c r="CW251" i="1"/>
  <c r="GL251" i="1"/>
  <c r="GN251" i="1"/>
  <c r="GP251" i="1"/>
  <c r="GV251" i="1"/>
  <c r="HC251" i="1" s="1"/>
  <c r="GX251" i="1" s="1"/>
  <c r="I252" i="1"/>
  <c r="Q252" i="1" s="1"/>
  <c r="AC252" i="1"/>
  <c r="AD252" i="1"/>
  <c r="AE252" i="1"/>
  <c r="AF252" i="1"/>
  <c r="AG252" i="1"/>
  <c r="CU252" i="1" s="1"/>
  <c r="AH252" i="1"/>
  <c r="CV252" i="1" s="1"/>
  <c r="U252" i="1" s="1"/>
  <c r="AI252" i="1"/>
  <c r="AJ252" i="1"/>
  <c r="CR252" i="1"/>
  <c r="CS252" i="1"/>
  <c r="CT252" i="1"/>
  <c r="CW252" i="1"/>
  <c r="CX252" i="1"/>
  <c r="W252" i="1" s="1"/>
  <c r="GL252" i="1"/>
  <c r="GN252" i="1"/>
  <c r="GP252" i="1"/>
  <c r="GV252" i="1"/>
  <c r="HC252" i="1" s="1"/>
  <c r="I253" i="1"/>
  <c r="Q253" i="1" s="1"/>
  <c r="R253" i="1"/>
  <c r="AC253" i="1"/>
  <c r="AD253" i="1"/>
  <c r="AE253" i="1"/>
  <c r="AF253" i="1"/>
  <c r="S253" i="1" s="1"/>
  <c r="AG253" i="1"/>
  <c r="AH253" i="1"/>
  <c r="CV253" i="1" s="1"/>
  <c r="U253" i="1" s="1"/>
  <c r="AI253" i="1"/>
  <c r="AJ253" i="1"/>
  <c r="CQ253" i="1"/>
  <c r="CR253" i="1"/>
  <c r="CS253" i="1"/>
  <c r="CU253" i="1"/>
  <c r="T253" i="1" s="1"/>
  <c r="CW253" i="1"/>
  <c r="V253" i="1" s="1"/>
  <c r="CX253" i="1"/>
  <c r="W253" i="1" s="1"/>
  <c r="GL253" i="1"/>
  <c r="GN253" i="1"/>
  <c r="GP253" i="1"/>
  <c r="GV253" i="1"/>
  <c r="HC253" i="1" s="1"/>
  <c r="GX253" i="1"/>
  <c r="I254" i="1"/>
  <c r="Q254" i="1" s="1"/>
  <c r="S254" i="1"/>
  <c r="X254" i="1" s="1"/>
  <c r="AC254" i="1"/>
  <c r="AB254" i="1" s="1"/>
  <c r="AD254" i="1"/>
  <c r="AE254" i="1"/>
  <c r="AF254" i="1"/>
  <c r="AG254" i="1"/>
  <c r="AH254" i="1"/>
  <c r="CV254" i="1" s="1"/>
  <c r="AI254" i="1"/>
  <c r="AJ254" i="1"/>
  <c r="CQ254" i="1"/>
  <c r="CR254" i="1"/>
  <c r="CS254" i="1"/>
  <c r="CT254" i="1"/>
  <c r="CU254" i="1"/>
  <c r="T254" i="1" s="1"/>
  <c r="CW254" i="1"/>
  <c r="V254" i="1" s="1"/>
  <c r="CX254" i="1"/>
  <c r="GL254" i="1"/>
  <c r="GN254" i="1"/>
  <c r="GP254" i="1"/>
  <c r="GV254" i="1"/>
  <c r="HC254" i="1" s="1"/>
  <c r="GX254" i="1"/>
  <c r="I255" i="1"/>
  <c r="Q255" i="1" s="1"/>
  <c r="R255" i="1"/>
  <c r="V255" i="1"/>
  <c r="W255" i="1"/>
  <c r="AC255" i="1"/>
  <c r="AB255" i="1" s="1"/>
  <c r="AD255" i="1"/>
  <c r="AE255" i="1"/>
  <c r="AF255" i="1"/>
  <c r="S255" i="1" s="1"/>
  <c r="AG255" i="1"/>
  <c r="AH255" i="1"/>
  <c r="CV255" i="1" s="1"/>
  <c r="U255" i="1" s="1"/>
  <c r="AI255" i="1"/>
  <c r="AJ255" i="1"/>
  <c r="CQ255" i="1"/>
  <c r="CR255" i="1"/>
  <c r="CS255" i="1"/>
  <c r="CT255" i="1"/>
  <c r="CU255" i="1"/>
  <c r="T255" i="1" s="1"/>
  <c r="CW255" i="1"/>
  <c r="CX255" i="1"/>
  <c r="GL255" i="1"/>
  <c r="FR289" i="1" s="1"/>
  <c r="GN255" i="1"/>
  <c r="GP255" i="1"/>
  <c r="GV255" i="1"/>
  <c r="HC255" i="1" s="1"/>
  <c r="GX255" i="1" s="1"/>
  <c r="I256" i="1"/>
  <c r="Q256" i="1" s="1"/>
  <c r="V256" i="1"/>
  <c r="AC256" i="1"/>
  <c r="CQ256" i="1" s="1"/>
  <c r="AD256" i="1"/>
  <c r="AE256" i="1"/>
  <c r="AF256" i="1"/>
  <c r="S256" i="1" s="1"/>
  <c r="AG256" i="1"/>
  <c r="CU256" i="1" s="1"/>
  <c r="T256" i="1" s="1"/>
  <c r="AH256" i="1"/>
  <c r="CV256" i="1" s="1"/>
  <c r="AI256" i="1"/>
  <c r="AJ256" i="1"/>
  <c r="CR256" i="1"/>
  <c r="CS256" i="1"/>
  <c r="CT256" i="1"/>
  <c r="CW256" i="1"/>
  <c r="CX256" i="1"/>
  <c r="W256" i="1" s="1"/>
  <c r="GL256" i="1"/>
  <c r="GN256" i="1"/>
  <c r="GP256" i="1"/>
  <c r="GV256" i="1"/>
  <c r="HC256" i="1" s="1"/>
  <c r="GX256" i="1" s="1"/>
  <c r="I257" i="1"/>
  <c r="Q257" i="1" s="1"/>
  <c r="P257" i="1"/>
  <c r="CP257" i="1" s="1"/>
  <c r="O257" i="1" s="1"/>
  <c r="GM257" i="1" s="1"/>
  <c r="GO257" i="1" s="1"/>
  <c r="R257" i="1"/>
  <c r="S257" i="1"/>
  <c r="Y257" i="1" s="1"/>
  <c r="X257" i="1"/>
  <c r="AC257" i="1"/>
  <c r="AB257" i="1" s="1"/>
  <c r="AD257" i="1"/>
  <c r="AE257" i="1"/>
  <c r="AF257" i="1"/>
  <c r="AG257" i="1"/>
  <c r="AH257" i="1"/>
  <c r="CV257" i="1" s="1"/>
  <c r="U257" i="1" s="1"/>
  <c r="AI257" i="1"/>
  <c r="AJ257" i="1"/>
  <c r="CQ257" i="1"/>
  <c r="CR257" i="1"/>
  <c r="CS257" i="1"/>
  <c r="CT257" i="1"/>
  <c r="CU257" i="1"/>
  <c r="T257" i="1" s="1"/>
  <c r="CW257" i="1"/>
  <c r="V257" i="1" s="1"/>
  <c r="CX257" i="1"/>
  <c r="W257" i="1" s="1"/>
  <c r="CY257" i="1"/>
  <c r="GL257" i="1"/>
  <c r="GN257" i="1"/>
  <c r="GP257" i="1"/>
  <c r="GV257" i="1"/>
  <c r="HC257" i="1" s="1"/>
  <c r="GX257" i="1" s="1"/>
  <c r="C258" i="1"/>
  <c r="D258" i="1"/>
  <c r="I258" i="1"/>
  <c r="P258" i="1" s="1"/>
  <c r="K258" i="1"/>
  <c r="AC258" i="1"/>
  <c r="AE258" i="1"/>
  <c r="CS258" i="1" s="1"/>
  <c r="AF258" i="1"/>
  <c r="AG258" i="1"/>
  <c r="AH258" i="1"/>
  <c r="AI258" i="1"/>
  <c r="CW258" i="1" s="1"/>
  <c r="V258" i="1" s="1"/>
  <c r="AJ258" i="1"/>
  <c r="CQ258" i="1"/>
  <c r="CT258" i="1"/>
  <c r="CU258" i="1"/>
  <c r="T258" i="1" s="1"/>
  <c r="CV258" i="1"/>
  <c r="U258" i="1" s="1"/>
  <c r="CX258" i="1"/>
  <c r="W258" i="1" s="1"/>
  <c r="GL258" i="1"/>
  <c r="GN258" i="1"/>
  <c r="GP258" i="1"/>
  <c r="GV258" i="1"/>
  <c r="HC258" i="1"/>
  <c r="GX258" i="1" s="1"/>
  <c r="C259" i="1"/>
  <c r="D259" i="1"/>
  <c r="I259" i="1"/>
  <c r="K259" i="1"/>
  <c r="R259" i="1"/>
  <c r="AC259" i="1"/>
  <c r="AE259" i="1"/>
  <c r="AD259" i="1" s="1"/>
  <c r="AB259" i="1" s="1"/>
  <c r="AF259" i="1"/>
  <c r="S259" i="1" s="1"/>
  <c r="AG259" i="1"/>
  <c r="AH259" i="1"/>
  <c r="AI259" i="1"/>
  <c r="AJ259" i="1"/>
  <c r="CX259" i="1" s="1"/>
  <c r="W259" i="1" s="1"/>
  <c r="CQ259" i="1"/>
  <c r="CR259" i="1"/>
  <c r="CS259" i="1"/>
  <c r="CU259" i="1"/>
  <c r="T259" i="1" s="1"/>
  <c r="CV259" i="1"/>
  <c r="U259" i="1" s="1"/>
  <c r="CW259" i="1"/>
  <c r="V259" i="1" s="1"/>
  <c r="GL259" i="1"/>
  <c r="GN259" i="1"/>
  <c r="GP259" i="1"/>
  <c r="FV289" i="1" s="1"/>
  <c r="GV259" i="1"/>
  <c r="HC259" i="1"/>
  <c r="GX259" i="1" s="1"/>
  <c r="R260" i="1"/>
  <c r="S260" i="1"/>
  <c r="X260" i="1" s="1"/>
  <c r="AC260" i="1"/>
  <c r="P260" i="1" s="1"/>
  <c r="AE260" i="1"/>
  <c r="AD260" i="1" s="1"/>
  <c r="AF260" i="1"/>
  <c r="AG260" i="1"/>
  <c r="CU260" i="1" s="1"/>
  <c r="T260" i="1" s="1"/>
  <c r="AH260" i="1"/>
  <c r="AI260" i="1"/>
  <c r="AJ260" i="1"/>
  <c r="CR260" i="1"/>
  <c r="CS260" i="1"/>
  <c r="CT260" i="1"/>
  <c r="CV260" i="1"/>
  <c r="U260" i="1" s="1"/>
  <c r="CW260" i="1"/>
  <c r="V260" i="1" s="1"/>
  <c r="CX260" i="1"/>
  <c r="W260" i="1" s="1"/>
  <c r="GL260" i="1"/>
  <c r="GN260" i="1"/>
  <c r="GP260" i="1"/>
  <c r="GV260" i="1"/>
  <c r="HC260" i="1" s="1"/>
  <c r="GX260" i="1" s="1"/>
  <c r="P261" i="1"/>
  <c r="CP261" i="1" s="1"/>
  <c r="O261" i="1" s="1"/>
  <c r="GM261" i="1" s="1"/>
  <c r="GO261" i="1" s="1"/>
  <c r="R261" i="1"/>
  <c r="S261" i="1"/>
  <c r="Y261" i="1" s="1"/>
  <c r="X261" i="1"/>
  <c r="AC261" i="1"/>
  <c r="AB261" i="1" s="1"/>
  <c r="AD261" i="1"/>
  <c r="AE261" i="1"/>
  <c r="Q261" i="1" s="1"/>
  <c r="AF261" i="1"/>
  <c r="AG261" i="1"/>
  <c r="AH261" i="1"/>
  <c r="CV261" i="1" s="1"/>
  <c r="U261" i="1" s="1"/>
  <c r="AI261" i="1"/>
  <c r="AJ261" i="1"/>
  <c r="CQ261" i="1"/>
  <c r="CR261" i="1"/>
  <c r="CS261" i="1"/>
  <c r="CT261" i="1"/>
  <c r="CU261" i="1"/>
  <c r="T261" i="1" s="1"/>
  <c r="CW261" i="1"/>
  <c r="V261" i="1" s="1"/>
  <c r="CX261" i="1"/>
  <c r="W261" i="1" s="1"/>
  <c r="CY261" i="1"/>
  <c r="GL261" i="1"/>
  <c r="GN261" i="1"/>
  <c r="GP261" i="1"/>
  <c r="GV261" i="1"/>
  <c r="HC261" i="1" s="1"/>
  <c r="GX261" i="1" s="1"/>
  <c r="C262" i="1"/>
  <c r="D262" i="1"/>
  <c r="I262" i="1"/>
  <c r="K262" i="1"/>
  <c r="AC262" i="1"/>
  <c r="AE262" i="1"/>
  <c r="CS262" i="1" s="1"/>
  <c r="AF262" i="1"/>
  <c r="AG262" i="1"/>
  <c r="AH262" i="1"/>
  <c r="AI262" i="1"/>
  <c r="CW262" i="1" s="1"/>
  <c r="V262" i="1" s="1"/>
  <c r="AJ262" i="1"/>
  <c r="CQ262" i="1"/>
  <c r="CT262" i="1"/>
  <c r="CU262" i="1"/>
  <c r="T262" i="1" s="1"/>
  <c r="CV262" i="1"/>
  <c r="U262" i="1" s="1"/>
  <c r="CX262" i="1"/>
  <c r="W262" i="1" s="1"/>
  <c r="GL262" i="1"/>
  <c r="GN262" i="1"/>
  <c r="GP262" i="1"/>
  <c r="GV262" i="1"/>
  <c r="HC262" i="1"/>
  <c r="GX262" i="1" s="1"/>
  <c r="C263" i="1"/>
  <c r="D263" i="1"/>
  <c r="I263" i="1"/>
  <c r="K263" i="1"/>
  <c r="R263" i="1"/>
  <c r="AC263" i="1"/>
  <c r="AE263" i="1"/>
  <c r="AD263" i="1" s="1"/>
  <c r="AB263" i="1" s="1"/>
  <c r="AF263" i="1"/>
  <c r="S263" i="1" s="1"/>
  <c r="AG263" i="1"/>
  <c r="AH263" i="1"/>
  <c r="AI263" i="1"/>
  <c r="AJ263" i="1"/>
  <c r="CX263" i="1" s="1"/>
  <c r="W263" i="1" s="1"/>
  <c r="CQ263" i="1"/>
  <c r="CR263" i="1"/>
  <c r="CS263" i="1"/>
  <c r="CU263" i="1"/>
  <c r="T263" i="1" s="1"/>
  <c r="CV263" i="1"/>
  <c r="U263" i="1" s="1"/>
  <c r="CW263" i="1"/>
  <c r="V263" i="1" s="1"/>
  <c r="GL263" i="1"/>
  <c r="GN263" i="1"/>
  <c r="GP263" i="1"/>
  <c r="GV263" i="1"/>
  <c r="HC263" i="1"/>
  <c r="GX263" i="1" s="1"/>
  <c r="I264" i="1"/>
  <c r="P264" i="1" s="1"/>
  <c r="AC264" i="1"/>
  <c r="AE264" i="1"/>
  <c r="AD264" i="1" s="1"/>
  <c r="AB264" i="1" s="1"/>
  <c r="AF264" i="1"/>
  <c r="S264" i="1" s="1"/>
  <c r="AG264" i="1"/>
  <c r="AH264" i="1"/>
  <c r="AI264" i="1"/>
  <c r="AJ264" i="1"/>
  <c r="CX264" i="1" s="1"/>
  <c r="W264" i="1" s="1"/>
  <c r="CQ264" i="1"/>
  <c r="CR264" i="1"/>
  <c r="CS264" i="1"/>
  <c r="CU264" i="1"/>
  <c r="T264" i="1" s="1"/>
  <c r="CV264" i="1"/>
  <c r="U264" i="1" s="1"/>
  <c r="CW264" i="1"/>
  <c r="V264" i="1" s="1"/>
  <c r="GL264" i="1"/>
  <c r="BZ289" i="1" s="1"/>
  <c r="GN264" i="1"/>
  <c r="GP264" i="1"/>
  <c r="GV264" i="1"/>
  <c r="HC264" i="1"/>
  <c r="GX264" i="1" s="1"/>
  <c r="I265" i="1"/>
  <c r="P265" i="1" s="1"/>
  <c r="R265" i="1"/>
  <c r="AC265" i="1"/>
  <c r="AE265" i="1"/>
  <c r="AD265" i="1" s="1"/>
  <c r="AB265" i="1" s="1"/>
  <c r="AF265" i="1"/>
  <c r="S265" i="1" s="1"/>
  <c r="AG265" i="1"/>
  <c r="AH265" i="1"/>
  <c r="AI265" i="1"/>
  <c r="AJ265" i="1"/>
  <c r="CX265" i="1" s="1"/>
  <c r="W265" i="1" s="1"/>
  <c r="CQ265" i="1"/>
  <c r="CR265" i="1"/>
  <c r="CS265" i="1"/>
  <c r="CU265" i="1"/>
  <c r="T265" i="1" s="1"/>
  <c r="CV265" i="1"/>
  <c r="U265" i="1" s="1"/>
  <c r="CW265" i="1"/>
  <c r="V265" i="1" s="1"/>
  <c r="GL265" i="1"/>
  <c r="GN265" i="1"/>
  <c r="GP265" i="1"/>
  <c r="GV265" i="1"/>
  <c r="HC265" i="1"/>
  <c r="GX265" i="1" s="1"/>
  <c r="C266" i="1"/>
  <c r="D266" i="1"/>
  <c r="I266" i="1"/>
  <c r="K266" i="1"/>
  <c r="R266" i="1"/>
  <c r="S266" i="1"/>
  <c r="X266" i="1" s="1"/>
  <c r="AC266" i="1"/>
  <c r="P266" i="1" s="1"/>
  <c r="AE266" i="1"/>
  <c r="AD266" i="1" s="1"/>
  <c r="AF266" i="1"/>
  <c r="AG266" i="1"/>
  <c r="CU266" i="1" s="1"/>
  <c r="T266" i="1" s="1"/>
  <c r="AH266" i="1"/>
  <c r="AI266" i="1"/>
  <c r="AJ266" i="1"/>
  <c r="CR266" i="1"/>
  <c r="CS266" i="1"/>
  <c r="CT266" i="1"/>
  <c r="CV266" i="1"/>
  <c r="U266" i="1" s="1"/>
  <c r="CW266" i="1"/>
  <c r="V266" i="1" s="1"/>
  <c r="CX266" i="1"/>
  <c r="W266" i="1" s="1"/>
  <c r="GL266" i="1"/>
  <c r="GN266" i="1"/>
  <c r="GP266" i="1"/>
  <c r="GV266" i="1"/>
  <c r="HC266" i="1" s="1"/>
  <c r="GX266" i="1" s="1"/>
  <c r="C267" i="1"/>
  <c r="D267" i="1"/>
  <c r="I267" i="1"/>
  <c r="K267" i="1"/>
  <c r="P267" i="1"/>
  <c r="R267" i="1"/>
  <c r="S267" i="1"/>
  <c r="Y267" i="1" s="1"/>
  <c r="X267" i="1"/>
  <c r="AC267" i="1"/>
  <c r="AB267" i="1" s="1"/>
  <c r="AD267" i="1"/>
  <c r="AE267" i="1"/>
  <c r="Q267" i="1" s="1"/>
  <c r="AF267" i="1"/>
  <c r="AG267" i="1"/>
  <c r="AH267" i="1"/>
  <c r="CV267" i="1" s="1"/>
  <c r="U267" i="1" s="1"/>
  <c r="AI267" i="1"/>
  <c r="AJ267" i="1"/>
  <c r="CQ267" i="1"/>
  <c r="CR267" i="1"/>
  <c r="CS267" i="1"/>
  <c r="CT267" i="1"/>
  <c r="CU267" i="1"/>
  <c r="T267" i="1" s="1"/>
  <c r="CW267" i="1"/>
  <c r="V267" i="1" s="1"/>
  <c r="CX267" i="1"/>
  <c r="W267" i="1" s="1"/>
  <c r="CY267" i="1"/>
  <c r="GL267" i="1"/>
  <c r="GN267" i="1"/>
  <c r="GP267" i="1"/>
  <c r="GV267" i="1"/>
  <c r="HC267" i="1" s="1"/>
  <c r="GX267" i="1" s="1"/>
  <c r="I268" i="1"/>
  <c r="K268" i="1"/>
  <c r="R268" i="1"/>
  <c r="S268" i="1"/>
  <c r="X268" i="1" s="1"/>
  <c r="AC268" i="1"/>
  <c r="P268" i="1" s="1"/>
  <c r="AE268" i="1"/>
  <c r="AD268" i="1" s="1"/>
  <c r="AF268" i="1"/>
  <c r="AG268" i="1"/>
  <c r="CU268" i="1" s="1"/>
  <c r="T268" i="1" s="1"/>
  <c r="AH268" i="1"/>
  <c r="AI268" i="1"/>
  <c r="AJ268" i="1"/>
  <c r="CR268" i="1"/>
  <c r="CS268" i="1"/>
  <c r="CT268" i="1"/>
  <c r="CV268" i="1"/>
  <c r="U268" i="1" s="1"/>
  <c r="CW268" i="1"/>
  <c r="V268" i="1" s="1"/>
  <c r="CX268" i="1"/>
  <c r="W268" i="1" s="1"/>
  <c r="GL268" i="1"/>
  <c r="GN268" i="1"/>
  <c r="GP268" i="1"/>
  <c r="GV268" i="1"/>
  <c r="HC268" i="1" s="1"/>
  <c r="GX268" i="1" s="1"/>
  <c r="I269" i="1"/>
  <c r="P269" i="1" s="1"/>
  <c r="K269" i="1"/>
  <c r="R269" i="1"/>
  <c r="AC269" i="1"/>
  <c r="AE269" i="1"/>
  <c r="AD269" i="1" s="1"/>
  <c r="AB269" i="1" s="1"/>
  <c r="AF269" i="1"/>
  <c r="S269" i="1" s="1"/>
  <c r="AG269" i="1"/>
  <c r="AH269" i="1"/>
  <c r="AI269" i="1"/>
  <c r="AJ269" i="1"/>
  <c r="CX269" i="1" s="1"/>
  <c r="W269" i="1" s="1"/>
  <c r="CQ269" i="1"/>
  <c r="CR269" i="1"/>
  <c r="CS269" i="1"/>
  <c r="CU269" i="1"/>
  <c r="T269" i="1" s="1"/>
  <c r="CV269" i="1"/>
  <c r="U269" i="1" s="1"/>
  <c r="CW269" i="1"/>
  <c r="V269" i="1" s="1"/>
  <c r="GL269" i="1"/>
  <c r="GN269" i="1"/>
  <c r="GP269" i="1"/>
  <c r="GV269" i="1"/>
  <c r="HC269" i="1"/>
  <c r="GX269" i="1" s="1"/>
  <c r="I270" i="1"/>
  <c r="R270" i="1" s="1"/>
  <c r="K270" i="1"/>
  <c r="AC270" i="1"/>
  <c r="AE270" i="1"/>
  <c r="CS270" i="1" s="1"/>
  <c r="AF270" i="1"/>
  <c r="AG270" i="1"/>
  <c r="AH270" i="1"/>
  <c r="AI270" i="1"/>
  <c r="CW270" i="1" s="1"/>
  <c r="V270" i="1" s="1"/>
  <c r="AJ270" i="1"/>
  <c r="CQ270" i="1"/>
  <c r="CR270" i="1"/>
  <c r="CT270" i="1"/>
  <c r="CU270" i="1"/>
  <c r="T270" i="1" s="1"/>
  <c r="CV270" i="1"/>
  <c r="U270" i="1" s="1"/>
  <c r="CX270" i="1"/>
  <c r="W270" i="1" s="1"/>
  <c r="GL270" i="1"/>
  <c r="GN270" i="1"/>
  <c r="GP270" i="1"/>
  <c r="GV270" i="1"/>
  <c r="HC270" i="1"/>
  <c r="GX270" i="1" s="1"/>
  <c r="I271" i="1"/>
  <c r="K271" i="1"/>
  <c r="P271" i="1"/>
  <c r="R271" i="1"/>
  <c r="S271" i="1"/>
  <c r="Y271" i="1" s="1"/>
  <c r="X271" i="1"/>
  <c r="AC271" i="1"/>
  <c r="AB271" i="1" s="1"/>
  <c r="AD271" i="1"/>
  <c r="AE271" i="1"/>
  <c r="Q271" i="1" s="1"/>
  <c r="AF271" i="1"/>
  <c r="AG271" i="1"/>
  <c r="AH271" i="1"/>
  <c r="CV271" i="1" s="1"/>
  <c r="U271" i="1" s="1"/>
  <c r="AI271" i="1"/>
  <c r="AJ271" i="1"/>
  <c r="CQ271" i="1"/>
  <c r="CR271" i="1"/>
  <c r="CS271" i="1"/>
  <c r="CT271" i="1"/>
  <c r="CU271" i="1"/>
  <c r="T271" i="1" s="1"/>
  <c r="CW271" i="1"/>
  <c r="V271" i="1" s="1"/>
  <c r="CX271" i="1"/>
  <c r="W271" i="1" s="1"/>
  <c r="CY271" i="1"/>
  <c r="GL271" i="1"/>
  <c r="GN271" i="1"/>
  <c r="GP271" i="1"/>
  <c r="GV271" i="1"/>
  <c r="HC271" i="1" s="1"/>
  <c r="GX271" i="1" s="1"/>
  <c r="I272" i="1"/>
  <c r="K272" i="1"/>
  <c r="R272" i="1"/>
  <c r="S272" i="1"/>
  <c r="X272" i="1" s="1"/>
  <c r="AC272" i="1"/>
  <c r="P272" i="1" s="1"/>
  <c r="AE272" i="1"/>
  <c r="AD272" i="1" s="1"/>
  <c r="AF272" i="1"/>
  <c r="AG272" i="1"/>
  <c r="CU272" i="1" s="1"/>
  <c r="T272" i="1" s="1"/>
  <c r="AH272" i="1"/>
  <c r="AI272" i="1"/>
  <c r="AJ272" i="1"/>
  <c r="CR272" i="1"/>
  <c r="CS272" i="1"/>
  <c r="CT272" i="1"/>
  <c r="CV272" i="1"/>
  <c r="U272" i="1" s="1"/>
  <c r="CW272" i="1"/>
  <c r="V272" i="1" s="1"/>
  <c r="CX272" i="1"/>
  <c r="W272" i="1" s="1"/>
  <c r="GL272" i="1"/>
  <c r="GN272" i="1"/>
  <c r="GP272" i="1"/>
  <c r="GV272" i="1"/>
  <c r="HC272" i="1" s="1"/>
  <c r="GX272" i="1" s="1"/>
  <c r="I273" i="1"/>
  <c r="P273" i="1" s="1"/>
  <c r="K273" i="1"/>
  <c r="R273" i="1"/>
  <c r="AC273" i="1"/>
  <c r="AE273" i="1"/>
  <c r="AD273" i="1" s="1"/>
  <c r="AB273" i="1" s="1"/>
  <c r="AF273" i="1"/>
  <c r="S273" i="1" s="1"/>
  <c r="AG273" i="1"/>
  <c r="AH273" i="1"/>
  <c r="AI273" i="1"/>
  <c r="AJ273" i="1"/>
  <c r="CX273" i="1" s="1"/>
  <c r="W273" i="1" s="1"/>
  <c r="CQ273" i="1"/>
  <c r="CR273" i="1"/>
  <c r="CS273" i="1"/>
  <c r="CU273" i="1"/>
  <c r="T273" i="1" s="1"/>
  <c r="CV273" i="1"/>
  <c r="U273" i="1" s="1"/>
  <c r="CW273" i="1"/>
  <c r="V273" i="1" s="1"/>
  <c r="GL273" i="1"/>
  <c r="GN273" i="1"/>
  <c r="GP273" i="1"/>
  <c r="GV273" i="1"/>
  <c r="HC273" i="1"/>
  <c r="GX273" i="1" s="1"/>
  <c r="C274" i="1"/>
  <c r="D274" i="1"/>
  <c r="I274" i="1"/>
  <c r="K274" i="1"/>
  <c r="R274" i="1"/>
  <c r="S274" i="1"/>
  <c r="X274" i="1" s="1"/>
  <c r="AC274" i="1"/>
  <c r="P274" i="1" s="1"/>
  <c r="AE274" i="1"/>
  <c r="AD274" i="1" s="1"/>
  <c r="AF274" i="1"/>
  <c r="AG274" i="1"/>
  <c r="CU274" i="1" s="1"/>
  <c r="T274" i="1" s="1"/>
  <c r="AH274" i="1"/>
  <c r="AI274" i="1"/>
  <c r="AJ274" i="1"/>
  <c r="CR274" i="1"/>
  <c r="CS274" i="1"/>
  <c r="CT274" i="1"/>
  <c r="CV274" i="1"/>
  <c r="U274" i="1" s="1"/>
  <c r="CW274" i="1"/>
  <c r="V274" i="1" s="1"/>
  <c r="CX274" i="1"/>
  <c r="W274" i="1" s="1"/>
  <c r="GL274" i="1"/>
  <c r="GN274" i="1"/>
  <c r="GP274" i="1"/>
  <c r="GV274" i="1"/>
  <c r="HC274" i="1" s="1"/>
  <c r="GX274" i="1" s="1"/>
  <c r="C275" i="1"/>
  <c r="D275" i="1"/>
  <c r="I275" i="1"/>
  <c r="K275" i="1"/>
  <c r="P275" i="1"/>
  <c r="R275" i="1"/>
  <c r="S275" i="1"/>
  <c r="Y275" i="1" s="1"/>
  <c r="X275" i="1"/>
  <c r="AC275" i="1"/>
  <c r="AB275" i="1" s="1"/>
  <c r="AD275" i="1"/>
  <c r="AE275" i="1"/>
  <c r="Q275" i="1" s="1"/>
  <c r="AF275" i="1"/>
  <c r="AG275" i="1"/>
  <c r="AH275" i="1"/>
  <c r="CV275" i="1" s="1"/>
  <c r="U275" i="1" s="1"/>
  <c r="AI275" i="1"/>
  <c r="AJ275" i="1"/>
  <c r="CQ275" i="1"/>
  <c r="CR275" i="1"/>
  <c r="CS275" i="1"/>
  <c r="CT275" i="1"/>
  <c r="CU275" i="1"/>
  <c r="T275" i="1" s="1"/>
  <c r="CW275" i="1"/>
  <c r="V275" i="1" s="1"/>
  <c r="CX275" i="1"/>
  <c r="W275" i="1" s="1"/>
  <c r="CY275" i="1"/>
  <c r="GL275" i="1"/>
  <c r="GN275" i="1"/>
  <c r="GP275" i="1"/>
  <c r="GV275" i="1"/>
  <c r="HC275" i="1" s="1"/>
  <c r="GX275" i="1" s="1"/>
  <c r="I276" i="1"/>
  <c r="K276" i="1"/>
  <c r="R276" i="1"/>
  <c r="S276" i="1"/>
  <c r="X276" i="1" s="1"/>
  <c r="AC276" i="1"/>
  <c r="P276" i="1" s="1"/>
  <c r="AE276" i="1"/>
  <c r="AD276" i="1" s="1"/>
  <c r="AF276" i="1"/>
  <c r="AG276" i="1"/>
  <c r="CU276" i="1" s="1"/>
  <c r="T276" i="1" s="1"/>
  <c r="AH276" i="1"/>
  <c r="AI276" i="1"/>
  <c r="AJ276" i="1"/>
  <c r="CR276" i="1"/>
  <c r="CS276" i="1"/>
  <c r="CT276" i="1"/>
  <c r="CV276" i="1"/>
  <c r="U276" i="1" s="1"/>
  <c r="CW276" i="1"/>
  <c r="V276" i="1" s="1"/>
  <c r="CX276" i="1"/>
  <c r="W276" i="1" s="1"/>
  <c r="GL276" i="1"/>
  <c r="GN276" i="1"/>
  <c r="GP276" i="1"/>
  <c r="GV276" i="1"/>
  <c r="HC276" i="1" s="1"/>
  <c r="GX276" i="1" s="1"/>
  <c r="I277" i="1"/>
  <c r="P277" i="1" s="1"/>
  <c r="K277" i="1"/>
  <c r="R277" i="1"/>
  <c r="AC277" i="1"/>
  <c r="AE277" i="1"/>
  <c r="AD277" i="1" s="1"/>
  <c r="AB277" i="1" s="1"/>
  <c r="AF277" i="1"/>
  <c r="S277" i="1" s="1"/>
  <c r="AG277" i="1"/>
  <c r="AH277" i="1"/>
  <c r="AI277" i="1"/>
  <c r="AJ277" i="1"/>
  <c r="CX277" i="1" s="1"/>
  <c r="W277" i="1" s="1"/>
  <c r="CQ277" i="1"/>
  <c r="CR277" i="1"/>
  <c r="CS277" i="1"/>
  <c r="CU277" i="1"/>
  <c r="T277" i="1" s="1"/>
  <c r="CV277" i="1"/>
  <c r="U277" i="1" s="1"/>
  <c r="CW277" i="1"/>
  <c r="V277" i="1" s="1"/>
  <c r="GL277" i="1"/>
  <c r="GN277" i="1"/>
  <c r="GP277" i="1"/>
  <c r="GV277" i="1"/>
  <c r="HC277" i="1"/>
  <c r="GX277" i="1" s="1"/>
  <c r="C278" i="1"/>
  <c r="D278" i="1"/>
  <c r="I278" i="1"/>
  <c r="K278" i="1"/>
  <c r="R278" i="1"/>
  <c r="S278" i="1"/>
  <c r="X278" i="1" s="1"/>
  <c r="AC278" i="1"/>
  <c r="P278" i="1" s="1"/>
  <c r="AE278" i="1"/>
  <c r="AD278" i="1" s="1"/>
  <c r="AF278" i="1"/>
  <c r="AG278" i="1"/>
  <c r="CU278" i="1" s="1"/>
  <c r="T278" i="1" s="1"/>
  <c r="AH278" i="1"/>
  <c r="AI278" i="1"/>
  <c r="AJ278" i="1"/>
  <c r="CR278" i="1"/>
  <c r="CS278" i="1"/>
  <c r="CT278" i="1"/>
  <c r="CV278" i="1"/>
  <c r="U278" i="1" s="1"/>
  <c r="CW278" i="1"/>
  <c r="V278" i="1" s="1"/>
  <c r="CX278" i="1"/>
  <c r="W278" i="1" s="1"/>
  <c r="GL278" i="1"/>
  <c r="GN278" i="1"/>
  <c r="GP278" i="1"/>
  <c r="GV278" i="1"/>
  <c r="HC278" i="1" s="1"/>
  <c r="GX278" i="1" s="1"/>
  <c r="C279" i="1"/>
  <c r="D279" i="1"/>
  <c r="I279" i="1"/>
  <c r="K279" i="1"/>
  <c r="P279" i="1"/>
  <c r="CP279" i="1" s="1"/>
  <c r="O279" i="1" s="1"/>
  <c r="GM279" i="1" s="1"/>
  <c r="GO279" i="1" s="1"/>
  <c r="R279" i="1"/>
  <c r="S279" i="1"/>
  <c r="Y279" i="1" s="1"/>
  <c r="X279" i="1"/>
  <c r="AC279" i="1"/>
  <c r="AB279" i="1" s="1"/>
  <c r="AD279" i="1"/>
  <c r="AE279" i="1"/>
  <c r="Q279" i="1" s="1"/>
  <c r="AF279" i="1"/>
  <c r="AG279" i="1"/>
  <c r="AH279" i="1"/>
  <c r="CV279" i="1" s="1"/>
  <c r="U279" i="1" s="1"/>
  <c r="AI279" i="1"/>
  <c r="AJ279" i="1"/>
  <c r="CQ279" i="1"/>
  <c r="CR279" i="1"/>
  <c r="CS279" i="1"/>
  <c r="CT279" i="1"/>
  <c r="CU279" i="1"/>
  <c r="T279" i="1" s="1"/>
  <c r="CW279" i="1"/>
  <c r="V279" i="1" s="1"/>
  <c r="CX279" i="1"/>
  <c r="W279" i="1" s="1"/>
  <c r="CY279" i="1"/>
  <c r="GL279" i="1"/>
  <c r="GN279" i="1"/>
  <c r="GP279" i="1"/>
  <c r="GV279" i="1"/>
  <c r="HC279" i="1" s="1"/>
  <c r="GX279" i="1" s="1"/>
  <c r="I280" i="1"/>
  <c r="Q280" i="1" s="1"/>
  <c r="P280" i="1"/>
  <c r="CP280" i="1" s="1"/>
  <c r="O280" i="1" s="1"/>
  <c r="GM280" i="1" s="1"/>
  <c r="GO280" i="1" s="1"/>
  <c r="R280" i="1"/>
  <c r="S280" i="1"/>
  <c r="Y280" i="1" s="1"/>
  <c r="X280" i="1"/>
  <c r="AC280" i="1"/>
  <c r="AB280" i="1" s="1"/>
  <c r="AD280" i="1"/>
  <c r="AE280" i="1"/>
  <c r="AF280" i="1"/>
  <c r="AG280" i="1"/>
  <c r="AH280" i="1"/>
  <c r="CV280" i="1" s="1"/>
  <c r="U280" i="1" s="1"/>
  <c r="AI280" i="1"/>
  <c r="AJ280" i="1"/>
  <c r="CQ280" i="1"/>
  <c r="CR280" i="1"/>
  <c r="CS280" i="1"/>
  <c r="CT280" i="1"/>
  <c r="CU280" i="1"/>
  <c r="T280" i="1" s="1"/>
  <c r="CW280" i="1"/>
  <c r="V280" i="1" s="1"/>
  <c r="CX280" i="1"/>
  <c r="W280" i="1" s="1"/>
  <c r="CY280" i="1"/>
  <c r="GL280" i="1"/>
  <c r="GN280" i="1"/>
  <c r="GP280" i="1"/>
  <c r="GV280" i="1"/>
  <c r="HC280" i="1" s="1"/>
  <c r="GX280" i="1" s="1"/>
  <c r="I281" i="1"/>
  <c r="Q281" i="1" s="1"/>
  <c r="P281" i="1"/>
  <c r="R281" i="1"/>
  <c r="S281" i="1"/>
  <c r="Y281" i="1" s="1"/>
  <c r="X281" i="1"/>
  <c r="AC281" i="1"/>
  <c r="AB281" i="1" s="1"/>
  <c r="AD281" i="1"/>
  <c r="AE281" i="1"/>
  <c r="AF281" i="1"/>
  <c r="AG281" i="1"/>
  <c r="AH281" i="1"/>
  <c r="CV281" i="1" s="1"/>
  <c r="U281" i="1" s="1"/>
  <c r="AI281" i="1"/>
  <c r="AJ281" i="1"/>
  <c r="CQ281" i="1"/>
  <c r="CR281" i="1"/>
  <c r="CS281" i="1"/>
  <c r="CT281" i="1"/>
  <c r="CU281" i="1"/>
  <c r="T281" i="1" s="1"/>
  <c r="CW281" i="1"/>
  <c r="V281" i="1" s="1"/>
  <c r="CX281" i="1"/>
  <c r="W281" i="1" s="1"/>
  <c r="CY281" i="1"/>
  <c r="GL281" i="1"/>
  <c r="GN281" i="1"/>
  <c r="GP281" i="1"/>
  <c r="GV281" i="1"/>
  <c r="HC281" i="1" s="1"/>
  <c r="GX281" i="1" s="1"/>
  <c r="C282" i="1"/>
  <c r="D282" i="1"/>
  <c r="I282" i="1"/>
  <c r="P282" i="1" s="1"/>
  <c r="K282" i="1"/>
  <c r="AC282" i="1"/>
  <c r="AE282" i="1"/>
  <c r="CS282" i="1" s="1"/>
  <c r="AF282" i="1"/>
  <c r="AG282" i="1"/>
  <c r="AH282" i="1"/>
  <c r="AI282" i="1"/>
  <c r="CW282" i="1" s="1"/>
  <c r="V282" i="1" s="1"/>
  <c r="AJ282" i="1"/>
  <c r="CQ282" i="1"/>
  <c r="CT282" i="1"/>
  <c r="CU282" i="1"/>
  <c r="T282" i="1" s="1"/>
  <c r="CV282" i="1"/>
  <c r="U282" i="1" s="1"/>
  <c r="CX282" i="1"/>
  <c r="W282" i="1" s="1"/>
  <c r="GL282" i="1"/>
  <c r="GN282" i="1"/>
  <c r="GP282" i="1"/>
  <c r="GV282" i="1"/>
  <c r="HC282" i="1"/>
  <c r="GX282" i="1" s="1"/>
  <c r="C283" i="1"/>
  <c r="D283" i="1"/>
  <c r="I283" i="1"/>
  <c r="K283" i="1"/>
  <c r="R283" i="1"/>
  <c r="AC283" i="1"/>
  <c r="AE283" i="1"/>
  <c r="AD283" i="1" s="1"/>
  <c r="AB283" i="1" s="1"/>
  <c r="AF283" i="1"/>
  <c r="S283" i="1" s="1"/>
  <c r="AG283" i="1"/>
  <c r="AH283" i="1"/>
  <c r="AI283" i="1"/>
  <c r="AJ283" i="1"/>
  <c r="CX283" i="1" s="1"/>
  <c r="W283" i="1" s="1"/>
  <c r="CQ283" i="1"/>
  <c r="CR283" i="1"/>
  <c r="CS283" i="1"/>
  <c r="CU283" i="1"/>
  <c r="T283" i="1" s="1"/>
  <c r="CV283" i="1"/>
  <c r="U283" i="1" s="1"/>
  <c r="CW283" i="1"/>
  <c r="V283" i="1" s="1"/>
  <c r="GL283" i="1"/>
  <c r="GN283" i="1"/>
  <c r="GP283" i="1"/>
  <c r="GV283" i="1"/>
  <c r="HC283" i="1"/>
  <c r="GX283" i="1" s="1"/>
  <c r="I284" i="1"/>
  <c r="R284" i="1" s="1"/>
  <c r="AC284" i="1"/>
  <c r="AE284" i="1"/>
  <c r="CS284" i="1" s="1"/>
  <c r="AF284" i="1"/>
  <c r="AG284" i="1"/>
  <c r="AH284" i="1"/>
  <c r="AI284" i="1"/>
  <c r="CW284" i="1" s="1"/>
  <c r="V284" i="1" s="1"/>
  <c r="AJ284" i="1"/>
  <c r="CQ284" i="1"/>
  <c r="CR284" i="1"/>
  <c r="CT284" i="1"/>
  <c r="CU284" i="1"/>
  <c r="T284" i="1" s="1"/>
  <c r="CV284" i="1"/>
  <c r="U284" i="1" s="1"/>
  <c r="CX284" i="1"/>
  <c r="W284" i="1" s="1"/>
  <c r="GL284" i="1"/>
  <c r="GN284" i="1"/>
  <c r="GP284" i="1"/>
  <c r="GV284" i="1"/>
  <c r="HC284" i="1"/>
  <c r="GX284" i="1" s="1"/>
  <c r="AC285" i="1"/>
  <c r="AB285" i="1" s="1"/>
  <c r="AD285" i="1"/>
  <c r="AE285" i="1"/>
  <c r="AF285" i="1"/>
  <c r="AG285" i="1"/>
  <c r="AH285" i="1"/>
  <c r="CV285" i="1" s="1"/>
  <c r="AI285" i="1"/>
  <c r="AJ285" i="1"/>
  <c r="CQ285" i="1"/>
  <c r="CR285" i="1"/>
  <c r="CS285" i="1"/>
  <c r="CT285" i="1"/>
  <c r="CU285" i="1"/>
  <c r="CW285" i="1"/>
  <c r="CX285" i="1"/>
  <c r="GL285" i="1"/>
  <c r="GN285" i="1"/>
  <c r="GP285" i="1"/>
  <c r="GV285" i="1"/>
  <c r="HC285" i="1" s="1"/>
  <c r="P286" i="1"/>
  <c r="S286" i="1"/>
  <c r="Y286" i="1"/>
  <c r="AC286" i="1"/>
  <c r="AE286" i="1"/>
  <c r="R286" i="1" s="1"/>
  <c r="AF286" i="1"/>
  <c r="AG286" i="1"/>
  <c r="AH286" i="1"/>
  <c r="AI286" i="1"/>
  <c r="CW286" i="1" s="1"/>
  <c r="V286" i="1" s="1"/>
  <c r="AJ286" i="1"/>
  <c r="CQ286" i="1"/>
  <c r="CR286" i="1"/>
  <c r="CT286" i="1"/>
  <c r="CU286" i="1"/>
  <c r="T286" i="1" s="1"/>
  <c r="CV286" i="1"/>
  <c r="U286" i="1" s="1"/>
  <c r="CX286" i="1"/>
  <c r="W286" i="1" s="1"/>
  <c r="CZ286" i="1"/>
  <c r="GL286" i="1"/>
  <c r="GN286" i="1"/>
  <c r="GP286" i="1"/>
  <c r="GV286" i="1"/>
  <c r="HC286" i="1"/>
  <c r="GX286" i="1" s="1"/>
  <c r="P287" i="1"/>
  <c r="R287" i="1"/>
  <c r="AC287" i="1"/>
  <c r="AE287" i="1"/>
  <c r="AD287" i="1" s="1"/>
  <c r="AB287" i="1" s="1"/>
  <c r="AF287" i="1"/>
  <c r="S287" i="1" s="1"/>
  <c r="AG287" i="1"/>
  <c r="AH287" i="1"/>
  <c r="AI287" i="1"/>
  <c r="AJ287" i="1"/>
  <c r="CX287" i="1" s="1"/>
  <c r="W287" i="1" s="1"/>
  <c r="CQ287" i="1"/>
  <c r="CR287" i="1"/>
  <c r="CS287" i="1"/>
  <c r="CU287" i="1"/>
  <c r="T287" i="1" s="1"/>
  <c r="CV287" i="1"/>
  <c r="U287" i="1" s="1"/>
  <c r="CW287" i="1"/>
  <c r="V287" i="1" s="1"/>
  <c r="GL287" i="1"/>
  <c r="GN287" i="1"/>
  <c r="GP287" i="1"/>
  <c r="GV287" i="1"/>
  <c r="HC287" i="1"/>
  <c r="GX287" i="1" s="1"/>
  <c r="B289" i="1"/>
  <c r="B214" i="1" s="1"/>
  <c r="C289" i="1"/>
  <c r="C214" i="1" s="1"/>
  <c r="D289" i="1"/>
  <c r="D214" i="1" s="1"/>
  <c r="F289" i="1"/>
  <c r="F214" i="1" s="1"/>
  <c r="G289" i="1"/>
  <c r="G214" i="1" s="1"/>
  <c r="BX289" i="1"/>
  <c r="BX214" i="1" s="1"/>
  <c r="BY289" i="1"/>
  <c r="BY214" i="1" s="1"/>
  <c r="CK289" i="1"/>
  <c r="CK214" i="1" s="1"/>
  <c r="CL289" i="1"/>
  <c r="CL214" i="1" s="1"/>
  <c r="CM289" i="1"/>
  <c r="CM214" i="1" s="1"/>
  <c r="FP289" i="1"/>
  <c r="FP214" i="1" s="1"/>
  <c r="FQ289" i="1"/>
  <c r="FQ214" i="1" s="1"/>
  <c r="GC289" i="1"/>
  <c r="GC214" i="1" s="1"/>
  <c r="GD289" i="1"/>
  <c r="GD214" i="1" s="1"/>
  <c r="GE289" i="1"/>
  <c r="GE214" i="1" s="1"/>
  <c r="D319" i="1"/>
  <c r="B321" i="1"/>
  <c r="E321" i="1"/>
  <c r="F321" i="1"/>
  <c r="Z321" i="1"/>
  <c r="AA321" i="1"/>
  <c r="AC321" i="1"/>
  <c r="AF321" i="1"/>
  <c r="AM321" i="1"/>
  <c r="AN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CC321" i="1"/>
  <c r="CK321" i="1"/>
  <c r="CN321" i="1"/>
  <c r="CO321" i="1"/>
  <c r="CP321" i="1"/>
  <c r="CQ321" i="1"/>
  <c r="CR321" i="1"/>
  <c r="CS321" i="1"/>
  <c r="CT321" i="1"/>
  <c r="CU321" i="1"/>
  <c r="CV321" i="1"/>
  <c r="CW321" i="1"/>
  <c r="CX321" i="1"/>
  <c r="CY321" i="1"/>
  <c r="CZ321" i="1"/>
  <c r="DA321" i="1"/>
  <c r="DB321" i="1"/>
  <c r="DC321" i="1"/>
  <c r="DD321" i="1"/>
  <c r="DE321" i="1"/>
  <c r="DF321" i="1"/>
  <c r="DR321" i="1"/>
  <c r="DS321" i="1"/>
  <c r="EE321" i="1"/>
  <c r="EF321" i="1"/>
  <c r="EW321" i="1"/>
  <c r="EX321" i="1"/>
  <c r="EY321" i="1"/>
  <c r="EZ321" i="1"/>
  <c r="FA321" i="1"/>
  <c r="FB321" i="1"/>
  <c r="FC321" i="1"/>
  <c r="FD321" i="1"/>
  <c r="FE321" i="1"/>
  <c r="FF321" i="1"/>
  <c r="FG321" i="1"/>
  <c r="FH321" i="1"/>
  <c r="FI321" i="1"/>
  <c r="FJ321" i="1"/>
  <c r="FK321" i="1"/>
  <c r="FL321" i="1"/>
  <c r="FM321" i="1"/>
  <c r="FN321" i="1"/>
  <c r="FO321" i="1"/>
  <c r="GF321" i="1"/>
  <c r="GG321" i="1"/>
  <c r="GH321" i="1"/>
  <c r="GI321" i="1"/>
  <c r="GJ321" i="1"/>
  <c r="GK321" i="1"/>
  <c r="GL321" i="1"/>
  <c r="GM321" i="1"/>
  <c r="GN321" i="1"/>
  <c r="GO321" i="1"/>
  <c r="GP321" i="1"/>
  <c r="GQ321" i="1"/>
  <c r="GR321" i="1"/>
  <c r="GS321" i="1"/>
  <c r="GT321" i="1"/>
  <c r="GU321" i="1"/>
  <c r="GV321" i="1"/>
  <c r="GW321" i="1"/>
  <c r="GX321" i="1"/>
  <c r="P323" i="1"/>
  <c r="FR323" i="1" s="1"/>
  <c r="BY326" i="1" s="1"/>
  <c r="S323" i="1"/>
  <c r="AC323" i="1"/>
  <c r="AE323" i="1"/>
  <c r="R323" i="1" s="1"/>
  <c r="AE326" i="1" s="1"/>
  <c r="AF323" i="1"/>
  <c r="AG323" i="1"/>
  <c r="AH323" i="1"/>
  <c r="AI323" i="1"/>
  <c r="CW323" i="1" s="1"/>
  <c r="V323" i="1" s="1"/>
  <c r="AI326" i="1" s="1"/>
  <c r="AJ323" i="1"/>
  <c r="CQ323" i="1"/>
  <c r="CR323" i="1"/>
  <c r="CT323" i="1"/>
  <c r="CU323" i="1"/>
  <c r="T323" i="1" s="1"/>
  <c r="AG326" i="1" s="1"/>
  <c r="CV323" i="1"/>
  <c r="U323" i="1" s="1"/>
  <c r="AH326" i="1" s="1"/>
  <c r="CX323" i="1"/>
  <c r="W323" i="1" s="1"/>
  <c r="AJ326" i="1" s="1"/>
  <c r="CZ323" i="1"/>
  <c r="GL323" i="1"/>
  <c r="GN323" i="1"/>
  <c r="CB326" i="1" s="1"/>
  <c r="GO323" i="1"/>
  <c r="GP323" i="1"/>
  <c r="GV323" i="1"/>
  <c r="HC323" i="1" s="1"/>
  <c r="GX323" i="1" s="1"/>
  <c r="CJ326" i="1" s="1"/>
  <c r="P324" i="1"/>
  <c r="FR324" i="1" s="1"/>
  <c r="FQ326" i="1" s="1"/>
  <c r="S324" i="1"/>
  <c r="Y324" i="1"/>
  <c r="ED326" i="1" s="1"/>
  <c r="AC324" i="1"/>
  <c r="AE324" i="1"/>
  <c r="R324" i="1" s="1"/>
  <c r="DW326" i="1" s="1"/>
  <c r="AF324" i="1"/>
  <c r="AG324" i="1"/>
  <c r="AH324" i="1"/>
  <c r="AI324" i="1"/>
  <c r="CW324" i="1" s="1"/>
  <c r="V324" i="1" s="1"/>
  <c r="EA326" i="1" s="1"/>
  <c r="AJ324" i="1"/>
  <c r="CQ324" i="1"/>
  <c r="CR324" i="1"/>
  <c r="CT324" i="1"/>
  <c r="CU324" i="1"/>
  <c r="T324" i="1" s="1"/>
  <c r="DY326" i="1" s="1"/>
  <c r="CV324" i="1"/>
  <c r="U324" i="1" s="1"/>
  <c r="DZ326" i="1" s="1"/>
  <c r="CX324" i="1"/>
  <c r="W324" i="1" s="1"/>
  <c r="EB326" i="1" s="1"/>
  <c r="CZ324" i="1"/>
  <c r="GL324" i="1"/>
  <c r="FR326" i="1" s="1"/>
  <c r="GN324" i="1"/>
  <c r="FT326" i="1" s="1"/>
  <c r="GO324" i="1"/>
  <c r="GP324" i="1"/>
  <c r="FV326" i="1" s="1"/>
  <c r="GV324" i="1"/>
  <c r="HC324" i="1" s="1"/>
  <c r="GX324" i="1" s="1"/>
  <c r="GB326" i="1" s="1"/>
  <c r="B326" i="1"/>
  <c r="C326" i="1"/>
  <c r="C321" i="1" s="1"/>
  <c r="D326" i="1"/>
  <c r="D321" i="1" s="1"/>
  <c r="F326" i="1"/>
  <c r="G326" i="1"/>
  <c r="G321" i="1" s="1"/>
  <c r="P326" i="1"/>
  <c r="F329" i="1" s="1"/>
  <c r="S326" i="1"/>
  <c r="F341" i="1" s="1"/>
  <c r="AC326" i="1"/>
  <c r="CF326" i="1" s="1"/>
  <c r="AF326" i="1"/>
  <c r="BX326" i="1"/>
  <c r="AO326" i="1" s="1"/>
  <c r="BZ326" i="1"/>
  <c r="BZ321" i="1" s="1"/>
  <c r="CC326" i="1"/>
  <c r="AT326" i="1" s="1"/>
  <c r="CD326" i="1"/>
  <c r="CD321" i="1" s="1"/>
  <c r="CE326" i="1"/>
  <c r="AV326" i="1" s="1"/>
  <c r="CK326" i="1"/>
  <c r="BB326" i="1" s="1"/>
  <c r="CL326" i="1"/>
  <c r="CL321" i="1" s="1"/>
  <c r="CM326" i="1"/>
  <c r="CM321" i="1" s="1"/>
  <c r="DX326" i="1"/>
  <c r="DK326" i="1" s="1"/>
  <c r="FP326" i="1"/>
  <c r="FP321" i="1" s="1"/>
  <c r="FU326" i="1"/>
  <c r="FU321" i="1" s="1"/>
  <c r="GC326" i="1"/>
  <c r="GC321" i="1" s="1"/>
  <c r="GD326" i="1"/>
  <c r="GD321" i="1" s="1"/>
  <c r="GE326" i="1"/>
  <c r="GE321" i="1" s="1"/>
  <c r="B356" i="1"/>
  <c r="B22" i="1" s="1"/>
  <c r="C356" i="1"/>
  <c r="C22" i="1" s="1"/>
  <c r="D356" i="1"/>
  <c r="D22" i="1" s="1"/>
  <c r="F356" i="1"/>
  <c r="F22" i="1" s="1"/>
  <c r="G356" i="1"/>
  <c r="G22" i="1" s="1"/>
  <c r="B386" i="1"/>
  <c r="B18" i="1" s="1"/>
  <c r="C386" i="1"/>
  <c r="C18" i="1" s="1"/>
  <c r="D386" i="1"/>
  <c r="D18" i="1" s="1"/>
  <c r="F386" i="1"/>
  <c r="F18" i="1" s="1"/>
  <c r="G386" i="1"/>
  <c r="G18" i="1" s="1"/>
  <c r="F12" i="6"/>
  <c r="G12" i="6"/>
  <c r="H456" i="7" l="1"/>
  <c r="J536" i="7"/>
  <c r="H586" i="7"/>
  <c r="H590" i="7"/>
  <c r="H220" i="7"/>
  <c r="J456" i="7"/>
  <c r="J590" i="7"/>
  <c r="J586" i="7"/>
  <c r="J220" i="7"/>
  <c r="AE321" i="1"/>
  <c r="R326" i="1"/>
  <c r="FR214" i="1"/>
  <c r="FY289" i="1"/>
  <c r="GA289" i="1"/>
  <c r="EI289" i="1"/>
  <c r="Y255" i="1"/>
  <c r="CZ255" i="1"/>
  <c r="X255" i="1"/>
  <c r="CY255" i="1"/>
  <c r="GB321" i="1"/>
  <c r="ES326" i="1"/>
  <c r="DL326" i="1"/>
  <c r="DY321" i="1"/>
  <c r="X273" i="1"/>
  <c r="CY273" i="1"/>
  <c r="Y273" i="1"/>
  <c r="CZ273" i="1"/>
  <c r="X269" i="1"/>
  <c r="CY269" i="1"/>
  <c r="Y269" i="1"/>
  <c r="CZ269" i="1"/>
  <c r="X263" i="1"/>
  <c r="CY263" i="1"/>
  <c r="Y263" i="1"/>
  <c r="CZ263" i="1"/>
  <c r="X253" i="1"/>
  <c r="Y253" i="1"/>
  <c r="CZ253" i="1"/>
  <c r="CY253" i="1"/>
  <c r="X251" i="1"/>
  <c r="CY251" i="1"/>
  <c r="Y251" i="1"/>
  <c r="CZ251" i="1"/>
  <c r="CD214" i="1"/>
  <c r="AU289" i="1"/>
  <c r="AJ289" i="1"/>
  <c r="CB214" i="1"/>
  <c r="AS289" i="1"/>
  <c r="FT214" i="1"/>
  <c r="EK289" i="1"/>
  <c r="FT321" i="1"/>
  <c r="EK326" i="1"/>
  <c r="ED321" i="1"/>
  <c r="DQ326" i="1"/>
  <c r="T285" i="1"/>
  <c r="X259" i="1"/>
  <c r="CY259" i="1"/>
  <c r="Y259" i="1"/>
  <c r="CZ259" i="1"/>
  <c r="AT321" i="1"/>
  <c r="F344" i="1"/>
  <c r="AW326" i="1"/>
  <c r="CF321" i="1"/>
  <c r="FR321" i="1"/>
  <c r="EI326" i="1"/>
  <c r="FY326" i="1"/>
  <c r="AJ321" i="1"/>
  <c r="W326" i="1"/>
  <c r="BB321" i="1"/>
  <c r="F339" i="1"/>
  <c r="FV321" i="1"/>
  <c r="EM326" i="1"/>
  <c r="EA321" i="1"/>
  <c r="DN326" i="1"/>
  <c r="DW321" i="1"/>
  <c r="DJ326" i="1"/>
  <c r="FQ321" i="1"/>
  <c r="EH326" i="1"/>
  <c r="GA326" i="1"/>
  <c r="AS326" i="1"/>
  <c r="CB321" i="1"/>
  <c r="AH321" i="1"/>
  <c r="U326" i="1"/>
  <c r="AB284" i="1"/>
  <c r="CP275" i="1"/>
  <c r="O275" i="1" s="1"/>
  <c r="GM275" i="1" s="1"/>
  <c r="GO275" i="1" s="1"/>
  <c r="X265" i="1"/>
  <c r="CY265" i="1"/>
  <c r="Y265" i="1"/>
  <c r="CZ265" i="1"/>
  <c r="X264" i="1"/>
  <c r="CY264" i="1"/>
  <c r="Y264" i="1"/>
  <c r="CZ264" i="1"/>
  <c r="CP258" i="1"/>
  <c r="O258" i="1" s="1"/>
  <c r="T235" i="1"/>
  <c r="DZ321" i="1"/>
  <c r="DM326" i="1"/>
  <c r="AI321" i="1"/>
  <c r="V326" i="1"/>
  <c r="X277" i="1"/>
  <c r="CY277" i="1"/>
  <c r="Y277" i="1"/>
  <c r="CZ277" i="1"/>
  <c r="DK321" i="1"/>
  <c r="P341" i="1"/>
  <c r="F331" i="1"/>
  <c r="AV321" i="1"/>
  <c r="F330" i="1"/>
  <c r="AO321" i="1"/>
  <c r="DO326" i="1"/>
  <c r="EB321" i="1"/>
  <c r="BA326" i="1"/>
  <c r="CJ321" i="1"/>
  <c r="AG321" i="1"/>
  <c r="T326" i="1"/>
  <c r="AP326" i="1"/>
  <c r="BY321" i="1"/>
  <c r="CI326" i="1"/>
  <c r="CH326" i="1"/>
  <c r="X287" i="1"/>
  <c r="CY287" i="1"/>
  <c r="Y287" i="1"/>
  <c r="CZ287" i="1"/>
  <c r="U285" i="1"/>
  <c r="X283" i="1"/>
  <c r="CY283" i="1"/>
  <c r="Y283" i="1"/>
  <c r="CZ283" i="1"/>
  <c r="CP281" i="1"/>
  <c r="O281" i="1" s="1"/>
  <c r="GM281" i="1" s="1"/>
  <c r="GO281" i="1" s="1"/>
  <c r="CP272" i="1"/>
  <c r="O272" i="1" s="1"/>
  <c r="CP271" i="1"/>
  <c r="O271" i="1" s="1"/>
  <c r="GM271" i="1" s="1"/>
  <c r="GO271" i="1" s="1"/>
  <c r="CP267" i="1"/>
  <c r="O267" i="1" s="1"/>
  <c r="GM267" i="1" s="1"/>
  <c r="GO267" i="1" s="1"/>
  <c r="BZ214" i="1"/>
  <c r="AQ289" i="1"/>
  <c r="CG289" i="1"/>
  <c r="FV214" i="1"/>
  <c r="EM289" i="1"/>
  <c r="Y256" i="1"/>
  <c r="CZ256" i="1"/>
  <c r="X256" i="1"/>
  <c r="CY256" i="1"/>
  <c r="ET326" i="1"/>
  <c r="EL326" i="1"/>
  <c r="Q323" i="1"/>
  <c r="AD326" i="1" s="1"/>
  <c r="R264" i="1"/>
  <c r="CR262" i="1"/>
  <c r="CX333" i="3"/>
  <c r="CX337" i="3"/>
  <c r="CW328" i="3"/>
  <c r="CX330" i="3"/>
  <c r="CX334" i="3"/>
  <c r="CX338" i="3"/>
  <c r="CU327" i="3"/>
  <c r="CX328" i="3"/>
  <c r="CX331" i="3"/>
  <c r="CX335" i="3"/>
  <c r="X240" i="1"/>
  <c r="CY240" i="1"/>
  <c r="Y240" i="1"/>
  <c r="CZ240" i="1"/>
  <c r="CS226" i="1"/>
  <c r="Q226" i="1"/>
  <c r="AD226" i="1"/>
  <c r="CD97" i="1"/>
  <c r="AU182" i="1"/>
  <c r="Y180" i="1"/>
  <c r="CZ180" i="1"/>
  <c r="X180" i="1"/>
  <c r="BZ97" i="1"/>
  <c r="CG182" i="1"/>
  <c r="AQ182" i="1"/>
  <c r="EG326" i="1"/>
  <c r="BC326" i="1"/>
  <c r="AQ326" i="1"/>
  <c r="AD324" i="1"/>
  <c r="AB324" i="1" s="1"/>
  <c r="X323" i="1"/>
  <c r="AK326" i="1" s="1"/>
  <c r="EU289" i="1"/>
  <c r="AO289" i="1"/>
  <c r="Q287" i="1"/>
  <c r="CP287" i="1" s="1"/>
  <c r="O287" i="1" s="1"/>
  <c r="GM287" i="1" s="1"/>
  <c r="GO287" i="1" s="1"/>
  <c r="CY286" i="1"/>
  <c r="AD286" i="1"/>
  <c r="AB286" i="1" s="1"/>
  <c r="X286" i="1"/>
  <c r="AD284" i="1"/>
  <c r="P284" i="1"/>
  <c r="Q283" i="1"/>
  <c r="CU402" i="3"/>
  <c r="CV402" i="3"/>
  <c r="CX402" i="3"/>
  <c r="AD282" i="1"/>
  <c r="AB282" i="1" s="1"/>
  <c r="AB278" i="1"/>
  <c r="Q277" i="1"/>
  <c r="CP277" i="1" s="1"/>
  <c r="O277" i="1" s="1"/>
  <c r="GM277" i="1" s="1"/>
  <c r="GO277" i="1" s="1"/>
  <c r="AB276" i="1"/>
  <c r="AB274" i="1"/>
  <c r="Q273" i="1"/>
  <c r="CP273" i="1" s="1"/>
  <c r="O273" i="1" s="1"/>
  <c r="GM273" i="1" s="1"/>
  <c r="GO273" i="1" s="1"/>
  <c r="AB272" i="1"/>
  <c r="AD270" i="1"/>
  <c r="AB270" i="1" s="1"/>
  <c r="P270" i="1"/>
  <c r="Q269" i="1"/>
  <c r="CP269" i="1" s="1"/>
  <c r="O269" i="1" s="1"/>
  <c r="GM269" i="1" s="1"/>
  <c r="GO269" i="1" s="1"/>
  <c r="AB268" i="1"/>
  <c r="AB266" i="1"/>
  <c r="Q265" i="1"/>
  <c r="CP265" i="1" s="1"/>
  <c r="O265" i="1" s="1"/>
  <c r="GM265" i="1" s="1"/>
  <c r="GO265" i="1" s="1"/>
  <c r="Q264" i="1"/>
  <c r="CP264" i="1" s="1"/>
  <c r="O264" i="1" s="1"/>
  <c r="GM264" i="1" s="1"/>
  <c r="GO264" i="1" s="1"/>
  <c r="Q263" i="1"/>
  <c r="CX349" i="3"/>
  <c r="CW340" i="3"/>
  <c r="CX342" i="3"/>
  <c r="CX346" i="3"/>
  <c r="CX350" i="3"/>
  <c r="CU339" i="3"/>
  <c r="CX340" i="3"/>
  <c r="CX343" i="3"/>
  <c r="CX347" i="3"/>
  <c r="AD262" i="1"/>
  <c r="AB262" i="1" s="1"/>
  <c r="P262" i="1"/>
  <c r="CP262" i="1" s="1"/>
  <c r="O262" i="1" s="1"/>
  <c r="AB260" i="1"/>
  <c r="Q259" i="1"/>
  <c r="CW323" i="3"/>
  <c r="CX325" i="3"/>
  <c r="CU322" i="3"/>
  <c r="CX323" i="3"/>
  <c r="CX326" i="3"/>
  <c r="CV322" i="3"/>
  <c r="CW324" i="3"/>
  <c r="AD258" i="1"/>
  <c r="AB258" i="1" s="1"/>
  <c r="AB256" i="1"/>
  <c r="P255" i="1"/>
  <c r="CP255" i="1" s="1"/>
  <c r="O255" i="1" s="1"/>
  <c r="GM255" i="1" s="1"/>
  <c r="GO255" i="1" s="1"/>
  <c r="U254" i="1"/>
  <c r="AH289" i="1" s="1"/>
  <c r="W254" i="1"/>
  <c r="R254" i="1"/>
  <c r="T252" i="1"/>
  <c r="AG289" i="1" s="1"/>
  <c r="P252" i="1"/>
  <c r="CQ252" i="1"/>
  <c r="S252" i="1"/>
  <c r="S250" i="1"/>
  <c r="CT250" i="1"/>
  <c r="CR249" i="1"/>
  <c r="AD249" i="1"/>
  <c r="AB249" i="1" s="1"/>
  <c r="CP246" i="1"/>
  <c r="O246" i="1" s="1"/>
  <c r="Y245" i="1"/>
  <c r="CZ245" i="1"/>
  <c r="X245" i="1"/>
  <c r="CP242" i="1"/>
  <c r="O242" i="1" s="1"/>
  <c r="GM242" i="1" s="1"/>
  <c r="GO242" i="1" s="1"/>
  <c r="CP241" i="1"/>
  <c r="O241" i="1" s="1"/>
  <c r="S239" i="1"/>
  <c r="CT239" i="1"/>
  <c r="AB239" i="1"/>
  <c r="X238" i="1"/>
  <c r="CY238" i="1"/>
  <c r="Y237" i="1"/>
  <c r="CZ237" i="1"/>
  <c r="X237" i="1"/>
  <c r="CP236" i="1"/>
  <c r="O236" i="1" s="1"/>
  <c r="S235" i="1"/>
  <c r="Y232" i="1"/>
  <c r="CZ232" i="1"/>
  <c r="X232" i="1"/>
  <c r="Y228" i="1"/>
  <c r="CY228" i="1"/>
  <c r="CZ228" i="1"/>
  <c r="Y227" i="1"/>
  <c r="CZ227" i="1"/>
  <c r="CY227" i="1"/>
  <c r="Y226" i="1"/>
  <c r="CY226" i="1"/>
  <c r="CZ226" i="1"/>
  <c r="GX224" i="1"/>
  <c r="W224" i="1"/>
  <c r="CT223" i="1"/>
  <c r="S223" i="1"/>
  <c r="AB223" i="1"/>
  <c r="P222" i="1"/>
  <c r="CP222" i="1" s="1"/>
  <c r="O222" i="1" s="1"/>
  <c r="GM222" i="1" s="1"/>
  <c r="GO222" i="1" s="1"/>
  <c r="CQ222" i="1"/>
  <c r="AB222" i="1"/>
  <c r="AB221" i="1"/>
  <c r="CQ221" i="1"/>
  <c r="P221" i="1"/>
  <c r="CP221" i="1" s="1"/>
  <c r="O221" i="1" s="1"/>
  <c r="AB216" i="1"/>
  <c r="S216" i="1"/>
  <c r="AB179" i="1"/>
  <c r="CQ179" i="1"/>
  <c r="P179" i="1"/>
  <c r="CP179" i="1" s="1"/>
  <c r="O179" i="1" s="1"/>
  <c r="CU219" i="3"/>
  <c r="CX221" i="3"/>
  <c r="CX224" i="3"/>
  <c r="CW220" i="3"/>
  <c r="CW222" i="3"/>
  <c r="CX225" i="3"/>
  <c r="R165" i="1"/>
  <c r="S165" i="1"/>
  <c r="P165" i="1"/>
  <c r="I167" i="1"/>
  <c r="Q165" i="1"/>
  <c r="Y155" i="1"/>
  <c r="CZ155" i="1"/>
  <c r="CY155" i="1"/>
  <c r="X155" i="1"/>
  <c r="Y152" i="1"/>
  <c r="CZ152" i="1"/>
  <c r="X152" i="1"/>
  <c r="CY152" i="1"/>
  <c r="FR148" i="1"/>
  <c r="CP148" i="1"/>
  <c r="O148" i="1" s="1"/>
  <c r="FR146" i="1"/>
  <c r="CP146" i="1"/>
  <c r="O146" i="1" s="1"/>
  <c r="EA65" i="1"/>
  <c r="AB48" i="1"/>
  <c r="P48" i="1"/>
  <c r="CP48" i="1" s="1"/>
  <c r="O48" i="1" s="1"/>
  <c r="CQ48" i="1"/>
  <c r="BD326" i="1"/>
  <c r="Q324" i="1"/>
  <c r="DV326" i="1" s="1"/>
  <c r="Y323" i="1"/>
  <c r="AL326" i="1" s="1"/>
  <c r="EV289" i="1"/>
  <c r="Q286" i="1"/>
  <c r="CP286" i="1" s="1"/>
  <c r="O286" i="1" s="1"/>
  <c r="GM286" i="1" s="1"/>
  <c r="GO286" i="1" s="1"/>
  <c r="Q284" i="1"/>
  <c r="CR282" i="1"/>
  <c r="CU401" i="3"/>
  <c r="CV401" i="3"/>
  <c r="CR258" i="1"/>
  <c r="CU317" i="3"/>
  <c r="CX321" i="3"/>
  <c r="CV317" i="3"/>
  <c r="CW319" i="3"/>
  <c r="CX317" i="3"/>
  <c r="CX319" i="3"/>
  <c r="P256" i="1"/>
  <c r="CP256" i="1" s="1"/>
  <c r="O256" i="1" s="1"/>
  <c r="Y254" i="1"/>
  <c r="CZ254" i="1"/>
  <c r="AB253" i="1"/>
  <c r="V252" i="1"/>
  <c r="AI289" i="1" s="1"/>
  <c r="P244" i="1"/>
  <c r="CP244" i="1" s="1"/>
  <c r="O244" i="1" s="1"/>
  <c r="CQ244" i="1"/>
  <c r="AB244" i="1"/>
  <c r="Q242" i="1"/>
  <c r="CP239" i="1"/>
  <c r="O239" i="1" s="1"/>
  <c r="Y230" i="1"/>
  <c r="CZ230" i="1"/>
  <c r="CS228" i="1"/>
  <c r="Q228" i="1"/>
  <c r="AD228" i="1"/>
  <c r="CY180" i="1"/>
  <c r="AB171" i="1"/>
  <c r="Q157" i="1"/>
  <c r="CS157" i="1"/>
  <c r="R157" i="1"/>
  <c r="AD157" i="1"/>
  <c r="AB157" i="1" s="1"/>
  <c r="CR157" i="1"/>
  <c r="FR152" i="1"/>
  <c r="CP152" i="1"/>
  <c r="O152" i="1" s="1"/>
  <c r="X136" i="1"/>
  <c r="CY136" i="1"/>
  <c r="CZ136" i="1"/>
  <c r="Y136" i="1"/>
  <c r="CY324" i="1"/>
  <c r="DX321" i="1"/>
  <c r="EV326" i="1"/>
  <c r="CG326" i="1"/>
  <c r="CP324" i="1"/>
  <c r="O324" i="1" s="1"/>
  <c r="CP323" i="1"/>
  <c r="O323" i="1" s="1"/>
  <c r="CE321" i="1"/>
  <c r="S321" i="1"/>
  <c r="ET289" i="1"/>
  <c r="EH289" i="1"/>
  <c r="CI289" i="1"/>
  <c r="BD289" i="1"/>
  <c r="K285" i="1"/>
  <c r="S284" i="1"/>
  <c r="P283" i="1"/>
  <c r="CP283" i="1" s="1"/>
  <c r="O283" i="1" s="1"/>
  <c r="GM283" i="1" s="1"/>
  <c r="GO283" i="1" s="1"/>
  <c r="S282" i="1"/>
  <c r="CZ278" i="1"/>
  <c r="Y278" i="1"/>
  <c r="Q278" i="1"/>
  <c r="CP278" i="1" s="1"/>
  <c r="O278" i="1" s="1"/>
  <c r="GM278" i="1" s="1"/>
  <c r="GO278" i="1" s="1"/>
  <c r="CW386" i="3"/>
  <c r="CU385" i="3"/>
  <c r="CX386" i="3"/>
  <c r="CX389" i="3"/>
  <c r="CZ276" i="1"/>
  <c r="Y276" i="1"/>
  <c r="Q276" i="1"/>
  <c r="CP276" i="1" s="1"/>
  <c r="O276" i="1" s="1"/>
  <c r="GM276" i="1" s="1"/>
  <c r="GO276" i="1" s="1"/>
  <c r="CZ274" i="1"/>
  <c r="Y274" i="1"/>
  <c r="Q274" i="1"/>
  <c r="CP274" i="1" s="1"/>
  <c r="O274" i="1" s="1"/>
  <c r="GM274" i="1" s="1"/>
  <c r="GO274" i="1" s="1"/>
  <c r="CX369" i="3"/>
  <c r="CX372" i="3"/>
  <c r="CU369" i="3"/>
  <c r="CX370" i="3"/>
  <c r="CX373" i="3"/>
  <c r="CV369" i="3"/>
  <c r="CZ272" i="1"/>
  <c r="Y272" i="1"/>
  <c r="Q272" i="1"/>
  <c r="S270" i="1"/>
  <c r="CZ268" i="1"/>
  <c r="Y268" i="1"/>
  <c r="Q268" i="1"/>
  <c r="CP268" i="1" s="1"/>
  <c r="O268" i="1" s="1"/>
  <c r="GM268" i="1" s="1"/>
  <c r="GO268" i="1" s="1"/>
  <c r="CZ266" i="1"/>
  <c r="Y266" i="1"/>
  <c r="Q266" i="1"/>
  <c r="CP266" i="1" s="1"/>
  <c r="O266" i="1" s="1"/>
  <c r="GM266" i="1" s="1"/>
  <c r="GO266" i="1" s="1"/>
  <c r="CW352" i="3"/>
  <c r="CX354" i="3"/>
  <c r="CX358" i="3"/>
  <c r="CX352" i="3"/>
  <c r="CX355" i="3"/>
  <c r="CX359" i="3"/>
  <c r="CU351" i="3"/>
  <c r="P263" i="1"/>
  <c r="CP263" i="1" s="1"/>
  <c r="O263" i="1" s="1"/>
  <c r="GM263" i="1" s="1"/>
  <c r="GO263" i="1" s="1"/>
  <c r="S262" i="1"/>
  <c r="CZ260" i="1"/>
  <c r="Y260" i="1"/>
  <c r="Q260" i="1"/>
  <c r="CP260" i="1" s="1"/>
  <c r="O260" i="1" s="1"/>
  <c r="GM260" i="1" s="1"/>
  <c r="GO260" i="1" s="1"/>
  <c r="P259" i="1"/>
  <c r="CP259" i="1" s="1"/>
  <c r="O259" i="1" s="1"/>
  <c r="S258" i="1"/>
  <c r="CY254" i="1"/>
  <c r="P254" i="1"/>
  <c r="CP254" i="1" s="1"/>
  <c r="O254" i="1" s="1"/>
  <c r="GM254" i="1" s="1"/>
  <c r="GO254" i="1" s="1"/>
  <c r="AB252" i="1"/>
  <c r="R252" i="1"/>
  <c r="Y248" i="1"/>
  <c r="W247" i="1"/>
  <c r="X244" i="1"/>
  <c r="CY244" i="1"/>
  <c r="Y244" i="1"/>
  <c r="CZ244" i="1"/>
  <c r="CR242" i="1"/>
  <c r="P240" i="1"/>
  <c r="CP240" i="1" s="1"/>
  <c r="O240" i="1" s="1"/>
  <c r="GM240" i="1" s="1"/>
  <c r="GO240" i="1" s="1"/>
  <c r="CQ240" i="1"/>
  <c r="AB240" i="1"/>
  <c r="CZ238" i="1"/>
  <c r="R238" i="1"/>
  <c r="CS238" i="1"/>
  <c r="AD238" i="1"/>
  <c r="AB238" i="1" s="1"/>
  <c r="Q238" i="1"/>
  <c r="V235" i="1"/>
  <c r="Y234" i="1"/>
  <c r="CZ234" i="1"/>
  <c r="X234" i="1"/>
  <c r="GM234" i="1" s="1"/>
  <c r="GO234" i="1" s="1"/>
  <c r="CP230" i="1"/>
  <c r="O230" i="1" s="1"/>
  <c r="GM230" i="1" s="1"/>
  <c r="GO230" i="1" s="1"/>
  <c r="Y229" i="1"/>
  <c r="CZ229" i="1"/>
  <c r="X229" i="1"/>
  <c r="CR228" i="1"/>
  <c r="X228" i="1"/>
  <c r="CR226" i="1"/>
  <c r="X226" i="1"/>
  <c r="S224" i="1"/>
  <c r="R224" i="1"/>
  <c r="Y222" i="1"/>
  <c r="CZ222" i="1"/>
  <c r="X222" i="1"/>
  <c r="Y217" i="1"/>
  <c r="CZ217" i="1"/>
  <c r="X217" i="1"/>
  <c r="CT216" i="1"/>
  <c r="BD97" i="1"/>
  <c r="F207" i="1"/>
  <c r="AB180" i="1"/>
  <c r="CQ180" i="1"/>
  <c r="P180" i="1"/>
  <c r="CP180" i="1" s="1"/>
  <c r="O180" i="1" s="1"/>
  <c r="FR156" i="1"/>
  <c r="CP156" i="1"/>
  <c r="O156" i="1" s="1"/>
  <c r="GM156" i="1" s="1"/>
  <c r="FR154" i="1"/>
  <c r="CP154" i="1"/>
  <c r="O154" i="1" s="1"/>
  <c r="X144" i="1"/>
  <c r="CY144" i="1"/>
  <c r="Y144" i="1"/>
  <c r="CZ144" i="1"/>
  <c r="S142" i="1"/>
  <c r="CT142" i="1"/>
  <c r="GE26" i="1"/>
  <c r="EV65" i="1"/>
  <c r="CK26" i="1"/>
  <c r="BB65" i="1"/>
  <c r="BB289" i="1"/>
  <c r="AP289" i="1"/>
  <c r="Q282" i="1"/>
  <c r="CP282" i="1" s="1"/>
  <c r="O282" i="1" s="1"/>
  <c r="Q270" i="1"/>
  <c r="Q262" i="1"/>
  <c r="Q258" i="1"/>
  <c r="AB251" i="1"/>
  <c r="R242" i="1"/>
  <c r="CS242" i="1"/>
  <c r="AD242" i="1"/>
  <c r="AB242" i="1" s="1"/>
  <c r="CP223" i="1"/>
  <c r="O223" i="1" s="1"/>
  <c r="AB217" i="1"/>
  <c r="CQ217" i="1"/>
  <c r="P217" i="1"/>
  <c r="CP217" i="1" s="1"/>
  <c r="O217" i="1" s="1"/>
  <c r="ET97" i="1"/>
  <c r="P195" i="1"/>
  <c r="CQ150" i="1"/>
  <c r="AB150" i="1"/>
  <c r="P150" i="1"/>
  <c r="Y147" i="1"/>
  <c r="CZ147" i="1"/>
  <c r="CY147" i="1"/>
  <c r="X147" i="1"/>
  <c r="FR137" i="1"/>
  <c r="AB127" i="1"/>
  <c r="CQ127" i="1"/>
  <c r="P127" i="1"/>
  <c r="CP127" i="1" s="1"/>
  <c r="O127" i="1" s="1"/>
  <c r="AU326" i="1"/>
  <c r="X324" i="1"/>
  <c r="EC326" i="1" s="1"/>
  <c r="CY323" i="1"/>
  <c r="AD323" i="1"/>
  <c r="AB323" i="1" s="1"/>
  <c r="P321" i="1"/>
  <c r="EU326" i="1"/>
  <c r="DU326" i="1"/>
  <c r="CS324" i="1"/>
  <c r="CS323" i="1"/>
  <c r="EG289" i="1"/>
  <c r="BC289" i="1"/>
  <c r="CT287" i="1"/>
  <c r="CS286" i="1"/>
  <c r="I285" i="1"/>
  <c r="K284" i="1"/>
  <c r="CT283" i="1"/>
  <c r="R282" i="1"/>
  <c r="CZ281" i="1"/>
  <c r="CZ280" i="1"/>
  <c r="CZ279" i="1"/>
  <c r="CX393" i="3"/>
  <c r="CX400" i="3"/>
  <c r="CU393" i="3"/>
  <c r="CX394" i="3"/>
  <c r="CX397" i="3"/>
  <c r="CV393" i="3"/>
  <c r="CY278" i="1"/>
  <c r="CQ278" i="1"/>
  <c r="CT277" i="1"/>
  <c r="CY276" i="1"/>
  <c r="CQ276" i="1"/>
  <c r="CZ275" i="1"/>
  <c r="CX377" i="3"/>
  <c r="CX380" i="3"/>
  <c r="CU377" i="3"/>
  <c r="CX378" i="3"/>
  <c r="CX381" i="3"/>
  <c r="CV377" i="3"/>
  <c r="CY274" i="1"/>
  <c r="CQ274" i="1"/>
  <c r="CT273" i="1"/>
  <c r="CY272" i="1"/>
  <c r="CQ272" i="1"/>
  <c r="CZ271" i="1"/>
  <c r="CT269" i="1"/>
  <c r="CY268" i="1"/>
  <c r="CQ268" i="1"/>
  <c r="CZ267" i="1"/>
  <c r="CU360" i="3"/>
  <c r="CW362" i="3"/>
  <c r="CX365" i="3"/>
  <c r="CX362" i="3"/>
  <c r="CX366" i="3"/>
  <c r="CW361" i="3"/>
  <c r="CX363" i="3"/>
  <c r="CY266" i="1"/>
  <c r="CQ266" i="1"/>
  <c r="CT265" i="1"/>
  <c r="CT264" i="1"/>
  <c r="CT263" i="1"/>
  <c r="R262" i="1"/>
  <c r="CZ261" i="1"/>
  <c r="CY260" i="1"/>
  <c r="CQ260" i="1"/>
  <c r="CT259" i="1"/>
  <c r="R258" i="1"/>
  <c r="CZ257" i="1"/>
  <c r="U256" i="1"/>
  <c r="R256" i="1"/>
  <c r="CT253" i="1"/>
  <c r="P253" i="1"/>
  <c r="CP253" i="1" s="1"/>
  <c r="O253" i="1" s="1"/>
  <c r="GM253" i="1" s="1"/>
  <c r="GO253" i="1" s="1"/>
  <c r="GX252" i="1"/>
  <c r="CJ289" i="1" s="1"/>
  <c r="P251" i="1"/>
  <c r="CP251" i="1" s="1"/>
  <c r="O251" i="1" s="1"/>
  <c r="CQ251" i="1"/>
  <c r="CS250" i="1"/>
  <c r="CX301" i="3"/>
  <c r="CU299" i="3"/>
  <c r="CW300" i="3"/>
  <c r="CW301" i="3"/>
  <c r="CX305" i="3"/>
  <c r="CX306" i="3"/>
  <c r="CX302" i="3"/>
  <c r="CX307" i="3"/>
  <c r="R248" i="1"/>
  <c r="CS248" i="1"/>
  <c r="CP248" i="1"/>
  <c r="O248" i="1" s="1"/>
  <c r="GM248" i="1" s="1"/>
  <c r="GO248" i="1" s="1"/>
  <c r="Y246" i="1"/>
  <c r="CZ246" i="1"/>
  <c r="X246" i="1"/>
  <c r="CP245" i="1"/>
  <c r="O245" i="1" s="1"/>
  <c r="GM245" i="1" s="1"/>
  <c r="GO245" i="1" s="1"/>
  <c r="S243" i="1"/>
  <c r="CT243" i="1"/>
  <c r="AB243" i="1"/>
  <c r="X242" i="1"/>
  <c r="CY242" i="1"/>
  <c r="Y241" i="1"/>
  <c r="CZ241" i="1"/>
  <c r="X241" i="1"/>
  <c r="CP238" i="1"/>
  <c r="O238" i="1" s="1"/>
  <c r="GM238" i="1" s="1"/>
  <c r="GO238" i="1" s="1"/>
  <c r="CP237" i="1"/>
  <c r="O237" i="1" s="1"/>
  <c r="GM237" i="1" s="1"/>
  <c r="GO237" i="1" s="1"/>
  <c r="Y236" i="1"/>
  <c r="CZ236" i="1"/>
  <c r="X236" i="1"/>
  <c r="CP232" i="1"/>
  <c r="O232" i="1" s="1"/>
  <c r="S231" i="1"/>
  <c r="CP227" i="1"/>
  <c r="O227" i="1" s="1"/>
  <c r="GM227" i="1" s="1"/>
  <c r="GO227" i="1" s="1"/>
  <c r="U224" i="1"/>
  <c r="V224" i="1"/>
  <c r="AD224" i="1"/>
  <c r="AB224" i="1" s="1"/>
  <c r="CR224" i="1"/>
  <c r="CY222" i="1"/>
  <c r="Y221" i="1"/>
  <c r="CZ221" i="1"/>
  <c r="X221" i="1"/>
  <c r="Y179" i="1"/>
  <c r="CZ179" i="1"/>
  <c r="X179" i="1"/>
  <c r="U165" i="1"/>
  <c r="GM164" i="1"/>
  <c r="GO164" i="1" s="1"/>
  <c r="Y157" i="1"/>
  <c r="CY157" i="1"/>
  <c r="X157" i="1"/>
  <c r="FV182" i="1"/>
  <c r="AD105" i="1"/>
  <c r="AB105" i="1" s="1"/>
  <c r="Q105" i="1"/>
  <c r="R105" i="1"/>
  <c r="CR105" i="1"/>
  <c r="CS105" i="1"/>
  <c r="CU308" i="3"/>
  <c r="CW310" i="3"/>
  <c r="CX313" i="3"/>
  <c r="CX310" i="3"/>
  <c r="CX314" i="3"/>
  <c r="CW309" i="3"/>
  <c r="CX311" i="3"/>
  <c r="CX315" i="3"/>
  <c r="CQ250" i="1"/>
  <c r="CT249" i="1"/>
  <c r="CT248" i="1"/>
  <c r="CT247" i="1"/>
  <c r="CT246" i="1"/>
  <c r="CT245" i="1"/>
  <c r="CS244" i="1"/>
  <c r="CQ242" i="1"/>
  <c r="CT241" i="1"/>
  <c r="CS240" i="1"/>
  <c r="CQ238" i="1"/>
  <c r="CT237" i="1"/>
  <c r="CT236" i="1"/>
  <c r="CT235" i="1"/>
  <c r="CT234" i="1"/>
  <c r="CT233" i="1"/>
  <c r="CT232" i="1"/>
  <c r="CT231" i="1"/>
  <c r="CT230" i="1"/>
  <c r="CT229" i="1"/>
  <c r="CU265" i="3"/>
  <c r="CX266" i="3"/>
  <c r="CW266" i="3"/>
  <c r="CX268" i="3"/>
  <c r="CX272" i="3"/>
  <c r="R228" i="1"/>
  <c r="CQ227" i="1"/>
  <c r="R226" i="1"/>
  <c r="W225" i="1"/>
  <c r="S225" i="1"/>
  <c r="CT225" i="1"/>
  <c r="P225" i="1"/>
  <c r="CP225" i="1" s="1"/>
  <c r="O225" i="1" s="1"/>
  <c r="P224" i="1"/>
  <c r="CP224" i="1" s="1"/>
  <c r="O224" i="1" s="1"/>
  <c r="CQ224" i="1"/>
  <c r="P220" i="1"/>
  <c r="CP220" i="1" s="1"/>
  <c r="O220" i="1" s="1"/>
  <c r="CQ219" i="1"/>
  <c r="AB218" i="1"/>
  <c r="Y218" i="1"/>
  <c r="GM218" i="1" s="1"/>
  <c r="GO218" i="1" s="1"/>
  <c r="CZ218" i="1"/>
  <c r="BC182" i="1"/>
  <c r="X177" i="1"/>
  <c r="CY177" i="1"/>
  <c r="Y177" i="1"/>
  <c r="CZ177" i="1"/>
  <c r="X176" i="1"/>
  <c r="CY176" i="1"/>
  <c r="Y176" i="1"/>
  <c r="CZ176" i="1"/>
  <c r="CP171" i="1"/>
  <c r="O171" i="1" s="1"/>
  <c r="X170" i="1"/>
  <c r="CY170" i="1"/>
  <c r="Y170" i="1"/>
  <c r="CZ170" i="1"/>
  <c r="X169" i="1"/>
  <c r="CY169" i="1"/>
  <c r="Y169" i="1"/>
  <c r="CZ169" i="1"/>
  <c r="P168" i="1"/>
  <c r="Q168" i="1"/>
  <c r="T167" i="1"/>
  <c r="CT167" i="1"/>
  <c r="GX165" i="1"/>
  <c r="T165" i="1"/>
  <c r="AB162" i="1"/>
  <c r="P161" i="1"/>
  <c r="CQ161" i="1"/>
  <c r="AB161" i="1"/>
  <c r="T160" i="1"/>
  <c r="W160" i="1"/>
  <c r="EB182" i="1" s="1"/>
  <c r="S160" i="1"/>
  <c r="CT160" i="1"/>
  <c r="P159" i="1"/>
  <c r="Q159" i="1"/>
  <c r="S158" i="1"/>
  <c r="CT158" i="1"/>
  <c r="CQ156" i="1"/>
  <c r="AB156" i="1"/>
  <c r="Y153" i="1"/>
  <c r="CZ153" i="1"/>
  <c r="CY153" i="1"/>
  <c r="Y150" i="1"/>
  <c r="CZ150" i="1"/>
  <c r="X150" i="1"/>
  <c r="CQ148" i="1"/>
  <c r="AB148" i="1"/>
  <c r="Y145" i="1"/>
  <c r="CZ145" i="1"/>
  <c r="CY145" i="1"/>
  <c r="U144" i="1"/>
  <c r="DZ182" i="1" s="1"/>
  <c r="V144" i="1"/>
  <c r="EA182" i="1" s="1"/>
  <c r="AD144" i="1"/>
  <c r="CR144" i="1"/>
  <c r="R143" i="1"/>
  <c r="CP142" i="1"/>
  <c r="O142" i="1" s="1"/>
  <c r="FR142" i="1"/>
  <c r="AB138" i="1"/>
  <c r="CT137" i="1"/>
  <c r="S137" i="1"/>
  <c r="AB137" i="1"/>
  <c r="CT136" i="1"/>
  <c r="Y127" i="1"/>
  <c r="CZ127" i="1"/>
  <c r="X127" i="1"/>
  <c r="R124" i="1"/>
  <c r="CS124" i="1"/>
  <c r="Y124" i="1"/>
  <c r="CZ124" i="1"/>
  <c r="AD124" i="1"/>
  <c r="CR124" i="1"/>
  <c r="X123" i="1"/>
  <c r="CY123" i="1"/>
  <c r="Y123" i="1"/>
  <c r="CZ123" i="1"/>
  <c r="R120" i="1"/>
  <c r="CS120" i="1"/>
  <c r="Q120" i="1"/>
  <c r="AD120" i="1"/>
  <c r="AB120" i="1" s="1"/>
  <c r="CR120" i="1"/>
  <c r="FR182" i="1"/>
  <c r="AB107" i="1"/>
  <c r="P107" i="1"/>
  <c r="CQ107" i="1"/>
  <c r="GX62" i="1"/>
  <c r="X50" i="1"/>
  <c r="CY50" i="1"/>
  <c r="Y50" i="1"/>
  <c r="I249" i="1"/>
  <c r="S249" i="1" s="1"/>
  <c r="I247" i="1"/>
  <c r="CS246" i="1"/>
  <c r="R246" i="1"/>
  <c r="CS245" i="1"/>
  <c r="CU293" i="3"/>
  <c r="CV293" i="3"/>
  <c r="CX294" i="3"/>
  <c r="CQ243" i="1"/>
  <c r="CT242" i="1"/>
  <c r="CS241" i="1"/>
  <c r="CU285" i="3"/>
  <c r="CX286" i="3"/>
  <c r="CW286" i="3"/>
  <c r="CW287" i="3"/>
  <c r="CV285" i="3"/>
  <c r="CX288" i="3"/>
  <c r="CQ239" i="1"/>
  <c r="CT238" i="1"/>
  <c r="CS237" i="1"/>
  <c r="R237" i="1"/>
  <c r="CS236" i="1"/>
  <c r="R236" i="1"/>
  <c r="I235" i="1"/>
  <c r="W235" i="1" s="1"/>
  <c r="CS234" i="1"/>
  <c r="R234" i="1"/>
  <c r="I233" i="1"/>
  <c r="U233" i="1" s="1"/>
  <c r="CS232" i="1"/>
  <c r="R232" i="1"/>
  <c r="I231" i="1"/>
  <c r="CS230" i="1"/>
  <c r="R230" i="1"/>
  <c r="CS229" i="1"/>
  <c r="AB228" i="1"/>
  <c r="P228" i="1"/>
  <c r="CT227" i="1"/>
  <c r="AB226" i="1"/>
  <c r="P226" i="1"/>
  <c r="CP226" i="1" s="1"/>
  <c r="O226" i="1" s="1"/>
  <c r="T224" i="1"/>
  <c r="CQ223" i="1"/>
  <c r="CQ220" i="1"/>
  <c r="Y219" i="1"/>
  <c r="GM219" i="1" s="1"/>
  <c r="GO219" i="1" s="1"/>
  <c r="CZ219" i="1"/>
  <c r="P216" i="1"/>
  <c r="CQ216" i="1"/>
  <c r="P198" i="1"/>
  <c r="FY182" i="1"/>
  <c r="V165" i="1"/>
  <c r="CS165" i="1"/>
  <c r="AD165" i="1"/>
  <c r="AB165" i="1" s="1"/>
  <c r="CP162" i="1"/>
  <c r="O162" i="1" s="1"/>
  <c r="GM162" i="1" s="1"/>
  <c r="GO162" i="1" s="1"/>
  <c r="GX160" i="1"/>
  <c r="GB182" i="1" s="1"/>
  <c r="Y156" i="1"/>
  <c r="CZ156" i="1"/>
  <c r="X156" i="1"/>
  <c r="CQ154" i="1"/>
  <c r="AB154" i="1"/>
  <c r="Y151" i="1"/>
  <c r="CZ151" i="1"/>
  <c r="CY151" i="1"/>
  <c r="Y148" i="1"/>
  <c r="CZ148" i="1"/>
  <c r="X148" i="1"/>
  <c r="CQ146" i="1"/>
  <c r="AB146" i="1"/>
  <c r="CX198" i="3"/>
  <c r="CW196" i="3"/>
  <c r="CU195" i="3"/>
  <c r="CX196" i="3"/>
  <c r="Q144" i="1"/>
  <c r="U143" i="1"/>
  <c r="Y138" i="1"/>
  <c r="CZ138" i="1"/>
  <c r="X138" i="1"/>
  <c r="CY138" i="1"/>
  <c r="AD131" i="1"/>
  <c r="AB131" i="1" s="1"/>
  <c r="Q131" i="1"/>
  <c r="CP131" i="1" s="1"/>
  <c r="O131" i="1" s="1"/>
  <c r="R131" i="1"/>
  <c r="CR131" i="1"/>
  <c r="FR122" i="1"/>
  <c r="CP122" i="1"/>
  <c r="O122" i="1" s="1"/>
  <c r="GM122" i="1" s="1"/>
  <c r="FR116" i="1"/>
  <c r="CP116" i="1"/>
  <c r="O116" i="1" s="1"/>
  <c r="P109" i="1"/>
  <c r="CQ109" i="1"/>
  <c r="AB109" i="1"/>
  <c r="AB102" i="1"/>
  <c r="CQ102" i="1"/>
  <c r="P102" i="1"/>
  <c r="DY182" i="1"/>
  <c r="BZ26" i="1"/>
  <c r="AQ65" i="1"/>
  <c r="CG65" i="1"/>
  <c r="CU296" i="3"/>
  <c r="CX296" i="3"/>
  <c r="CX298" i="3"/>
  <c r="CU289" i="3"/>
  <c r="CX290" i="3"/>
  <c r="CW291" i="3"/>
  <c r="CX292" i="3"/>
  <c r="CW290" i="3"/>
  <c r="CX275" i="3"/>
  <c r="CX277" i="3"/>
  <c r="CU275" i="3"/>
  <c r="CV275" i="3"/>
  <c r="CW277" i="3"/>
  <c r="CX280" i="3"/>
  <c r="CX284" i="3"/>
  <c r="Y220" i="1"/>
  <c r="CZ220" i="1"/>
  <c r="EG182" i="1"/>
  <c r="P177" i="1"/>
  <c r="CQ177" i="1"/>
  <c r="AB177" i="1"/>
  <c r="P176" i="1"/>
  <c r="CQ176" i="1"/>
  <c r="AB176" i="1"/>
  <c r="FR175" i="1"/>
  <c r="CP175" i="1"/>
  <c r="O175" i="1" s="1"/>
  <c r="GM175" i="1" s="1"/>
  <c r="CP174" i="1"/>
  <c r="O174" i="1" s="1"/>
  <c r="GM174" i="1" s="1"/>
  <c r="GN174" i="1" s="1"/>
  <c r="CP173" i="1"/>
  <c r="O173" i="1" s="1"/>
  <c r="GM173" i="1" s="1"/>
  <c r="GN173" i="1" s="1"/>
  <c r="CP172" i="1"/>
  <c r="O172" i="1" s="1"/>
  <c r="GM172" i="1" s="1"/>
  <c r="GN172" i="1" s="1"/>
  <c r="R171" i="1"/>
  <c r="CS171" i="1"/>
  <c r="X171" i="1"/>
  <c r="AD171" i="1"/>
  <c r="CY171" i="1"/>
  <c r="P170" i="1"/>
  <c r="CQ170" i="1"/>
  <c r="AB170" i="1"/>
  <c r="P169" i="1"/>
  <c r="CQ169" i="1"/>
  <c r="AB169" i="1"/>
  <c r="S168" i="1"/>
  <c r="CT168" i="1"/>
  <c r="S166" i="1"/>
  <c r="CT166" i="1"/>
  <c r="W165" i="1"/>
  <c r="CP163" i="1"/>
  <c r="O163" i="1" s="1"/>
  <c r="GM163" i="1" s="1"/>
  <c r="GO163" i="1" s="1"/>
  <c r="X161" i="1"/>
  <c r="CY161" i="1"/>
  <c r="Y161" i="1"/>
  <c r="CZ161" i="1"/>
  <c r="P160" i="1"/>
  <c r="CP160" i="1" s="1"/>
  <c r="O160" i="1" s="1"/>
  <c r="Q160" i="1"/>
  <c r="S159" i="1"/>
  <c r="CT159" i="1"/>
  <c r="Y154" i="1"/>
  <c r="CZ154" i="1"/>
  <c r="X154" i="1"/>
  <c r="CQ152" i="1"/>
  <c r="AB152" i="1"/>
  <c r="Y149" i="1"/>
  <c r="CZ149" i="1"/>
  <c r="CY149" i="1"/>
  <c r="Y146" i="1"/>
  <c r="CZ146" i="1"/>
  <c r="X146" i="1"/>
  <c r="CX193" i="3"/>
  <c r="CX194" i="3"/>
  <c r="CU191" i="3"/>
  <c r="CW192" i="3"/>
  <c r="P143" i="1"/>
  <c r="Q143" i="1"/>
  <c r="AD135" i="1"/>
  <c r="AB135" i="1" s="1"/>
  <c r="CR135" i="1"/>
  <c r="AD134" i="1"/>
  <c r="AB134" i="1" s="1"/>
  <c r="Q134" i="1"/>
  <c r="CP134" i="1" s="1"/>
  <c r="O134" i="1" s="1"/>
  <c r="R134" i="1"/>
  <c r="CR134" i="1"/>
  <c r="S133" i="1"/>
  <c r="CT133" i="1"/>
  <c r="AD123" i="1"/>
  <c r="Q123" i="1"/>
  <c r="CR123" i="1"/>
  <c r="CS123" i="1"/>
  <c r="R123" i="1"/>
  <c r="Y117" i="1"/>
  <c r="CZ117" i="1"/>
  <c r="X117" i="1"/>
  <c r="FR114" i="1"/>
  <c r="CP114" i="1"/>
  <c r="O114" i="1" s="1"/>
  <c r="CP105" i="1"/>
  <c r="O105" i="1" s="1"/>
  <c r="CU119" i="3"/>
  <c r="CX120" i="3"/>
  <c r="CW120" i="3"/>
  <c r="CX122" i="3"/>
  <c r="CV119" i="3"/>
  <c r="CW121" i="3"/>
  <c r="CX124" i="3"/>
  <c r="P62" i="1"/>
  <c r="R62" i="1"/>
  <c r="S62" i="1"/>
  <c r="Q62" i="1"/>
  <c r="Q166" i="1"/>
  <c r="CU226" i="3"/>
  <c r="CX228" i="3"/>
  <c r="CX231" i="3"/>
  <c r="CW229" i="3"/>
  <c r="CW227" i="3"/>
  <c r="Q158" i="1"/>
  <c r="CX212" i="3"/>
  <c r="CW208" i="3"/>
  <c r="CW210" i="3"/>
  <c r="CX213" i="3"/>
  <c r="CX208" i="3"/>
  <c r="CX210" i="3"/>
  <c r="CX214" i="3"/>
  <c r="CU207" i="3"/>
  <c r="P144" i="1"/>
  <c r="CP144" i="1" s="1"/>
  <c r="O144" i="1" s="1"/>
  <c r="GM144" i="1" s="1"/>
  <c r="GO144" i="1" s="1"/>
  <c r="CQ144" i="1"/>
  <c r="R140" i="1"/>
  <c r="CS140" i="1"/>
  <c r="X140" i="1"/>
  <c r="P138" i="1"/>
  <c r="R136" i="1"/>
  <c r="CV183" i="3"/>
  <c r="CW185" i="3"/>
  <c r="CX188" i="3"/>
  <c r="CX183" i="3"/>
  <c r="CX185" i="3"/>
  <c r="CU183" i="3"/>
  <c r="CW178" i="3"/>
  <c r="CX180" i="3"/>
  <c r="CU177" i="3"/>
  <c r="CX178" i="3"/>
  <c r="CX181" i="3"/>
  <c r="P135" i="1"/>
  <c r="AB130" i="1"/>
  <c r="Y130" i="1"/>
  <c r="CZ130" i="1"/>
  <c r="P128" i="1"/>
  <c r="CQ128" i="1"/>
  <c r="X128" i="1"/>
  <c r="CY128" i="1"/>
  <c r="Y128" i="1"/>
  <c r="CZ128" i="1"/>
  <c r="S126" i="1"/>
  <c r="CT126" i="1"/>
  <c r="CP124" i="1"/>
  <c r="O124" i="1" s="1"/>
  <c r="GM124" i="1" s="1"/>
  <c r="GO124" i="1" s="1"/>
  <c r="CZ120" i="1"/>
  <c r="FR118" i="1"/>
  <c r="CP118" i="1"/>
  <c r="O118" i="1" s="1"/>
  <c r="AB115" i="1"/>
  <c r="CQ115" i="1"/>
  <c r="P115" i="1"/>
  <c r="AB113" i="1"/>
  <c r="CQ113" i="1"/>
  <c r="P113" i="1"/>
  <c r="CU155" i="3"/>
  <c r="CX156" i="3"/>
  <c r="CX155" i="3"/>
  <c r="CW157" i="3"/>
  <c r="CX160" i="3"/>
  <c r="CX157" i="3"/>
  <c r="CV155" i="3"/>
  <c r="P111" i="1"/>
  <c r="CP111" i="1" s="1"/>
  <c r="O111" i="1" s="1"/>
  <c r="Q111" i="1"/>
  <c r="Y100" i="1"/>
  <c r="CZ100" i="1"/>
  <c r="X100" i="1"/>
  <c r="CY100" i="1"/>
  <c r="GD97" i="1"/>
  <c r="DZ26" i="1"/>
  <c r="DM65" i="1"/>
  <c r="AU26" i="1"/>
  <c r="F84" i="1"/>
  <c r="AB60" i="1"/>
  <c r="P60" i="1"/>
  <c r="CQ60" i="1"/>
  <c r="S59" i="1"/>
  <c r="CT59" i="1"/>
  <c r="S51" i="1"/>
  <c r="CT51" i="1"/>
  <c r="GB65" i="1"/>
  <c r="X41" i="1"/>
  <c r="CY41" i="1"/>
  <c r="Y41" i="1"/>
  <c r="CZ41" i="1"/>
  <c r="Q216" i="1"/>
  <c r="CU257" i="3"/>
  <c r="CX258" i="3"/>
  <c r="EV182" i="1"/>
  <c r="BB182" i="1"/>
  <c r="Q177" i="1"/>
  <c r="CU245" i="3"/>
  <c r="CX246" i="3"/>
  <c r="CW246" i="3"/>
  <c r="CX248" i="3"/>
  <c r="Q170" i="1"/>
  <c r="Q169" i="1"/>
  <c r="P166" i="1"/>
  <c r="CP166" i="1" s="1"/>
  <c r="O166" i="1" s="1"/>
  <c r="Q161" i="1"/>
  <c r="CU215" i="3"/>
  <c r="CX216" i="3"/>
  <c r="P158" i="1"/>
  <c r="P157" i="1"/>
  <c r="CP157" i="1" s="1"/>
  <c r="O157" i="1" s="1"/>
  <c r="P155" i="1"/>
  <c r="P153" i="1"/>
  <c r="P151" i="1"/>
  <c r="P149" i="1"/>
  <c r="P147" i="1"/>
  <c r="P145" i="1"/>
  <c r="T144" i="1"/>
  <c r="AB144" i="1"/>
  <c r="W143" i="1"/>
  <c r="S143" i="1"/>
  <c r="CT143" i="1"/>
  <c r="CR142" i="1"/>
  <c r="AD142" i="1"/>
  <c r="AB142" i="1" s="1"/>
  <c r="R142" i="1"/>
  <c r="S141" i="1"/>
  <c r="CT141" i="1"/>
  <c r="CP141" i="1"/>
  <c r="O141" i="1" s="1"/>
  <c r="AD140" i="1"/>
  <c r="Q140" i="1"/>
  <c r="S139" i="1"/>
  <c r="CT139" i="1"/>
  <c r="CP139" i="1"/>
  <c r="O139" i="1" s="1"/>
  <c r="CR136" i="1"/>
  <c r="P136" i="1"/>
  <c r="CQ136" i="1"/>
  <c r="Q136" i="1"/>
  <c r="R135" i="1"/>
  <c r="CR133" i="1"/>
  <c r="R132" i="1"/>
  <c r="CS132" i="1"/>
  <c r="X132" i="1"/>
  <c r="Q132" i="1"/>
  <c r="X130" i="1"/>
  <c r="AB128" i="1"/>
  <c r="CP126" i="1"/>
  <c r="O126" i="1" s="1"/>
  <c r="S125" i="1"/>
  <c r="CT125" i="1"/>
  <c r="AB124" i="1"/>
  <c r="AB122" i="1"/>
  <c r="R121" i="1"/>
  <c r="CS121" i="1"/>
  <c r="Y120" i="1"/>
  <c r="AB117" i="1"/>
  <c r="CQ117" i="1"/>
  <c r="P117" i="1"/>
  <c r="GX111" i="1"/>
  <c r="Y109" i="1"/>
  <c r="CZ109" i="1"/>
  <c r="X109" i="1"/>
  <c r="CY109" i="1"/>
  <c r="Y107" i="1"/>
  <c r="CZ107" i="1"/>
  <c r="X107" i="1"/>
  <c r="Y102" i="1"/>
  <c r="CZ102" i="1"/>
  <c r="CU113" i="3"/>
  <c r="P58" i="1"/>
  <c r="CP58" i="1" s="1"/>
  <c r="O58" i="1" s="1"/>
  <c r="R58" i="1"/>
  <c r="S58" i="1"/>
  <c r="Q58" i="1"/>
  <c r="AB57" i="1"/>
  <c r="CP55" i="1"/>
  <c r="O55" i="1" s="1"/>
  <c r="X52" i="1"/>
  <c r="CY52" i="1"/>
  <c r="Y52" i="1"/>
  <c r="CZ52" i="1"/>
  <c r="CX81" i="3"/>
  <c r="CU81" i="3"/>
  <c r="CV81" i="3"/>
  <c r="P50" i="1"/>
  <c r="CP50" i="1" s="1"/>
  <c r="O50" i="1" s="1"/>
  <c r="R50" i="1"/>
  <c r="Q50" i="1"/>
  <c r="X46" i="1"/>
  <c r="CY46" i="1"/>
  <c r="Y46" i="1"/>
  <c r="CZ46" i="1"/>
  <c r="FV65" i="1"/>
  <c r="CX261" i="3"/>
  <c r="CU261" i="3"/>
  <c r="CV261" i="3"/>
  <c r="CX264" i="3"/>
  <c r="AO182" i="1"/>
  <c r="CZ178" i="1"/>
  <c r="CX251" i="3"/>
  <c r="CX253" i="3"/>
  <c r="CU251" i="3"/>
  <c r="CX255" i="3"/>
  <c r="CV251" i="3"/>
  <c r="CW253" i="3"/>
  <c r="CX256" i="3"/>
  <c r="CZ175" i="1"/>
  <c r="CZ174" i="1"/>
  <c r="CZ173" i="1"/>
  <c r="CZ172" i="1"/>
  <c r="CZ164" i="1"/>
  <c r="CZ163" i="1"/>
  <c r="CZ162" i="1"/>
  <c r="CU217" i="3"/>
  <c r="CX218" i="3"/>
  <c r="AB140" i="1"/>
  <c r="P140" i="1"/>
  <c r="CP140" i="1" s="1"/>
  <c r="O140" i="1" s="1"/>
  <c r="T136" i="1"/>
  <c r="AB136" i="1"/>
  <c r="T135" i="1"/>
  <c r="W135" i="1"/>
  <c r="S135" i="1"/>
  <c r="CT135" i="1"/>
  <c r="Q135" i="1"/>
  <c r="S134" i="1"/>
  <c r="CT134" i="1"/>
  <c r="R133" i="1"/>
  <c r="CR132" i="1"/>
  <c r="AD132" i="1"/>
  <c r="AB132" i="1" s="1"/>
  <c r="CP132" i="1"/>
  <c r="O132" i="1" s="1"/>
  <c r="GM132" i="1" s="1"/>
  <c r="GO132" i="1" s="1"/>
  <c r="S131" i="1"/>
  <c r="CT131" i="1"/>
  <c r="P130" i="1"/>
  <c r="CP129" i="1"/>
  <c r="O129" i="1" s="1"/>
  <c r="AB129" i="1"/>
  <c r="Y129" i="1"/>
  <c r="CZ129" i="1"/>
  <c r="CR126" i="1"/>
  <c r="CP125" i="1"/>
  <c r="O125" i="1" s="1"/>
  <c r="CR121" i="1"/>
  <c r="AD121" i="1"/>
  <c r="Y121" i="1"/>
  <c r="CY121" i="1"/>
  <c r="CZ121" i="1"/>
  <c r="X120" i="1"/>
  <c r="CQ119" i="1"/>
  <c r="P119" i="1"/>
  <c r="Y115" i="1"/>
  <c r="CZ115" i="1"/>
  <c r="Y113" i="1"/>
  <c r="CZ113" i="1"/>
  <c r="Y112" i="1"/>
  <c r="CZ112" i="1"/>
  <c r="X112" i="1"/>
  <c r="CY112" i="1"/>
  <c r="R111" i="1"/>
  <c r="Y108" i="1"/>
  <c r="CZ108" i="1"/>
  <c r="X108" i="1"/>
  <c r="CY108" i="1"/>
  <c r="R104" i="1"/>
  <c r="CS104" i="1"/>
  <c r="AD104" i="1"/>
  <c r="AB104" i="1" s="1"/>
  <c r="CR104" i="1"/>
  <c r="FR101" i="1"/>
  <c r="CP101" i="1"/>
  <c r="O101" i="1" s="1"/>
  <c r="GM101" i="1" s="1"/>
  <c r="P100" i="1"/>
  <c r="CQ100" i="1"/>
  <c r="CP99" i="1"/>
  <c r="O99" i="1" s="1"/>
  <c r="T62" i="1"/>
  <c r="W58" i="1"/>
  <c r="AJ65" i="1" s="1"/>
  <c r="AB56" i="1"/>
  <c r="P56" i="1"/>
  <c r="CQ56" i="1"/>
  <c r="AB54" i="1"/>
  <c r="P54" i="1"/>
  <c r="CP54" i="1" s="1"/>
  <c r="O54" i="1" s="1"/>
  <c r="CQ54" i="1"/>
  <c r="CP47" i="1"/>
  <c r="O47" i="1" s="1"/>
  <c r="AD46" i="1"/>
  <c r="AB46" i="1" s="1"/>
  <c r="CS46" i="1"/>
  <c r="CR46" i="1"/>
  <c r="AH65" i="1"/>
  <c r="S43" i="1"/>
  <c r="P39" i="1"/>
  <c r="CP39" i="1" s="1"/>
  <c r="O39" i="1" s="1"/>
  <c r="CQ39" i="1"/>
  <c r="AB39" i="1"/>
  <c r="Q128" i="1"/>
  <c r="P123" i="1"/>
  <c r="CP123" i="1" s="1"/>
  <c r="O123" i="1" s="1"/>
  <c r="GM123" i="1" s="1"/>
  <c r="GO123" i="1" s="1"/>
  <c r="CQ123" i="1"/>
  <c r="AB121" i="1"/>
  <c r="P121" i="1"/>
  <c r="R119" i="1"/>
  <c r="CS119" i="1"/>
  <c r="Q119" i="1"/>
  <c r="AB118" i="1"/>
  <c r="Y118" i="1"/>
  <c r="CZ118" i="1"/>
  <c r="AB116" i="1"/>
  <c r="Y116" i="1"/>
  <c r="CZ116" i="1"/>
  <c r="AB114" i="1"/>
  <c r="Y114" i="1"/>
  <c r="CZ114" i="1"/>
  <c r="P112" i="1"/>
  <c r="CP112" i="1" s="1"/>
  <c r="O112" i="1" s="1"/>
  <c r="GM112" i="1" s="1"/>
  <c r="GO112" i="1" s="1"/>
  <c r="CQ112" i="1"/>
  <c r="T111" i="1"/>
  <c r="W111" i="1"/>
  <c r="S111" i="1"/>
  <c r="CT111" i="1"/>
  <c r="S110" i="1"/>
  <c r="CT110" i="1"/>
  <c r="P108" i="1"/>
  <c r="CP108" i="1" s="1"/>
  <c r="O108" i="1" s="1"/>
  <c r="CQ108" i="1"/>
  <c r="S106" i="1"/>
  <c r="CT106" i="1"/>
  <c r="Q106" i="1"/>
  <c r="DV182" i="1" s="1"/>
  <c r="CP104" i="1"/>
  <c r="O104" i="1" s="1"/>
  <c r="GM104" i="1" s="1"/>
  <c r="GO104" i="1" s="1"/>
  <c r="S103" i="1"/>
  <c r="CT103" i="1"/>
  <c r="Q103" i="1"/>
  <c r="AB101" i="1"/>
  <c r="Y101" i="1"/>
  <c r="CZ101" i="1"/>
  <c r="FP26" i="1"/>
  <c r="FY65" i="1"/>
  <c r="EG65" i="1"/>
  <c r="BY26" i="1"/>
  <c r="CI65" i="1"/>
  <c r="S63" i="1"/>
  <c r="CP63" i="1" s="1"/>
  <c r="O63" i="1" s="1"/>
  <c r="CT63" i="1"/>
  <c r="V62" i="1"/>
  <c r="AD62" i="1"/>
  <c r="AB62" i="1" s="1"/>
  <c r="CS62" i="1"/>
  <c r="X60" i="1"/>
  <c r="CY60" i="1"/>
  <c r="Y60" i="1"/>
  <c r="CZ60" i="1"/>
  <c r="GX58" i="1"/>
  <c r="T58" i="1"/>
  <c r="AG65" i="1" s="1"/>
  <c r="GM57" i="1"/>
  <c r="GN57" i="1" s="1"/>
  <c r="AB52" i="1"/>
  <c r="P52" i="1"/>
  <c r="CP52" i="1" s="1"/>
  <c r="O52" i="1" s="1"/>
  <c r="GM52" i="1" s="1"/>
  <c r="GN52" i="1" s="1"/>
  <c r="CQ52" i="1"/>
  <c r="CP51" i="1"/>
  <c r="O51" i="1" s="1"/>
  <c r="GX50" i="1"/>
  <c r="CJ65" i="1" s="1"/>
  <c r="T50" i="1"/>
  <c r="V50" i="1"/>
  <c r="AI65" i="1" s="1"/>
  <c r="AD50" i="1"/>
  <c r="AB50" i="1" s="1"/>
  <c r="CS50" i="1"/>
  <c r="AB49" i="1"/>
  <c r="CP49" i="1"/>
  <c r="O49" i="1" s="1"/>
  <c r="GM49" i="1" s="1"/>
  <c r="GN49" i="1" s="1"/>
  <c r="X44" i="1"/>
  <c r="CY44" i="1"/>
  <c r="AB43" i="1"/>
  <c r="P41" i="1"/>
  <c r="CP41" i="1" s="1"/>
  <c r="O41" i="1" s="1"/>
  <c r="GM41" i="1" s="1"/>
  <c r="GO41" i="1" s="1"/>
  <c r="CQ41" i="1"/>
  <c r="EB65" i="1"/>
  <c r="X32" i="1"/>
  <c r="CY32" i="1"/>
  <c r="Y32" i="1"/>
  <c r="CZ32" i="1"/>
  <c r="CP30" i="1"/>
  <c r="O30" i="1" s="1"/>
  <c r="DY65" i="1"/>
  <c r="CX401" i="3"/>
  <c r="CX399" i="3"/>
  <c r="CX396" i="3"/>
  <c r="CX388" i="3"/>
  <c r="CW370" i="3"/>
  <c r="CX368" i="3"/>
  <c r="CW200" i="3"/>
  <c r="CW202" i="3"/>
  <c r="CX205" i="3"/>
  <c r="CU199" i="3"/>
  <c r="CX200" i="3"/>
  <c r="CX202" i="3"/>
  <c r="CX206" i="3"/>
  <c r="CW201" i="3"/>
  <c r="CV199" i="3"/>
  <c r="CX203" i="3"/>
  <c r="AB123" i="1"/>
  <c r="R122" i="1"/>
  <c r="CS122" i="1"/>
  <c r="X122" i="1"/>
  <c r="P120" i="1"/>
  <c r="AD119" i="1"/>
  <c r="AB119" i="1" s="1"/>
  <c r="X118" i="1"/>
  <c r="X116" i="1"/>
  <c r="CP110" i="1"/>
  <c r="O110" i="1" s="1"/>
  <c r="CP106" i="1"/>
  <c r="O106" i="1" s="1"/>
  <c r="S105" i="1"/>
  <c r="CT105" i="1"/>
  <c r="CP103" i="1"/>
  <c r="O103" i="1" s="1"/>
  <c r="AB99" i="1"/>
  <c r="Y99" i="1"/>
  <c r="CZ99" i="1"/>
  <c r="AP65" i="1"/>
  <c r="W62" i="1"/>
  <c r="CR62" i="1"/>
  <c r="V58" i="1"/>
  <c r="AD58" i="1"/>
  <c r="AB58" i="1" s="1"/>
  <c r="CS58" i="1"/>
  <c r="X56" i="1"/>
  <c r="CY56" i="1"/>
  <c r="Y56" i="1"/>
  <c r="CZ56" i="1"/>
  <c r="S55" i="1"/>
  <c r="CT55" i="1"/>
  <c r="X54" i="1"/>
  <c r="CY54" i="1"/>
  <c r="Y54" i="1"/>
  <c r="CZ54" i="1"/>
  <c r="AB53" i="1"/>
  <c r="CP53" i="1"/>
  <c r="O53" i="1" s="1"/>
  <c r="GM53" i="1" s="1"/>
  <c r="GN53" i="1" s="1"/>
  <c r="CR50" i="1"/>
  <c r="X48" i="1"/>
  <c r="CY48" i="1"/>
  <c r="Y48" i="1"/>
  <c r="CZ48" i="1"/>
  <c r="S47" i="1"/>
  <c r="CT47" i="1"/>
  <c r="CU59" i="3"/>
  <c r="CX61" i="3"/>
  <c r="CX62" i="3"/>
  <c r="P46" i="1"/>
  <c r="CP46" i="1" s="1"/>
  <c r="O46" i="1" s="1"/>
  <c r="GM46" i="1" s="1"/>
  <c r="GO46" i="1" s="1"/>
  <c r="R46" i="1"/>
  <c r="AD44" i="1"/>
  <c r="AB44" i="1" s="1"/>
  <c r="R44" i="1"/>
  <c r="CS44" i="1"/>
  <c r="Q44" i="1"/>
  <c r="CP44" i="1" s="1"/>
  <c r="O44" i="1" s="1"/>
  <c r="GM44" i="1" s="1"/>
  <c r="GO44" i="1" s="1"/>
  <c r="FR65" i="1"/>
  <c r="X39" i="1"/>
  <c r="CY39" i="1"/>
  <c r="Y39" i="1"/>
  <c r="CP38" i="1"/>
  <c r="O38" i="1" s="1"/>
  <c r="AD112" i="1"/>
  <c r="AB112" i="1" s="1"/>
  <c r="AD108" i="1"/>
  <c r="AB108" i="1" s="1"/>
  <c r="AD100" i="1"/>
  <c r="AB100" i="1" s="1"/>
  <c r="ET65" i="1"/>
  <c r="EH65" i="1"/>
  <c r="BD65" i="1"/>
  <c r="AD63" i="1"/>
  <c r="AB63" i="1" s="1"/>
  <c r="Q60" i="1"/>
  <c r="CX115" i="3"/>
  <c r="CU115" i="3"/>
  <c r="CV115" i="3"/>
  <c r="AD59" i="1"/>
  <c r="AB59" i="1" s="1"/>
  <c r="P59" i="1"/>
  <c r="CP59" i="1" s="1"/>
  <c r="O59" i="1" s="1"/>
  <c r="Q56" i="1"/>
  <c r="CV103" i="3"/>
  <c r="CX103" i="3"/>
  <c r="CX104" i="3"/>
  <c r="CX107" i="3"/>
  <c r="CU103" i="3"/>
  <c r="CQ55" i="1"/>
  <c r="AD55" i="1"/>
  <c r="AB55" i="1" s="1"/>
  <c r="CS53" i="1"/>
  <c r="CU83" i="3"/>
  <c r="CW85" i="3"/>
  <c r="CX85" i="3"/>
  <c r="CX88" i="3"/>
  <c r="CQ51" i="1"/>
  <c r="AD51" i="1"/>
  <c r="AB51" i="1" s="1"/>
  <c r="CT50" i="1"/>
  <c r="CS49" i="1"/>
  <c r="CW68" i="3"/>
  <c r="CW70" i="3"/>
  <c r="CU67" i="3"/>
  <c r="CV67" i="3"/>
  <c r="CX68" i="3"/>
  <c r="CX70" i="3"/>
  <c r="CQ47" i="1"/>
  <c r="AD47" i="1"/>
  <c r="AB47" i="1" s="1"/>
  <c r="CT46" i="1"/>
  <c r="CS45" i="1"/>
  <c r="R45" i="1"/>
  <c r="CT44" i="1"/>
  <c r="P43" i="1"/>
  <c r="CP43" i="1" s="1"/>
  <c r="O43" i="1" s="1"/>
  <c r="CP40" i="1"/>
  <c r="O40" i="1" s="1"/>
  <c r="X37" i="1"/>
  <c r="CX395" i="3"/>
  <c r="CX390" i="3"/>
  <c r="CX387" i="3"/>
  <c r="CX382" i="3"/>
  <c r="CX379" i="3"/>
  <c r="CX374" i="3"/>
  <c r="CZ61" i="1"/>
  <c r="CX117" i="3"/>
  <c r="CU117" i="3"/>
  <c r="CV117" i="3"/>
  <c r="CZ57" i="1"/>
  <c r="CU108" i="3"/>
  <c r="CW109" i="3"/>
  <c r="CX111" i="3"/>
  <c r="CX109" i="3"/>
  <c r="CZ53" i="1"/>
  <c r="CU89" i="3"/>
  <c r="CX90" i="3"/>
  <c r="CX92" i="3"/>
  <c r="CW90" i="3"/>
  <c r="CW92" i="3"/>
  <c r="CZ49" i="1"/>
  <c r="CX74" i="3"/>
  <c r="CV74" i="3"/>
  <c r="CX75" i="3"/>
  <c r="CX77" i="3"/>
  <c r="CU74" i="3"/>
  <c r="CZ45" i="1"/>
  <c r="S42" i="1"/>
  <c r="CT42" i="1"/>
  <c r="R41" i="1"/>
  <c r="CS41" i="1"/>
  <c r="AD41" i="1"/>
  <c r="AB41" i="1" s="1"/>
  <c r="AD39" i="1"/>
  <c r="R39" i="1"/>
  <c r="CS39" i="1"/>
  <c r="Q37" i="1"/>
  <c r="R37" i="1"/>
  <c r="CS37" i="1"/>
  <c r="AD37" i="1"/>
  <c r="AB37" i="1" s="1"/>
  <c r="X30" i="1"/>
  <c r="CY30" i="1"/>
  <c r="Y30" i="1"/>
  <c r="CZ30" i="1"/>
  <c r="CX398" i="3"/>
  <c r="CX391" i="3"/>
  <c r="CX385" i="3"/>
  <c r="CX383" i="3"/>
  <c r="CX375" i="3"/>
  <c r="CX367" i="3"/>
  <c r="CW162" i="3"/>
  <c r="CX164" i="3"/>
  <c r="CU161" i="3"/>
  <c r="CX162" i="3"/>
  <c r="CX165" i="3"/>
  <c r="EU65" i="1"/>
  <c r="AO65" i="1"/>
  <c r="CX127" i="3"/>
  <c r="CU125" i="3"/>
  <c r="CW126" i="3"/>
  <c r="CX128" i="3"/>
  <c r="CU82" i="3"/>
  <c r="CX82" i="3"/>
  <c r="CV82" i="3"/>
  <c r="CX66" i="3"/>
  <c r="CW64" i="3"/>
  <c r="CX64" i="3"/>
  <c r="CU63" i="3"/>
  <c r="R43" i="1"/>
  <c r="CW52" i="3"/>
  <c r="CU51" i="3"/>
  <c r="CW53" i="3"/>
  <c r="CX56" i="3"/>
  <c r="CX53" i="3"/>
  <c r="S40" i="1"/>
  <c r="CT40" i="1"/>
  <c r="AB40" i="1"/>
  <c r="Y38" i="1"/>
  <c r="CZ38" i="1"/>
  <c r="X38" i="1"/>
  <c r="AB33" i="1"/>
  <c r="CP32" i="1"/>
  <c r="O32" i="1" s="1"/>
  <c r="X28" i="1"/>
  <c r="CY28" i="1"/>
  <c r="Y28" i="1"/>
  <c r="CZ28" i="1"/>
  <c r="CW394" i="3"/>
  <c r="CX392" i="3"/>
  <c r="CX384" i="3"/>
  <c r="CW378" i="3"/>
  <c r="CX376" i="3"/>
  <c r="CX371" i="3"/>
  <c r="CX45" i="3"/>
  <c r="CX47" i="3"/>
  <c r="CU45" i="3"/>
  <c r="CW47" i="3"/>
  <c r="CX50" i="3"/>
  <c r="CT38" i="1"/>
  <c r="CY37" i="1"/>
  <c r="CQ37" i="1"/>
  <c r="P37" i="1"/>
  <c r="CP37" i="1" s="1"/>
  <c r="O37" i="1" s="1"/>
  <c r="GM37" i="1" s="1"/>
  <c r="GO37" i="1" s="1"/>
  <c r="CS35" i="1"/>
  <c r="AB35" i="1"/>
  <c r="CU23" i="3"/>
  <c r="CV23" i="3"/>
  <c r="CW25" i="3"/>
  <c r="CX28" i="3"/>
  <c r="CX23" i="3"/>
  <c r="CX25" i="3"/>
  <c r="CY33" i="1"/>
  <c r="CQ33" i="1"/>
  <c r="AD33" i="1"/>
  <c r="X33" i="1"/>
  <c r="P33" i="1"/>
  <c r="CP33" i="1" s="1"/>
  <c r="O33" i="1" s="1"/>
  <c r="CS31" i="1"/>
  <c r="AB31" i="1"/>
  <c r="R31" i="1"/>
  <c r="CT30" i="1"/>
  <c r="CY29" i="1"/>
  <c r="CQ29" i="1"/>
  <c r="AD29" i="1"/>
  <c r="AB29" i="1" s="1"/>
  <c r="X29" i="1"/>
  <c r="P29" i="1"/>
  <c r="Q28" i="1"/>
  <c r="CW395" i="3"/>
  <c r="CW387" i="3"/>
  <c r="CV385" i="3"/>
  <c r="CW379" i="3"/>
  <c r="CW371" i="3"/>
  <c r="CV339" i="3"/>
  <c r="CX316" i="3"/>
  <c r="CV299" i="3"/>
  <c r="CZ35" i="1"/>
  <c r="Y35" i="1"/>
  <c r="Q35" i="1"/>
  <c r="CP35" i="1" s="1"/>
  <c r="O35" i="1" s="1"/>
  <c r="GM35" i="1" s="1"/>
  <c r="GO35" i="1" s="1"/>
  <c r="CW30" i="3"/>
  <c r="CX32" i="3"/>
  <c r="CU29" i="3"/>
  <c r="CX30" i="3"/>
  <c r="CX33" i="3"/>
  <c r="Y31" i="1"/>
  <c r="Q31" i="1"/>
  <c r="CP31" i="1" s="1"/>
  <c r="O31" i="1" s="1"/>
  <c r="GM31" i="1" s="1"/>
  <c r="GO31" i="1" s="1"/>
  <c r="AD28" i="1"/>
  <c r="AB28" i="1" s="1"/>
  <c r="CX364" i="3"/>
  <c r="CV351" i="3"/>
  <c r="CX348" i="3"/>
  <c r="CX345" i="3"/>
  <c r="CX332" i="3"/>
  <c r="CW329" i="3"/>
  <c r="CX324" i="3"/>
  <c r="CV308" i="3"/>
  <c r="CT36" i="1"/>
  <c r="S36" i="1"/>
  <c r="CY35" i="1"/>
  <c r="CQ35" i="1"/>
  <c r="CT34" i="1"/>
  <c r="S34" i="1"/>
  <c r="CP34" i="1" s="1"/>
  <c r="O34" i="1" s="1"/>
  <c r="CS33" i="1"/>
  <c r="R33" i="1"/>
  <c r="CT32" i="1"/>
  <c r="CY31" i="1"/>
  <c r="CQ31" i="1"/>
  <c r="CS29" i="1"/>
  <c r="R29" i="1"/>
  <c r="CT28" i="1"/>
  <c r="CX361" i="3"/>
  <c r="CV360" i="3"/>
  <c r="CX360" i="3"/>
  <c r="CX356" i="3"/>
  <c r="CV327" i="3"/>
  <c r="CX322" i="3"/>
  <c r="CX320" i="3"/>
  <c r="CX312" i="3"/>
  <c r="CX309" i="3"/>
  <c r="CS28" i="1"/>
  <c r="CX357" i="3"/>
  <c r="CW353" i="3"/>
  <c r="CX353" i="3"/>
  <c r="CX344" i="3"/>
  <c r="CW341" i="3"/>
  <c r="CX336" i="3"/>
  <c r="CW318" i="3"/>
  <c r="CX304" i="3"/>
  <c r="CV289" i="3"/>
  <c r="CX300" i="3"/>
  <c r="CX274" i="3"/>
  <c r="CX273" i="3"/>
  <c r="CX271" i="3"/>
  <c r="CX270" i="3"/>
  <c r="CX269" i="3"/>
  <c r="CW267" i="3"/>
  <c r="CV265" i="3"/>
  <c r="CX265" i="3"/>
  <c r="CX263" i="3"/>
  <c r="CX262" i="3"/>
  <c r="DG238" i="3"/>
  <c r="DH238" i="3"/>
  <c r="DI238" i="3"/>
  <c r="DH237" i="3"/>
  <c r="DI237" i="3"/>
  <c r="DF237" i="3"/>
  <c r="DJ237" i="3" s="1"/>
  <c r="DI236" i="3"/>
  <c r="DF236" i="3"/>
  <c r="DJ236" i="3" s="1"/>
  <c r="DG236" i="3"/>
  <c r="CV177" i="3"/>
  <c r="DH176" i="3"/>
  <c r="DI176" i="3"/>
  <c r="DJ176" i="3" s="1"/>
  <c r="DF176" i="3"/>
  <c r="DG176" i="3"/>
  <c r="DH168" i="3"/>
  <c r="DI168" i="3"/>
  <c r="DJ168" i="3" s="1"/>
  <c r="DF168" i="3"/>
  <c r="DG168" i="3"/>
  <c r="CX308" i="3"/>
  <c r="CX285" i="3"/>
  <c r="CX260" i="3"/>
  <c r="CX259" i="3"/>
  <c r="CV257" i="3"/>
  <c r="CX257" i="3"/>
  <c r="CX254" i="3"/>
  <c r="CW252" i="3"/>
  <c r="CX232" i="3"/>
  <c r="CX226" i="3"/>
  <c r="CV219" i="3"/>
  <c r="CX219" i="3"/>
  <c r="CX351" i="3"/>
  <c r="CX341" i="3"/>
  <c r="CX339" i="3"/>
  <c r="CX329" i="3"/>
  <c r="CX327" i="3"/>
  <c r="CX318" i="3"/>
  <c r="CX303" i="3"/>
  <c r="CX299" i="3"/>
  <c r="CX297" i="3"/>
  <c r="CV296" i="3"/>
  <c r="CX289" i="3"/>
  <c r="CX287" i="3"/>
  <c r="CX250" i="3"/>
  <c r="CX249" i="3"/>
  <c r="CW247" i="3"/>
  <c r="CV245" i="3"/>
  <c r="CX245" i="3"/>
  <c r="DI244" i="3"/>
  <c r="DF244" i="3"/>
  <c r="DJ244" i="3" s="1"/>
  <c r="DG244" i="3"/>
  <c r="DG242" i="3"/>
  <c r="DH242" i="3"/>
  <c r="DI242" i="3"/>
  <c r="DG237" i="3"/>
  <c r="DH236" i="3"/>
  <c r="CW221" i="3"/>
  <c r="CX204" i="3"/>
  <c r="CX295" i="3"/>
  <c r="CX293" i="3"/>
  <c r="CX291" i="3"/>
  <c r="CX283" i="3"/>
  <c r="CX282" i="3"/>
  <c r="CX281" i="3"/>
  <c r="CX279" i="3"/>
  <c r="CX278" i="3"/>
  <c r="CW276" i="3"/>
  <c r="DF238" i="3"/>
  <c r="DJ238" i="3" s="1"/>
  <c r="DG233" i="3"/>
  <c r="DF233" i="3"/>
  <c r="DH233" i="3"/>
  <c r="DI233" i="3"/>
  <c r="DJ233" i="3" s="1"/>
  <c r="CX223" i="3"/>
  <c r="CX197" i="3"/>
  <c r="CX276" i="3"/>
  <c r="CX267" i="3"/>
  <c r="CX252" i="3"/>
  <c r="CX247" i="3"/>
  <c r="DF241" i="3"/>
  <c r="CX240" i="3"/>
  <c r="DF239" i="3"/>
  <c r="CX235" i="3"/>
  <c r="DF234" i="3"/>
  <c r="CX229" i="3"/>
  <c r="CX227" i="3"/>
  <c r="CV217" i="3"/>
  <c r="CX217" i="3"/>
  <c r="CX207" i="3"/>
  <c r="CX201" i="3"/>
  <c r="CX199" i="3"/>
  <c r="CX187" i="3"/>
  <c r="CX186" i="3"/>
  <c r="DF174" i="3"/>
  <c r="DJ174" i="3" s="1"/>
  <c r="DG174" i="3"/>
  <c r="DH174" i="3"/>
  <c r="DI174" i="3"/>
  <c r="CX166" i="3"/>
  <c r="CW163" i="3"/>
  <c r="CX158" i="3"/>
  <c r="CW234" i="3"/>
  <c r="CX222" i="3"/>
  <c r="CX220" i="3"/>
  <c r="CV215" i="3"/>
  <c r="CX215" i="3"/>
  <c r="CX211" i="3"/>
  <c r="CX195" i="3"/>
  <c r="CX192" i="3"/>
  <c r="CV191" i="3"/>
  <c r="CX191" i="3"/>
  <c r="DF190" i="3"/>
  <c r="DG190" i="3"/>
  <c r="DI190" i="3"/>
  <c r="DJ190" i="3" s="1"/>
  <c r="DI189" i="3"/>
  <c r="DJ189" i="3" s="1"/>
  <c r="DF189" i="3"/>
  <c r="DH189" i="3"/>
  <c r="CW184" i="3"/>
  <c r="DH172" i="3"/>
  <c r="DI172" i="3"/>
  <c r="DJ172" i="3" s="1"/>
  <c r="DF172" i="3"/>
  <c r="DG172" i="3"/>
  <c r="CV161" i="3"/>
  <c r="CX230" i="3"/>
  <c r="CW228" i="3"/>
  <c r="CV226" i="3"/>
  <c r="CX209" i="3"/>
  <c r="CW209" i="3"/>
  <c r="CX182" i="3"/>
  <c r="CW179" i="3"/>
  <c r="CX159" i="3"/>
  <c r="CV207" i="3"/>
  <c r="CV195" i="3"/>
  <c r="CX184" i="3"/>
  <c r="CX179" i="3"/>
  <c r="CX177" i="3"/>
  <c r="CV176" i="3"/>
  <c r="DF175" i="3"/>
  <c r="DF173" i="3"/>
  <c r="DJ173" i="3" s="1"/>
  <c r="CV172" i="3"/>
  <c r="DF171" i="3"/>
  <c r="DJ171" i="3" s="1"/>
  <c r="DG170" i="3"/>
  <c r="CX169" i="3"/>
  <c r="CV168" i="3"/>
  <c r="DF167" i="3"/>
  <c r="CX163" i="3"/>
  <c r="CX161" i="3"/>
  <c r="DI150" i="3"/>
  <c r="DG150" i="3"/>
  <c r="DH150" i="3"/>
  <c r="DF149" i="3"/>
  <c r="DJ149" i="3" s="1"/>
  <c r="DH149" i="3"/>
  <c r="DI149" i="3"/>
  <c r="DG148" i="3"/>
  <c r="DI148" i="3"/>
  <c r="DF148" i="3"/>
  <c r="DJ148" i="3" s="1"/>
  <c r="DH147" i="3"/>
  <c r="DF147" i="3"/>
  <c r="DG147" i="3"/>
  <c r="DJ147" i="3" s="1"/>
  <c r="CX123" i="3"/>
  <c r="CX121" i="3"/>
  <c r="CX119" i="3"/>
  <c r="CW104" i="3"/>
  <c r="DI175" i="3"/>
  <c r="DJ175" i="3" s="1"/>
  <c r="DI173" i="3"/>
  <c r="DI171" i="3"/>
  <c r="DI167" i="3"/>
  <c r="DJ167" i="3" s="1"/>
  <c r="DF153" i="3"/>
  <c r="DJ153" i="3" s="1"/>
  <c r="DH153" i="3"/>
  <c r="DI153" i="3"/>
  <c r="DG152" i="3"/>
  <c r="DI152" i="3"/>
  <c r="DF152" i="3"/>
  <c r="DJ152" i="3" s="1"/>
  <c r="DH136" i="3"/>
  <c r="DF136" i="3"/>
  <c r="DG136" i="3"/>
  <c r="DJ136" i="3" s="1"/>
  <c r="CX112" i="3"/>
  <c r="DH102" i="3"/>
  <c r="DF102" i="3"/>
  <c r="DJ102" i="3" s="1"/>
  <c r="DG102" i="3"/>
  <c r="DI102" i="3"/>
  <c r="CW156" i="3"/>
  <c r="DI154" i="3"/>
  <c r="DG154" i="3"/>
  <c r="DH154" i="3"/>
  <c r="CX129" i="3"/>
  <c r="CX114" i="3"/>
  <c r="CV114" i="3"/>
  <c r="DG100" i="3"/>
  <c r="DJ100" i="3" s="1"/>
  <c r="DI100" i="3"/>
  <c r="DF100" i="3"/>
  <c r="DH100" i="3"/>
  <c r="CX145" i="3"/>
  <c r="CV145" i="3"/>
  <c r="DG144" i="3"/>
  <c r="DI144" i="3"/>
  <c r="DF144" i="3"/>
  <c r="DJ144" i="3" s="1"/>
  <c r="DH143" i="3"/>
  <c r="DF143" i="3"/>
  <c r="DJ143" i="3" s="1"/>
  <c r="DG143" i="3"/>
  <c r="DI142" i="3"/>
  <c r="DG142" i="3"/>
  <c r="DH142" i="3"/>
  <c r="DF141" i="3"/>
  <c r="DJ141" i="3" s="1"/>
  <c r="DH141" i="3"/>
  <c r="DI141" i="3"/>
  <c r="DG140" i="3"/>
  <c r="DI140" i="3"/>
  <c r="DF140" i="3"/>
  <c r="DJ140" i="3" s="1"/>
  <c r="DH139" i="3"/>
  <c r="DF139" i="3"/>
  <c r="DJ139" i="3" s="1"/>
  <c r="DG139" i="3"/>
  <c r="DI138" i="3"/>
  <c r="DG138" i="3"/>
  <c r="DH138" i="3"/>
  <c r="DI134" i="3"/>
  <c r="DJ134" i="3" s="1"/>
  <c r="DG134" i="3"/>
  <c r="DH134" i="3"/>
  <c r="CX133" i="3"/>
  <c r="CV133" i="3"/>
  <c r="DG132" i="3"/>
  <c r="DI132" i="3"/>
  <c r="DJ132" i="3" s="1"/>
  <c r="DF132" i="3"/>
  <c r="DF131" i="3"/>
  <c r="DH131" i="3"/>
  <c r="DI131" i="3"/>
  <c r="DJ131" i="3" s="1"/>
  <c r="CX130" i="3"/>
  <c r="CW127" i="3"/>
  <c r="CX126" i="3"/>
  <c r="CX125" i="3"/>
  <c r="CV125" i="3"/>
  <c r="CW101" i="3"/>
  <c r="CX101" i="3"/>
  <c r="CX87" i="3"/>
  <c r="DG151" i="3"/>
  <c r="CW147" i="3"/>
  <c r="DI146" i="3"/>
  <c r="DI137" i="3"/>
  <c r="CW136" i="3"/>
  <c r="DI135" i="3"/>
  <c r="DJ135" i="3" s="1"/>
  <c r="CX118" i="3"/>
  <c r="CX116" i="3"/>
  <c r="CV113" i="3"/>
  <c r="CX94" i="3"/>
  <c r="CX93" i="3"/>
  <c r="CX91" i="3"/>
  <c r="CX89" i="3"/>
  <c r="CV89" i="3"/>
  <c r="CV83" i="3"/>
  <c r="CX83" i="3"/>
  <c r="CW69" i="3"/>
  <c r="CX54" i="3"/>
  <c r="CX110" i="3"/>
  <c r="CW110" i="3"/>
  <c r="CX108" i="3"/>
  <c r="CV108" i="3"/>
  <c r="CX106" i="3"/>
  <c r="CW105" i="3"/>
  <c r="CX105" i="3"/>
  <c r="CW75" i="3"/>
  <c r="CX71" i="3"/>
  <c r="CW60" i="3"/>
  <c r="CX78" i="3"/>
  <c r="CW77" i="3"/>
  <c r="CX73" i="3"/>
  <c r="CX113" i="3"/>
  <c r="DH98" i="3"/>
  <c r="DF98" i="3"/>
  <c r="DJ98" i="3" s="1"/>
  <c r="DG98" i="3"/>
  <c r="CW97" i="3"/>
  <c r="CX97" i="3"/>
  <c r="DG96" i="3"/>
  <c r="DJ96" i="3" s="1"/>
  <c r="DI96" i="3"/>
  <c r="DF96" i="3"/>
  <c r="CX79" i="3"/>
  <c r="CX67" i="3"/>
  <c r="CW91" i="3"/>
  <c r="CX86" i="3"/>
  <c r="CX84" i="3"/>
  <c r="CX76" i="3"/>
  <c r="CX65" i="3"/>
  <c r="CV59" i="3"/>
  <c r="CX55" i="3"/>
  <c r="CV51" i="3"/>
  <c r="CX80" i="3"/>
  <c r="CX69" i="3"/>
  <c r="CV63" i="3"/>
  <c r="CX63" i="3"/>
  <c r="DI58" i="3"/>
  <c r="DJ58" i="3" s="1"/>
  <c r="DF58" i="3"/>
  <c r="CX52" i="3"/>
  <c r="CX60" i="3"/>
  <c r="CW86" i="3"/>
  <c r="CW84" i="3"/>
  <c r="CW76" i="3"/>
  <c r="CX72" i="3"/>
  <c r="CX59" i="3"/>
  <c r="DG58" i="3"/>
  <c r="CX51" i="3"/>
  <c r="CX49" i="3"/>
  <c r="DI42" i="3"/>
  <c r="DF42" i="3"/>
  <c r="DJ42" i="3" s="1"/>
  <c r="DG42" i="3"/>
  <c r="DH42" i="3"/>
  <c r="CX34" i="3"/>
  <c r="CX31" i="3"/>
  <c r="CX26" i="3"/>
  <c r="DI15" i="3"/>
  <c r="DF15" i="3"/>
  <c r="DG15" i="3"/>
  <c r="DJ15" i="3" s="1"/>
  <c r="DH15" i="3"/>
  <c r="DH7" i="3"/>
  <c r="DI7" i="3"/>
  <c r="DF7" i="3"/>
  <c r="DG7" i="3"/>
  <c r="DJ7" i="3" s="1"/>
  <c r="CX48" i="3"/>
  <c r="CV45" i="3"/>
  <c r="CX29" i="3"/>
  <c r="CX24" i="3"/>
  <c r="DH11" i="3"/>
  <c r="DI11" i="3"/>
  <c r="DF11" i="3"/>
  <c r="DJ11" i="3" s="1"/>
  <c r="DG11" i="3"/>
  <c r="CW46" i="3"/>
  <c r="CX27" i="3"/>
  <c r="DI22" i="3"/>
  <c r="DF22" i="3"/>
  <c r="DJ22" i="3" s="1"/>
  <c r="DG22" i="3"/>
  <c r="DH22" i="3"/>
  <c r="DI18" i="3"/>
  <c r="DF18" i="3"/>
  <c r="DJ18" i="3" s="1"/>
  <c r="DG18" i="3"/>
  <c r="DH18" i="3"/>
  <c r="DH5" i="3"/>
  <c r="DI5" i="3"/>
  <c r="DJ5" i="3" s="1"/>
  <c r="DF5" i="3"/>
  <c r="DG5" i="3"/>
  <c r="DH1" i="3"/>
  <c r="DI1" i="3"/>
  <c r="DJ1" i="3" s="1"/>
  <c r="DF1" i="3"/>
  <c r="DG1" i="3"/>
  <c r="DH37" i="3"/>
  <c r="DI37" i="3"/>
  <c r="DJ37" i="3" s="1"/>
  <c r="DF37" i="3"/>
  <c r="DG37" i="3"/>
  <c r="DI10" i="3"/>
  <c r="DF10" i="3"/>
  <c r="DJ10" i="3" s="1"/>
  <c r="DG10" i="3"/>
  <c r="DH10" i="3"/>
  <c r="DI39" i="3"/>
  <c r="DF38" i="3"/>
  <c r="DJ38" i="3" s="1"/>
  <c r="CV37" i="3"/>
  <c r="DI35" i="3"/>
  <c r="DJ35" i="3" s="1"/>
  <c r="CW31" i="3"/>
  <c r="CV29" i="3"/>
  <c r="CW24" i="3"/>
  <c r="DI21" i="3"/>
  <c r="DF20" i="3"/>
  <c r="DJ20" i="3" s="1"/>
  <c r="DI17" i="3"/>
  <c r="DF16" i="3"/>
  <c r="DI13" i="3"/>
  <c r="DF12" i="3"/>
  <c r="DJ12" i="3" s="1"/>
  <c r="DI9" i="3"/>
  <c r="DF8" i="3"/>
  <c r="DJ8" i="3" s="1"/>
  <c r="CW7" i="3"/>
  <c r="DI6" i="3"/>
  <c r="DI3" i="3"/>
  <c r="DJ3" i="3" s="1"/>
  <c r="CV1" i="3"/>
  <c r="CX46" i="3"/>
  <c r="CX43" i="3"/>
  <c r="CX40" i="3"/>
  <c r="DG39" i="3"/>
  <c r="CX36" i="3"/>
  <c r="DG35" i="3"/>
  <c r="DG21" i="3"/>
  <c r="DG17" i="3"/>
  <c r="CX14" i="3"/>
  <c r="DG13" i="3"/>
  <c r="DG9" i="3"/>
  <c r="DG6" i="3"/>
  <c r="DJ6" i="3" s="1"/>
  <c r="CX4" i="3"/>
  <c r="DG3" i="3"/>
  <c r="CJ26" i="1" l="1"/>
  <c r="BA65" i="1"/>
  <c r="CJ214" i="1"/>
  <c r="BA289" i="1"/>
  <c r="AI214" i="1"/>
  <c r="V289" i="1"/>
  <c r="DV97" i="1"/>
  <c r="DI182" i="1"/>
  <c r="Y249" i="1"/>
  <c r="X249" i="1"/>
  <c r="CY249" i="1"/>
  <c r="CZ249" i="1"/>
  <c r="AI26" i="1"/>
  <c r="V65" i="1"/>
  <c r="AG26" i="1"/>
  <c r="T65" i="1"/>
  <c r="GB97" i="1"/>
  <c r="ES182" i="1"/>
  <c r="EA97" i="1"/>
  <c r="DN182" i="1"/>
  <c r="AH214" i="1"/>
  <c r="U289" i="1"/>
  <c r="DZ97" i="1"/>
  <c r="DM182" i="1"/>
  <c r="AG214" i="1"/>
  <c r="T289" i="1"/>
  <c r="DF59" i="3"/>
  <c r="DG59" i="3"/>
  <c r="DH59" i="3"/>
  <c r="DI59" i="3"/>
  <c r="DJ59" i="3" s="1"/>
  <c r="DH65" i="3"/>
  <c r="DI65" i="3"/>
  <c r="DF65" i="3"/>
  <c r="DJ65" i="3" s="1"/>
  <c r="DG65" i="3"/>
  <c r="DH110" i="3"/>
  <c r="DG110" i="3"/>
  <c r="DJ110" i="3" s="1"/>
  <c r="DI110" i="3"/>
  <c r="DF110" i="3"/>
  <c r="DI101" i="3"/>
  <c r="DG101" i="3"/>
  <c r="DJ101" i="3" s="1"/>
  <c r="DH101" i="3"/>
  <c r="DF101" i="3"/>
  <c r="DF121" i="3"/>
  <c r="DH121" i="3"/>
  <c r="DI121" i="3"/>
  <c r="DG121" i="3"/>
  <c r="DJ121" i="3" s="1"/>
  <c r="DF287" i="3"/>
  <c r="DH287" i="3"/>
  <c r="DI287" i="3"/>
  <c r="DG287" i="3"/>
  <c r="DJ287" i="3" s="1"/>
  <c r="FY26" i="1"/>
  <c r="EP65" i="1"/>
  <c r="FV26" i="1"/>
  <c r="EM65" i="1"/>
  <c r="Y143" i="1"/>
  <c r="CY143" i="1"/>
  <c r="CZ143" i="1"/>
  <c r="X143" i="1"/>
  <c r="DF216" i="3"/>
  <c r="DJ216" i="3" s="1"/>
  <c r="DG216" i="3"/>
  <c r="DI216" i="3"/>
  <c r="DH216" i="3"/>
  <c r="DH246" i="3"/>
  <c r="DI246" i="3"/>
  <c r="DF246" i="3"/>
  <c r="DG246" i="3"/>
  <c r="DJ246" i="3" s="1"/>
  <c r="FR113" i="1"/>
  <c r="CP113" i="1"/>
  <c r="O113" i="1" s="1"/>
  <c r="GM113" i="1" s="1"/>
  <c r="DG178" i="3"/>
  <c r="DJ178" i="3" s="1"/>
  <c r="DH178" i="3"/>
  <c r="DI178" i="3"/>
  <c r="DF178" i="3"/>
  <c r="DH212" i="3"/>
  <c r="DI212" i="3"/>
  <c r="DG212" i="3"/>
  <c r="DF212" i="3"/>
  <c r="DJ212" i="3" s="1"/>
  <c r="X133" i="1"/>
  <c r="CY133" i="1"/>
  <c r="CZ133" i="1"/>
  <c r="Y133" i="1"/>
  <c r="DG194" i="3"/>
  <c r="DH194" i="3"/>
  <c r="DF194" i="3"/>
  <c r="DJ194" i="3" s="1"/>
  <c r="DI194" i="3"/>
  <c r="CG26" i="1"/>
  <c r="AX65" i="1"/>
  <c r="X158" i="1"/>
  <c r="CY158" i="1"/>
  <c r="Y158" i="1"/>
  <c r="CZ158" i="1"/>
  <c r="X243" i="1"/>
  <c r="CY243" i="1"/>
  <c r="Y243" i="1"/>
  <c r="CZ243" i="1"/>
  <c r="DI352" i="3"/>
  <c r="DF352" i="3"/>
  <c r="DG352" i="3"/>
  <c r="DJ352" i="3" s="1"/>
  <c r="DH352" i="3"/>
  <c r="DG36" i="3"/>
  <c r="DH36" i="3"/>
  <c r="DI36" i="3"/>
  <c r="DJ36" i="3" s="1"/>
  <c r="DF36" i="3"/>
  <c r="DH27" i="3"/>
  <c r="DI27" i="3"/>
  <c r="DF27" i="3"/>
  <c r="DJ27" i="3" s="1"/>
  <c r="DG27" i="3"/>
  <c r="DI34" i="3"/>
  <c r="DF34" i="3"/>
  <c r="DJ34" i="3" s="1"/>
  <c r="DG34" i="3"/>
  <c r="DH34" i="3"/>
  <c r="DG80" i="3"/>
  <c r="DH80" i="3"/>
  <c r="DI80" i="3"/>
  <c r="DF80" i="3"/>
  <c r="DJ80" i="3" s="1"/>
  <c r="DG73" i="3"/>
  <c r="DH73" i="3"/>
  <c r="DF73" i="3"/>
  <c r="DJ73" i="3" s="1"/>
  <c r="DI73" i="3"/>
  <c r="DH145" i="3"/>
  <c r="DF145" i="3"/>
  <c r="DG145" i="3"/>
  <c r="DI145" i="3"/>
  <c r="DJ145" i="3" s="1"/>
  <c r="DI192" i="3"/>
  <c r="DF192" i="3"/>
  <c r="DH192" i="3"/>
  <c r="DG192" i="3"/>
  <c r="DJ192" i="3" s="1"/>
  <c r="DG217" i="3"/>
  <c r="DH217" i="3"/>
  <c r="DF217" i="3"/>
  <c r="DI217" i="3"/>
  <c r="DJ217" i="3" s="1"/>
  <c r="DG282" i="3"/>
  <c r="DH282" i="3"/>
  <c r="DI282" i="3"/>
  <c r="DF282" i="3"/>
  <c r="DJ282" i="3" s="1"/>
  <c r="DG329" i="3"/>
  <c r="DJ329" i="3" s="1"/>
  <c r="DH329" i="3"/>
  <c r="DI329" i="3"/>
  <c r="DF329" i="3"/>
  <c r="DH259" i="3"/>
  <c r="DI259" i="3"/>
  <c r="DF259" i="3"/>
  <c r="DJ259" i="3" s="1"/>
  <c r="DG259" i="3"/>
  <c r="DG270" i="3"/>
  <c r="DH270" i="3"/>
  <c r="DI270" i="3"/>
  <c r="DF270" i="3"/>
  <c r="DJ270" i="3" s="1"/>
  <c r="DH312" i="3"/>
  <c r="DI312" i="3"/>
  <c r="DF312" i="3"/>
  <c r="DJ312" i="3" s="1"/>
  <c r="DG312" i="3"/>
  <c r="X36" i="1"/>
  <c r="CY36" i="1"/>
  <c r="Y36" i="1"/>
  <c r="CZ36" i="1"/>
  <c r="DF25" i="3"/>
  <c r="DG25" i="3"/>
  <c r="DJ25" i="3" s="1"/>
  <c r="DH25" i="3"/>
  <c r="DI25" i="3"/>
  <c r="DH50" i="3"/>
  <c r="DI50" i="3"/>
  <c r="DF50" i="3"/>
  <c r="DJ50" i="3" s="1"/>
  <c r="DG50" i="3"/>
  <c r="DI367" i="3"/>
  <c r="DF367" i="3"/>
  <c r="DJ367" i="3" s="1"/>
  <c r="DG367" i="3"/>
  <c r="DH367" i="3"/>
  <c r="DH387" i="3"/>
  <c r="DI387" i="3"/>
  <c r="DF387" i="3"/>
  <c r="DG387" i="3"/>
  <c r="DJ387" i="3" s="1"/>
  <c r="DG200" i="3"/>
  <c r="DJ200" i="3" s="1"/>
  <c r="DH200" i="3"/>
  <c r="DF200" i="3"/>
  <c r="DI200" i="3"/>
  <c r="DG396" i="3"/>
  <c r="DH396" i="3"/>
  <c r="DI396" i="3"/>
  <c r="DF396" i="3"/>
  <c r="DJ396" i="3" s="1"/>
  <c r="AH26" i="1"/>
  <c r="U65" i="1"/>
  <c r="DU182" i="1"/>
  <c r="CP100" i="1"/>
  <c r="O100" i="1" s="1"/>
  <c r="GM50" i="1"/>
  <c r="GO50" i="1" s="1"/>
  <c r="CP145" i="1"/>
  <c r="O145" i="1" s="1"/>
  <c r="GM145" i="1" s="1"/>
  <c r="FR145" i="1"/>
  <c r="EV97" i="1"/>
  <c r="P207" i="1"/>
  <c r="DG231" i="3"/>
  <c r="DF231" i="3"/>
  <c r="DJ231" i="3" s="1"/>
  <c r="DH231" i="3"/>
  <c r="DI231" i="3"/>
  <c r="FY97" i="1"/>
  <c r="EP182" i="1"/>
  <c r="BC97" i="1"/>
  <c r="F198" i="1"/>
  <c r="BC356" i="1"/>
  <c r="DI268" i="3"/>
  <c r="DF268" i="3"/>
  <c r="DJ268" i="3" s="1"/>
  <c r="DG268" i="3"/>
  <c r="DH268" i="3"/>
  <c r="DG365" i="3"/>
  <c r="DH365" i="3"/>
  <c r="DI365" i="3"/>
  <c r="DF365" i="3"/>
  <c r="DJ365" i="3" s="1"/>
  <c r="FZ326" i="1"/>
  <c r="FX326" i="1"/>
  <c r="DH326" i="1"/>
  <c r="FW326" i="1"/>
  <c r="DU321" i="1"/>
  <c r="GM324" i="1"/>
  <c r="FS326" i="1" s="1"/>
  <c r="DT326" i="1"/>
  <c r="AL321" i="1"/>
  <c r="Y326" i="1"/>
  <c r="P167" i="1"/>
  <c r="Q167" i="1"/>
  <c r="R167" i="1"/>
  <c r="DG221" i="3"/>
  <c r="DJ221" i="3" s="1"/>
  <c r="DF221" i="3"/>
  <c r="DH221" i="3"/>
  <c r="DI221" i="3"/>
  <c r="DG325" i="3"/>
  <c r="DH325" i="3"/>
  <c r="DI325" i="3"/>
  <c r="DF325" i="3"/>
  <c r="DJ325" i="3" s="1"/>
  <c r="AO214" i="1"/>
  <c r="F293" i="1"/>
  <c r="S233" i="1"/>
  <c r="DF330" i="3"/>
  <c r="DJ330" i="3" s="1"/>
  <c r="DG330" i="3"/>
  <c r="DH330" i="3"/>
  <c r="DI330" i="3"/>
  <c r="F348" i="1"/>
  <c r="U321" i="1"/>
  <c r="GA321" i="1"/>
  <c r="ER326" i="1"/>
  <c r="F350" i="1"/>
  <c r="W321" i="1"/>
  <c r="ES321" i="1"/>
  <c r="P346" i="1"/>
  <c r="DI49" i="3"/>
  <c r="DF49" i="3"/>
  <c r="DJ49" i="3" s="1"/>
  <c r="DG49" i="3"/>
  <c r="DH49" i="3"/>
  <c r="DH60" i="3"/>
  <c r="DI60" i="3"/>
  <c r="DG60" i="3"/>
  <c r="DJ60" i="3" s="1"/>
  <c r="DF60" i="3"/>
  <c r="DG63" i="3"/>
  <c r="DH63" i="3"/>
  <c r="DF63" i="3"/>
  <c r="DI63" i="3"/>
  <c r="DJ63" i="3" s="1"/>
  <c r="DH76" i="3"/>
  <c r="DI76" i="3"/>
  <c r="DG76" i="3"/>
  <c r="DJ76" i="3" s="1"/>
  <c r="DF76" i="3"/>
  <c r="DH67" i="3"/>
  <c r="DI67" i="3"/>
  <c r="DJ67" i="3" s="1"/>
  <c r="DF67" i="3"/>
  <c r="DG67" i="3"/>
  <c r="DI54" i="3"/>
  <c r="DF54" i="3"/>
  <c r="DJ54" i="3" s="1"/>
  <c r="DG54" i="3"/>
  <c r="DH54" i="3"/>
  <c r="DH94" i="3"/>
  <c r="DF94" i="3"/>
  <c r="DJ94" i="3" s="1"/>
  <c r="DG94" i="3"/>
  <c r="DI94" i="3"/>
  <c r="DH123" i="3"/>
  <c r="DF123" i="3"/>
  <c r="DJ123" i="3" s="1"/>
  <c r="DG123" i="3"/>
  <c r="DI123" i="3"/>
  <c r="DI177" i="3"/>
  <c r="DJ177" i="3" s="1"/>
  <c r="DF177" i="3"/>
  <c r="DG177" i="3"/>
  <c r="DH177" i="3"/>
  <c r="DH230" i="3"/>
  <c r="DG230" i="3"/>
  <c r="DF230" i="3"/>
  <c r="DJ230" i="3" s="1"/>
  <c r="DI230" i="3"/>
  <c r="DH195" i="3"/>
  <c r="DI195" i="3"/>
  <c r="DJ195" i="3" s="1"/>
  <c r="DG195" i="3"/>
  <c r="DF195" i="3"/>
  <c r="DI220" i="3"/>
  <c r="DH220" i="3"/>
  <c r="DG220" i="3"/>
  <c r="DJ220" i="3" s="1"/>
  <c r="DF220" i="3"/>
  <c r="DI199" i="3"/>
  <c r="DJ199" i="3" s="1"/>
  <c r="DF199" i="3"/>
  <c r="DH199" i="3"/>
  <c r="DG199" i="3"/>
  <c r="DF235" i="3"/>
  <c r="DG235" i="3"/>
  <c r="DJ235" i="3" s="1"/>
  <c r="DH235" i="3"/>
  <c r="DI235" i="3"/>
  <c r="DF247" i="3"/>
  <c r="DG247" i="3"/>
  <c r="DJ247" i="3" s="1"/>
  <c r="DH247" i="3"/>
  <c r="DI247" i="3"/>
  <c r="DI197" i="3"/>
  <c r="DF197" i="3"/>
  <c r="DJ197" i="3" s="1"/>
  <c r="DH197" i="3"/>
  <c r="DG197" i="3"/>
  <c r="DG278" i="3"/>
  <c r="DH278" i="3"/>
  <c r="DI278" i="3"/>
  <c r="DF278" i="3"/>
  <c r="DJ278" i="3" s="1"/>
  <c r="DF283" i="3"/>
  <c r="DJ283" i="3" s="1"/>
  <c r="DG283" i="3"/>
  <c r="DH283" i="3"/>
  <c r="DI283" i="3"/>
  <c r="DI204" i="3"/>
  <c r="DF204" i="3"/>
  <c r="DJ204" i="3" s="1"/>
  <c r="DH204" i="3"/>
  <c r="DG204" i="3"/>
  <c r="DF289" i="3"/>
  <c r="DH289" i="3"/>
  <c r="DI289" i="3"/>
  <c r="DJ289" i="3" s="1"/>
  <c r="DG289" i="3"/>
  <c r="DF303" i="3"/>
  <c r="DJ303" i="3" s="1"/>
  <c r="DI303" i="3"/>
  <c r="DG303" i="3"/>
  <c r="DH303" i="3"/>
  <c r="DG339" i="3"/>
  <c r="DH339" i="3"/>
  <c r="DI339" i="3"/>
  <c r="DJ339" i="3" s="1"/>
  <c r="DF339" i="3"/>
  <c r="DG254" i="3"/>
  <c r="DH254" i="3"/>
  <c r="DI254" i="3"/>
  <c r="DF254" i="3"/>
  <c r="DJ254" i="3" s="1"/>
  <c r="DG260" i="3"/>
  <c r="DH260" i="3"/>
  <c r="DI260" i="3"/>
  <c r="DF260" i="3"/>
  <c r="DJ260" i="3" s="1"/>
  <c r="DF271" i="3"/>
  <c r="DJ271" i="3" s="1"/>
  <c r="DG271" i="3"/>
  <c r="DH271" i="3"/>
  <c r="DI271" i="3"/>
  <c r="DG357" i="3"/>
  <c r="DH357" i="3"/>
  <c r="DI357" i="3"/>
  <c r="DF357" i="3"/>
  <c r="DJ357" i="3" s="1"/>
  <c r="DH320" i="3"/>
  <c r="DI320" i="3"/>
  <c r="DF320" i="3"/>
  <c r="DJ320" i="3" s="1"/>
  <c r="DG320" i="3"/>
  <c r="DF360" i="3"/>
  <c r="DG360" i="3"/>
  <c r="DH360" i="3"/>
  <c r="DI360" i="3"/>
  <c r="DJ360" i="3" s="1"/>
  <c r="DW65" i="1"/>
  <c r="DH332" i="3"/>
  <c r="DI332" i="3"/>
  <c r="DF332" i="3"/>
  <c r="DJ332" i="3" s="1"/>
  <c r="DG332" i="3"/>
  <c r="DH364" i="3"/>
  <c r="DI364" i="3"/>
  <c r="DF364" i="3"/>
  <c r="DJ364" i="3" s="1"/>
  <c r="DG364" i="3"/>
  <c r="DF33" i="3"/>
  <c r="DJ33" i="3" s="1"/>
  <c r="DG33" i="3"/>
  <c r="DH33" i="3"/>
  <c r="DI33" i="3"/>
  <c r="AD65" i="1"/>
  <c r="DF23" i="3"/>
  <c r="DG23" i="3"/>
  <c r="DH23" i="3"/>
  <c r="DI23" i="3"/>
  <c r="DJ23" i="3" s="1"/>
  <c r="DH371" i="3"/>
  <c r="DI371" i="3"/>
  <c r="DF371" i="3"/>
  <c r="DG371" i="3"/>
  <c r="DJ371" i="3" s="1"/>
  <c r="DG392" i="3"/>
  <c r="DH392" i="3"/>
  <c r="DI392" i="3"/>
  <c r="DF392" i="3"/>
  <c r="DJ392" i="3" s="1"/>
  <c r="CP36" i="1"/>
  <c r="O36" i="1" s="1"/>
  <c r="GM36" i="1" s="1"/>
  <c r="GO36" i="1" s="1"/>
  <c r="DG56" i="3"/>
  <c r="DH56" i="3"/>
  <c r="DF56" i="3"/>
  <c r="DJ56" i="3" s="1"/>
  <c r="DI56" i="3"/>
  <c r="DG66" i="3"/>
  <c r="DH66" i="3"/>
  <c r="DI66" i="3"/>
  <c r="DF66" i="3"/>
  <c r="DJ66" i="3" s="1"/>
  <c r="DG128" i="3"/>
  <c r="DI128" i="3"/>
  <c r="DF128" i="3"/>
  <c r="DJ128" i="3" s="1"/>
  <c r="DH128" i="3"/>
  <c r="AO26" i="1"/>
  <c r="F69" i="1"/>
  <c r="AO356" i="1"/>
  <c r="DH375" i="3"/>
  <c r="DI375" i="3"/>
  <c r="DF375" i="3"/>
  <c r="DJ375" i="3" s="1"/>
  <c r="DG375" i="3"/>
  <c r="DI398" i="3"/>
  <c r="DF398" i="3"/>
  <c r="DJ398" i="3" s="1"/>
  <c r="DG398" i="3"/>
  <c r="DH398" i="3"/>
  <c r="DF77" i="3"/>
  <c r="DG77" i="3"/>
  <c r="DJ77" i="3" s="1"/>
  <c r="DH77" i="3"/>
  <c r="DI77" i="3"/>
  <c r="DF90" i="3"/>
  <c r="DH90" i="3"/>
  <c r="DI90" i="3"/>
  <c r="DG90" i="3"/>
  <c r="DJ90" i="3" s="1"/>
  <c r="DG111" i="3"/>
  <c r="DF111" i="3"/>
  <c r="DJ111" i="3" s="1"/>
  <c r="DH111" i="3"/>
  <c r="DI111" i="3"/>
  <c r="DI374" i="3"/>
  <c r="DF374" i="3"/>
  <c r="DJ374" i="3" s="1"/>
  <c r="DG374" i="3"/>
  <c r="DH374" i="3"/>
  <c r="DI390" i="3"/>
  <c r="DF390" i="3"/>
  <c r="DJ390" i="3" s="1"/>
  <c r="DG390" i="3"/>
  <c r="DH390" i="3"/>
  <c r="DF70" i="3"/>
  <c r="DG70" i="3"/>
  <c r="DJ70" i="3" s="1"/>
  <c r="DI70" i="3"/>
  <c r="DH70" i="3"/>
  <c r="DI103" i="3"/>
  <c r="DJ103" i="3" s="1"/>
  <c r="DG103" i="3"/>
  <c r="DH103" i="3"/>
  <c r="DF103" i="3"/>
  <c r="ET26" i="1"/>
  <c r="P78" i="1"/>
  <c r="ET356" i="1"/>
  <c r="AC65" i="1"/>
  <c r="X105" i="1"/>
  <c r="GM105" i="1" s="1"/>
  <c r="CY105" i="1"/>
  <c r="Y105" i="1"/>
  <c r="CZ105" i="1"/>
  <c r="FR120" i="1"/>
  <c r="CP120" i="1"/>
  <c r="O120" i="1" s="1"/>
  <c r="GM120" i="1" s="1"/>
  <c r="DG368" i="3"/>
  <c r="DH368" i="3"/>
  <c r="DI368" i="3"/>
  <c r="DF368" i="3"/>
  <c r="DJ368" i="3" s="1"/>
  <c r="DH399" i="3"/>
  <c r="DI399" i="3"/>
  <c r="DF399" i="3"/>
  <c r="DJ399" i="3" s="1"/>
  <c r="DG399" i="3"/>
  <c r="GM30" i="1"/>
  <c r="GO30" i="1" s="1"/>
  <c r="EB26" i="1"/>
  <c r="DO65" i="1"/>
  <c r="CI26" i="1"/>
  <c r="AZ65" i="1"/>
  <c r="AD182" i="1"/>
  <c r="GM108" i="1"/>
  <c r="GO108" i="1" s="1"/>
  <c r="X111" i="1"/>
  <c r="GM111" i="1" s="1"/>
  <c r="GO111" i="1" s="1"/>
  <c r="CY111" i="1"/>
  <c r="CZ111" i="1"/>
  <c r="Y111" i="1"/>
  <c r="CP56" i="1"/>
  <c r="O56" i="1" s="1"/>
  <c r="GM56" i="1" s="1"/>
  <c r="GN56" i="1" s="1"/>
  <c r="X131" i="1"/>
  <c r="GM131" i="1" s="1"/>
  <c r="GO131" i="1" s="1"/>
  <c r="CY131" i="1"/>
  <c r="Y131" i="1"/>
  <c r="CZ131" i="1"/>
  <c r="DF218" i="3"/>
  <c r="DJ218" i="3" s="1"/>
  <c r="DG218" i="3"/>
  <c r="DI218" i="3"/>
  <c r="DH218" i="3"/>
  <c r="DF255" i="3"/>
  <c r="DJ255" i="3" s="1"/>
  <c r="DG255" i="3"/>
  <c r="DH255" i="3"/>
  <c r="DI255" i="3"/>
  <c r="FR117" i="1"/>
  <c r="CP117" i="1"/>
  <c r="O117" i="1" s="1"/>
  <c r="GM117" i="1" s="1"/>
  <c r="CP147" i="1"/>
  <c r="O147" i="1" s="1"/>
  <c r="GM147" i="1" s="1"/>
  <c r="FR147" i="1"/>
  <c r="CP155" i="1"/>
  <c r="O155" i="1" s="1"/>
  <c r="GM155" i="1" s="1"/>
  <c r="FR155" i="1"/>
  <c r="DI258" i="3"/>
  <c r="DF258" i="3"/>
  <c r="DJ258" i="3" s="1"/>
  <c r="DG258" i="3"/>
  <c r="DH258" i="3"/>
  <c r="GB26" i="1"/>
  <c r="ES65" i="1"/>
  <c r="Y59" i="1"/>
  <c r="CZ59" i="1"/>
  <c r="X59" i="1"/>
  <c r="CY59" i="1"/>
  <c r="DF155" i="3"/>
  <c r="DH155" i="3"/>
  <c r="DI155" i="3"/>
  <c r="DJ155" i="3" s="1"/>
  <c r="DG155" i="3"/>
  <c r="CP128" i="1"/>
  <c r="O128" i="1" s="1"/>
  <c r="GM128" i="1" s="1"/>
  <c r="GO128" i="1" s="1"/>
  <c r="CP133" i="1"/>
  <c r="O133" i="1" s="1"/>
  <c r="GM133" i="1" s="1"/>
  <c r="DG185" i="3"/>
  <c r="DJ185" i="3" s="1"/>
  <c r="DH185" i="3"/>
  <c r="DI185" i="3"/>
  <c r="DF185" i="3"/>
  <c r="DG213" i="3"/>
  <c r="DH213" i="3"/>
  <c r="DF213" i="3"/>
  <c r="DJ213" i="3" s="1"/>
  <c r="DI213" i="3"/>
  <c r="DG228" i="3"/>
  <c r="DJ228" i="3" s="1"/>
  <c r="DF228" i="3"/>
  <c r="DI228" i="3"/>
  <c r="DH228" i="3"/>
  <c r="X62" i="1"/>
  <c r="CY62" i="1"/>
  <c r="CZ62" i="1"/>
  <c r="Y62" i="1"/>
  <c r="DH120" i="3"/>
  <c r="DF120" i="3"/>
  <c r="DG120" i="3"/>
  <c r="DJ120" i="3" s="1"/>
  <c r="DI120" i="3"/>
  <c r="GM114" i="1"/>
  <c r="CP143" i="1"/>
  <c r="O143" i="1" s="1"/>
  <c r="GM143" i="1" s="1"/>
  <c r="GO143" i="1" s="1"/>
  <c r="DH193" i="3"/>
  <c r="DI193" i="3"/>
  <c r="DG193" i="3"/>
  <c r="DF193" i="3"/>
  <c r="DJ193" i="3" s="1"/>
  <c r="X166" i="1"/>
  <c r="CY166" i="1"/>
  <c r="Y166" i="1"/>
  <c r="CZ166" i="1"/>
  <c r="FR170" i="1"/>
  <c r="CP170" i="1"/>
  <c r="O170" i="1" s="1"/>
  <c r="GM170" i="1" s="1"/>
  <c r="CP177" i="1"/>
  <c r="O177" i="1" s="1"/>
  <c r="GM177" i="1" s="1"/>
  <c r="GN177" i="1" s="1"/>
  <c r="DI284" i="3"/>
  <c r="DG284" i="3"/>
  <c r="DF284" i="3"/>
  <c r="DJ284" i="3" s="1"/>
  <c r="DH284" i="3"/>
  <c r="DI292" i="3"/>
  <c r="DG292" i="3"/>
  <c r="DF292" i="3"/>
  <c r="DJ292" i="3" s="1"/>
  <c r="DH292" i="3"/>
  <c r="DG298" i="3"/>
  <c r="DI298" i="3"/>
  <c r="DF298" i="3"/>
  <c r="DJ298" i="3" s="1"/>
  <c r="DH298" i="3"/>
  <c r="AQ26" i="1"/>
  <c r="F75" i="1"/>
  <c r="AQ356" i="1"/>
  <c r="FR109" i="1"/>
  <c r="CP109" i="1"/>
  <c r="O109" i="1" s="1"/>
  <c r="GM109" i="1" s="1"/>
  <c r="DF196" i="3"/>
  <c r="DG196" i="3"/>
  <c r="DJ196" i="3" s="1"/>
  <c r="DI196" i="3"/>
  <c r="DH196" i="3"/>
  <c r="GM226" i="1"/>
  <c r="GO226" i="1" s="1"/>
  <c r="Q231" i="1"/>
  <c r="R231" i="1"/>
  <c r="GX231" i="1"/>
  <c r="P231" i="1"/>
  <c r="Q247" i="1"/>
  <c r="R247" i="1"/>
  <c r="P247" i="1"/>
  <c r="EB97" i="1"/>
  <c r="DO182" i="1"/>
  <c r="CP161" i="1"/>
  <c r="O161" i="1" s="1"/>
  <c r="GM161" i="1" s="1"/>
  <c r="GO161" i="1" s="1"/>
  <c r="GM220" i="1"/>
  <c r="GO220" i="1" s="1"/>
  <c r="DI311" i="3"/>
  <c r="DF311" i="3"/>
  <c r="DJ311" i="3" s="1"/>
  <c r="DG311" i="3"/>
  <c r="DH311" i="3"/>
  <c r="DG313" i="3"/>
  <c r="DH313" i="3"/>
  <c r="DI313" i="3"/>
  <c r="DF313" i="3"/>
  <c r="DJ313" i="3" s="1"/>
  <c r="FV97" i="1"/>
  <c r="EM182" i="1"/>
  <c r="W231" i="1"/>
  <c r="V247" i="1"/>
  <c r="DF306" i="3"/>
  <c r="DJ306" i="3" s="1"/>
  <c r="DG306" i="3"/>
  <c r="DH306" i="3"/>
  <c r="DI306" i="3"/>
  <c r="DG380" i="3"/>
  <c r="DH380" i="3"/>
  <c r="DI380" i="3"/>
  <c r="DF380" i="3"/>
  <c r="DJ380" i="3" s="1"/>
  <c r="DG400" i="3"/>
  <c r="DH400" i="3"/>
  <c r="DI400" i="3"/>
  <c r="DF400" i="3"/>
  <c r="DJ400" i="3" s="1"/>
  <c r="Q285" i="1"/>
  <c r="R285" i="1"/>
  <c r="S285" i="1"/>
  <c r="P285" i="1"/>
  <c r="CP285" i="1" s="1"/>
  <c r="O285" i="1" s="1"/>
  <c r="EG214" i="1"/>
  <c r="P293" i="1"/>
  <c r="EU321" i="1"/>
  <c r="P342" i="1"/>
  <c r="DP326" i="1"/>
  <c r="EC321" i="1"/>
  <c r="AP214" i="1"/>
  <c r="F298" i="1"/>
  <c r="EV26" i="1"/>
  <c r="EV356" i="1"/>
  <c r="P90" i="1"/>
  <c r="X142" i="1"/>
  <c r="Y142" i="1"/>
  <c r="CY142" i="1"/>
  <c r="CZ142" i="1"/>
  <c r="DF358" i="3"/>
  <c r="DJ358" i="3" s="1"/>
  <c r="DG358" i="3"/>
  <c r="DH358" i="3"/>
  <c r="DI358" i="3"/>
  <c r="Y282" i="1"/>
  <c r="CZ282" i="1"/>
  <c r="X282" i="1"/>
  <c r="GM282" i="1" s="1"/>
  <c r="GO282" i="1" s="1"/>
  <c r="CY282" i="1"/>
  <c r="BD214" i="1"/>
  <c r="F314" i="1"/>
  <c r="AX326" i="1"/>
  <c r="CG321" i="1"/>
  <c r="GM152" i="1"/>
  <c r="GM244" i="1"/>
  <c r="GO244" i="1" s="1"/>
  <c r="DV321" i="1"/>
  <c r="DI326" i="1"/>
  <c r="GM148" i="1"/>
  <c r="CP165" i="1"/>
  <c r="O165" i="1" s="1"/>
  <c r="X216" i="1"/>
  <c r="CY216" i="1"/>
  <c r="Y216" i="1"/>
  <c r="CZ216" i="1"/>
  <c r="X252" i="1"/>
  <c r="CY252" i="1"/>
  <c r="Y252" i="1"/>
  <c r="CZ252" i="1"/>
  <c r="DF326" i="3"/>
  <c r="DJ326" i="3" s="1"/>
  <c r="DG326" i="3"/>
  <c r="DH326" i="3"/>
  <c r="DI326" i="3"/>
  <c r="CP270" i="1"/>
  <c r="O270" i="1" s="1"/>
  <c r="F336" i="1"/>
  <c r="AQ321" i="1"/>
  <c r="AQ97" i="1"/>
  <c r="F192" i="1"/>
  <c r="CG214" i="1"/>
  <c r="AX289" i="1"/>
  <c r="V285" i="1"/>
  <c r="P350" i="1"/>
  <c r="DO321" i="1"/>
  <c r="V321" i="1"/>
  <c r="F349" i="1"/>
  <c r="T231" i="1"/>
  <c r="T247" i="1"/>
  <c r="W285" i="1"/>
  <c r="EH321" i="1"/>
  <c r="P335" i="1"/>
  <c r="DN321" i="1"/>
  <c r="P349" i="1"/>
  <c r="P353" i="1"/>
  <c r="DQ321" i="1"/>
  <c r="GX247" i="1"/>
  <c r="DG14" i="3"/>
  <c r="DH14" i="3"/>
  <c r="DI14" i="3"/>
  <c r="DJ14" i="3" s="1"/>
  <c r="DF14" i="3"/>
  <c r="DH106" i="3"/>
  <c r="DF106" i="3"/>
  <c r="DJ106" i="3" s="1"/>
  <c r="DG106" i="3"/>
  <c r="DI106" i="3"/>
  <c r="DI118" i="3"/>
  <c r="DG118" i="3"/>
  <c r="DH118" i="3"/>
  <c r="DF118" i="3"/>
  <c r="DJ118" i="3" s="1"/>
  <c r="DF112" i="3"/>
  <c r="DJ112" i="3" s="1"/>
  <c r="DI112" i="3"/>
  <c r="DG112" i="3"/>
  <c r="DH112" i="3"/>
  <c r="DI187" i="3"/>
  <c r="DF187" i="3"/>
  <c r="DJ187" i="3" s="1"/>
  <c r="DH187" i="3"/>
  <c r="DG187" i="3"/>
  <c r="DF276" i="3"/>
  <c r="DG276" i="3"/>
  <c r="DJ276" i="3" s="1"/>
  <c r="DH276" i="3"/>
  <c r="DI276" i="3"/>
  <c r="DH295" i="3"/>
  <c r="DF295" i="3"/>
  <c r="DJ295" i="3" s="1"/>
  <c r="DG295" i="3"/>
  <c r="DI295" i="3"/>
  <c r="DF265" i="3"/>
  <c r="DG265" i="3"/>
  <c r="DH265" i="3"/>
  <c r="DI265" i="3"/>
  <c r="DJ265" i="3" s="1"/>
  <c r="DF300" i="3"/>
  <c r="DH300" i="3"/>
  <c r="DG300" i="3"/>
  <c r="DJ300" i="3" s="1"/>
  <c r="DI300" i="3"/>
  <c r="DH356" i="3"/>
  <c r="DI356" i="3"/>
  <c r="DF356" i="3"/>
  <c r="DJ356" i="3" s="1"/>
  <c r="DG356" i="3"/>
  <c r="X34" i="1"/>
  <c r="GM34" i="1" s="1"/>
  <c r="GO34" i="1" s="1"/>
  <c r="CY34" i="1"/>
  <c r="Y34" i="1"/>
  <c r="CZ34" i="1"/>
  <c r="AF65" i="1"/>
  <c r="DG32" i="3"/>
  <c r="DH32" i="3"/>
  <c r="DI32" i="3"/>
  <c r="DF32" i="3"/>
  <c r="DJ32" i="3" s="1"/>
  <c r="DH45" i="3"/>
  <c r="DI45" i="3"/>
  <c r="DJ45" i="3" s="1"/>
  <c r="DF45" i="3"/>
  <c r="DG45" i="3"/>
  <c r="DG384" i="3"/>
  <c r="DH384" i="3"/>
  <c r="DI384" i="3"/>
  <c r="DF384" i="3"/>
  <c r="DJ384" i="3" s="1"/>
  <c r="DH127" i="3"/>
  <c r="DF127" i="3"/>
  <c r="DG127" i="3"/>
  <c r="DJ127" i="3" s="1"/>
  <c r="DI127" i="3"/>
  <c r="DH391" i="3"/>
  <c r="DI391" i="3"/>
  <c r="DF391" i="3"/>
  <c r="DJ391" i="3" s="1"/>
  <c r="DG391" i="3"/>
  <c r="DH74" i="3"/>
  <c r="DI74" i="3"/>
  <c r="DJ74" i="3" s="1"/>
  <c r="DG74" i="3"/>
  <c r="DF74" i="3"/>
  <c r="DF109" i="3"/>
  <c r="DI109" i="3"/>
  <c r="DH109" i="3"/>
  <c r="DG109" i="3"/>
  <c r="DJ109" i="3" s="1"/>
  <c r="DF85" i="3"/>
  <c r="DG85" i="3"/>
  <c r="DJ85" i="3" s="1"/>
  <c r="DH85" i="3"/>
  <c r="DI85" i="3"/>
  <c r="DG104" i="3"/>
  <c r="DJ104" i="3" s="1"/>
  <c r="DI104" i="3"/>
  <c r="DF104" i="3"/>
  <c r="DH104" i="3"/>
  <c r="DI115" i="3"/>
  <c r="DJ115" i="3" s="1"/>
  <c r="DH115" i="3"/>
  <c r="DF115" i="3"/>
  <c r="DG115" i="3"/>
  <c r="EH26" i="1"/>
  <c r="P74" i="1"/>
  <c r="AJ26" i="1"/>
  <c r="W65" i="1"/>
  <c r="FR119" i="1"/>
  <c r="CP119" i="1"/>
  <c r="O119" i="1" s="1"/>
  <c r="GM119" i="1" s="1"/>
  <c r="DH251" i="3"/>
  <c r="DI251" i="3"/>
  <c r="DJ251" i="3" s="1"/>
  <c r="DF251" i="3"/>
  <c r="DG251" i="3"/>
  <c r="CP153" i="1"/>
  <c r="O153" i="1" s="1"/>
  <c r="GM153" i="1" s="1"/>
  <c r="FR153" i="1"/>
  <c r="DM26" i="1"/>
  <c r="P87" i="1"/>
  <c r="DY97" i="1"/>
  <c r="DL182" i="1"/>
  <c r="X160" i="1"/>
  <c r="GM160" i="1" s="1"/>
  <c r="GN160" i="1" s="1"/>
  <c r="CY160" i="1"/>
  <c r="Y160" i="1"/>
  <c r="CZ160" i="1"/>
  <c r="DI315" i="3"/>
  <c r="DF315" i="3"/>
  <c r="DJ315" i="3" s="1"/>
  <c r="DG315" i="3"/>
  <c r="DH315" i="3"/>
  <c r="Y231" i="1"/>
  <c r="CZ231" i="1"/>
  <c r="X231" i="1"/>
  <c r="CY231" i="1"/>
  <c r="DX289" i="1"/>
  <c r="DG302" i="3"/>
  <c r="DI302" i="3"/>
  <c r="DF302" i="3"/>
  <c r="DJ302" i="3" s="1"/>
  <c r="DH302" i="3"/>
  <c r="DI363" i="3"/>
  <c r="DF363" i="3"/>
  <c r="DJ363" i="3" s="1"/>
  <c r="DG363" i="3"/>
  <c r="DH363" i="3"/>
  <c r="BC214" i="1"/>
  <c r="F305" i="1"/>
  <c r="DF370" i="3"/>
  <c r="DG370" i="3"/>
  <c r="DJ370" i="3" s="1"/>
  <c r="DH370" i="3"/>
  <c r="DI370" i="3"/>
  <c r="DI317" i="3"/>
  <c r="DJ317" i="3" s="1"/>
  <c r="DF317" i="3"/>
  <c r="DG317" i="3"/>
  <c r="DH317" i="3"/>
  <c r="GM48" i="1"/>
  <c r="GN48" i="1" s="1"/>
  <c r="DF225" i="3"/>
  <c r="DJ225" i="3" s="1"/>
  <c r="DI225" i="3"/>
  <c r="DG225" i="3"/>
  <c r="DH225" i="3"/>
  <c r="GM246" i="1"/>
  <c r="GO246" i="1" s="1"/>
  <c r="DI340" i="3"/>
  <c r="DF340" i="3"/>
  <c r="DG340" i="3"/>
  <c r="DJ340" i="3" s="1"/>
  <c r="DH340" i="3"/>
  <c r="ET321" i="1"/>
  <c r="P339" i="1"/>
  <c r="CI321" i="1"/>
  <c r="AZ326" i="1"/>
  <c r="AJ214" i="1"/>
  <c r="W289" i="1"/>
  <c r="DG40" i="3"/>
  <c r="DH40" i="3"/>
  <c r="DI40" i="3"/>
  <c r="DJ40" i="3" s="1"/>
  <c r="DF40" i="3"/>
  <c r="DH24" i="3"/>
  <c r="DI24" i="3"/>
  <c r="DF24" i="3"/>
  <c r="DG24" i="3"/>
  <c r="DJ24" i="3" s="1"/>
  <c r="DI51" i="3"/>
  <c r="DJ51" i="3" s="1"/>
  <c r="DF51" i="3"/>
  <c r="DG51" i="3"/>
  <c r="DH51" i="3"/>
  <c r="DG52" i="3"/>
  <c r="DJ52" i="3" s="1"/>
  <c r="DH52" i="3"/>
  <c r="DI52" i="3"/>
  <c r="DF52" i="3"/>
  <c r="DH55" i="3"/>
  <c r="DI55" i="3"/>
  <c r="DF55" i="3"/>
  <c r="DJ55" i="3" s="1"/>
  <c r="DG55" i="3"/>
  <c r="DH84" i="3"/>
  <c r="DI84" i="3"/>
  <c r="DG84" i="3"/>
  <c r="DJ84" i="3" s="1"/>
  <c r="DF84" i="3"/>
  <c r="DH79" i="3"/>
  <c r="DI79" i="3"/>
  <c r="DF79" i="3"/>
  <c r="DJ79" i="3" s="1"/>
  <c r="DG79" i="3"/>
  <c r="DI97" i="3"/>
  <c r="DG97" i="3"/>
  <c r="DJ97" i="3" s="1"/>
  <c r="DH97" i="3"/>
  <c r="DF97" i="3"/>
  <c r="DI78" i="3"/>
  <c r="DF78" i="3"/>
  <c r="DJ78" i="3" s="1"/>
  <c r="DG78" i="3"/>
  <c r="DH78" i="3"/>
  <c r="DI105" i="3"/>
  <c r="DG105" i="3"/>
  <c r="DJ105" i="3" s="1"/>
  <c r="DH105" i="3"/>
  <c r="DF105" i="3"/>
  <c r="DH108" i="3"/>
  <c r="DG108" i="3"/>
  <c r="DI108" i="3"/>
  <c r="DJ108" i="3" s="1"/>
  <c r="DF108" i="3"/>
  <c r="DH89" i="3"/>
  <c r="DF89" i="3"/>
  <c r="DG89" i="3"/>
  <c r="DI89" i="3"/>
  <c r="DJ89" i="3" s="1"/>
  <c r="DI130" i="3"/>
  <c r="DG130" i="3"/>
  <c r="DH130" i="3"/>
  <c r="DF130" i="3"/>
  <c r="DJ130" i="3" s="1"/>
  <c r="DH133" i="3"/>
  <c r="DF133" i="3"/>
  <c r="DG133" i="3"/>
  <c r="DI133" i="3"/>
  <c r="DJ133" i="3" s="1"/>
  <c r="DH114" i="3"/>
  <c r="DG114" i="3"/>
  <c r="DI114" i="3"/>
  <c r="DJ114" i="3" s="1"/>
  <c r="DF114" i="3"/>
  <c r="DI161" i="3"/>
  <c r="DJ161" i="3" s="1"/>
  <c r="DF161" i="3"/>
  <c r="DG161" i="3"/>
  <c r="DH161" i="3"/>
  <c r="DI169" i="3"/>
  <c r="DJ169" i="3" s="1"/>
  <c r="DF169" i="3"/>
  <c r="DG169" i="3"/>
  <c r="DH169" i="3"/>
  <c r="DI179" i="3"/>
  <c r="DF179" i="3"/>
  <c r="DG179" i="3"/>
  <c r="DJ179" i="3" s="1"/>
  <c r="DH179" i="3"/>
  <c r="DI159" i="3"/>
  <c r="DF159" i="3"/>
  <c r="DJ159" i="3" s="1"/>
  <c r="DG159" i="3"/>
  <c r="DH159" i="3"/>
  <c r="DH209" i="3"/>
  <c r="DI209" i="3"/>
  <c r="DG209" i="3"/>
  <c r="DJ209" i="3" s="1"/>
  <c r="DF209" i="3"/>
  <c r="DG191" i="3"/>
  <c r="DH191" i="3"/>
  <c r="DF191" i="3"/>
  <c r="DI191" i="3"/>
  <c r="DJ191" i="3" s="1"/>
  <c r="DI211" i="3"/>
  <c r="DF211" i="3"/>
  <c r="DJ211" i="3" s="1"/>
  <c r="DH211" i="3"/>
  <c r="DG211" i="3"/>
  <c r="DI222" i="3"/>
  <c r="DH222" i="3"/>
  <c r="DG222" i="3"/>
  <c r="DJ222" i="3" s="1"/>
  <c r="DF222" i="3"/>
  <c r="DF166" i="3"/>
  <c r="DJ166" i="3" s="1"/>
  <c r="DG166" i="3"/>
  <c r="DH166" i="3"/>
  <c r="DI166" i="3"/>
  <c r="DI201" i="3"/>
  <c r="DF201" i="3"/>
  <c r="DH201" i="3"/>
  <c r="DG201" i="3"/>
  <c r="DJ201" i="3" s="1"/>
  <c r="DI227" i="3"/>
  <c r="DH227" i="3"/>
  <c r="DF227" i="3"/>
  <c r="DG227" i="3"/>
  <c r="DJ227" i="3" s="1"/>
  <c r="DF252" i="3"/>
  <c r="DG252" i="3"/>
  <c r="DJ252" i="3" s="1"/>
  <c r="DH252" i="3"/>
  <c r="DI252" i="3"/>
  <c r="DH223" i="3"/>
  <c r="DG223" i="3"/>
  <c r="DF223" i="3"/>
  <c r="DJ223" i="3" s="1"/>
  <c r="DI223" i="3"/>
  <c r="DF279" i="3"/>
  <c r="DJ279" i="3" s="1"/>
  <c r="DG279" i="3"/>
  <c r="DH279" i="3"/>
  <c r="DI279" i="3"/>
  <c r="DF291" i="3"/>
  <c r="DH291" i="3"/>
  <c r="DG291" i="3"/>
  <c r="DJ291" i="3" s="1"/>
  <c r="DI291" i="3"/>
  <c r="DH249" i="3"/>
  <c r="DI249" i="3"/>
  <c r="DF249" i="3"/>
  <c r="DJ249" i="3" s="1"/>
  <c r="DG249" i="3"/>
  <c r="DG318" i="3"/>
  <c r="DJ318" i="3" s="1"/>
  <c r="DH318" i="3"/>
  <c r="DI318" i="3"/>
  <c r="DF318" i="3"/>
  <c r="DG341" i="3"/>
  <c r="DJ341" i="3" s="1"/>
  <c r="DH341" i="3"/>
  <c r="DI341" i="3"/>
  <c r="DF341" i="3"/>
  <c r="DG226" i="3"/>
  <c r="DF226" i="3"/>
  <c r="DI226" i="3"/>
  <c r="DJ226" i="3" s="1"/>
  <c r="DH226" i="3"/>
  <c r="DF257" i="3"/>
  <c r="DG257" i="3"/>
  <c r="DH257" i="3"/>
  <c r="DI257" i="3"/>
  <c r="DJ257" i="3" s="1"/>
  <c r="DF285" i="3"/>
  <c r="DH285" i="3"/>
  <c r="DG285" i="3"/>
  <c r="DI285" i="3"/>
  <c r="DJ285" i="3" s="1"/>
  <c r="DG262" i="3"/>
  <c r="DH262" i="3"/>
  <c r="DI262" i="3"/>
  <c r="DF262" i="3"/>
  <c r="DJ262" i="3" s="1"/>
  <c r="DH273" i="3"/>
  <c r="DI273" i="3"/>
  <c r="DF273" i="3"/>
  <c r="DJ273" i="3" s="1"/>
  <c r="DG273" i="3"/>
  <c r="DH304" i="3"/>
  <c r="DI304" i="3"/>
  <c r="DF304" i="3"/>
  <c r="DJ304" i="3" s="1"/>
  <c r="DG304" i="3"/>
  <c r="DH344" i="3"/>
  <c r="DI344" i="3"/>
  <c r="DF344" i="3"/>
  <c r="DJ344" i="3" s="1"/>
  <c r="DG344" i="3"/>
  <c r="DH322" i="3"/>
  <c r="DI322" i="3"/>
  <c r="DJ322" i="3" s="1"/>
  <c r="DF322" i="3"/>
  <c r="DG322" i="3"/>
  <c r="DG345" i="3"/>
  <c r="DH345" i="3"/>
  <c r="DI345" i="3"/>
  <c r="DF345" i="3"/>
  <c r="DJ345" i="3" s="1"/>
  <c r="DF30" i="3"/>
  <c r="DG30" i="3"/>
  <c r="DJ30" i="3" s="1"/>
  <c r="DH30" i="3"/>
  <c r="DI30" i="3"/>
  <c r="DH316" i="3"/>
  <c r="DI316" i="3"/>
  <c r="DF316" i="3"/>
  <c r="DJ316" i="3" s="1"/>
  <c r="DG316" i="3"/>
  <c r="CP29" i="1"/>
  <c r="O29" i="1" s="1"/>
  <c r="DU65" i="1"/>
  <c r="DG28" i="3"/>
  <c r="DH28" i="3"/>
  <c r="DI28" i="3"/>
  <c r="DF28" i="3"/>
  <c r="DJ28" i="3" s="1"/>
  <c r="DG376" i="3"/>
  <c r="DH376" i="3"/>
  <c r="DI376" i="3"/>
  <c r="DF376" i="3"/>
  <c r="DJ376" i="3" s="1"/>
  <c r="EU26" i="1"/>
  <c r="P81" i="1"/>
  <c r="EU356" i="1"/>
  <c r="DH164" i="3"/>
  <c r="DI164" i="3"/>
  <c r="DF164" i="3"/>
  <c r="DJ164" i="3" s="1"/>
  <c r="DG164" i="3"/>
  <c r="DH383" i="3"/>
  <c r="DI383" i="3"/>
  <c r="DF383" i="3"/>
  <c r="DJ383" i="3" s="1"/>
  <c r="DG383" i="3"/>
  <c r="Y42" i="1"/>
  <c r="CZ42" i="1"/>
  <c r="X42" i="1"/>
  <c r="CY42" i="1"/>
  <c r="DF75" i="3"/>
  <c r="DG75" i="3"/>
  <c r="DJ75" i="3" s="1"/>
  <c r="DH75" i="3"/>
  <c r="DI75" i="3"/>
  <c r="DH379" i="3"/>
  <c r="DI379" i="3"/>
  <c r="DF379" i="3"/>
  <c r="DG379" i="3"/>
  <c r="DJ379" i="3" s="1"/>
  <c r="DH395" i="3"/>
  <c r="DI395" i="3"/>
  <c r="DF395" i="3"/>
  <c r="DG395" i="3"/>
  <c r="DJ395" i="3" s="1"/>
  <c r="DF68" i="3"/>
  <c r="DG68" i="3"/>
  <c r="DJ68" i="3" s="1"/>
  <c r="DI68" i="3"/>
  <c r="DH68" i="3"/>
  <c r="GM38" i="1"/>
  <c r="GO38" i="1" s="1"/>
  <c r="AE65" i="1"/>
  <c r="DF62" i="3"/>
  <c r="DJ62" i="3" s="1"/>
  <c r="DG62" i="3"/>
  <c r="DI62" i="3"/>
  <c r="DH62" i="3"/>
  <c r="Y47" i="1"/>
  <c r="CZ47" i="1"/>
  <c r="X47" i="1"/>
  <c r="CY47" i="1"/>
  <c r="AP26" i="1"/>
  <c r="F74" i="1"/>
  <c r="DG206" i="3"/>
  <c r="DH206" i="3"/>
  <c r="DF206" i="3"/>
  <c r="DJ206" i="3" s="1"/>
  <c r="DI206" i="3"/>
  <c r="DH205" i="3"/>
  <c r="DI205" i="3"/>
  <c r="DG205" i="3"/>
  <c r="DF205" i="3"/>
  <c r="DJ205" i="3" s="1"/>
  <c r="DH401" i="3"/>
  <c r="DI401" i="3"/>
  <c r="DJ401" i="3" s="1"/>
  <c r="DF401" i="3"/>
  <c r="DG401" i="3"/>
  <c r="FR121" i="1"/>
  <c r="CP121" i="1"/>
  <c r="O121" i="1" s="1"/>
  <c r="GM121" i="1" s="1"/>
  <c r="GM39" i="1"/>
  <c r="GO39" i="1" s="1"/>
  <c r="GM54" i="1"/>
  <c r="GN54" i="1" s="1"/>
  <c r="GM99" i="1"/>
  <c r="DW182" i="1"/>
  <c r="GM129" i="1"/>
  <c r="X135" i="1"/>
  <c r="Y135" i="1"/>
  <c r="CZ135" i="1"/>
  <c r="CY135" i="1"/>
  <c r="DI256" i="3"/>
  <c r="DF256" i="3"/>
  <c r="DJ256" i="3" s="1"/>
  <c r="DG256" i="3"/>
  <c r="DH256" i="3"/>
  <c r="AO97" i="1"/>
  <c r="F186" i="1"/>
  <c r="DH261" i="3"/>
  <c r="DI261" i="3"/>
  <c r="DJ261" i="3" s="1"/>
  <c r="DF261" i="3"/>
  <c r="DG261" i="3"/>
  <c r="X125" i="1"/>
  <c r="GM125" i="1" s="1"/>
  <c r="CY125" i="1"/>
  <c r="CZ125" i="1"/>
  <c r="Y125" i="1"/>
  <c r="CP136" i="1"/>
  <c r="O136" i="1" s="1"/>
  <c r="GM136" i="1" s="1"/>
  <c r="GO136" i="1" s="1"/>
  <c r="Y139" i="1"/>
  <c r="CY139" i="1"/>
  <c r="CZ139" i="1"/>
  <c r="X139" i="1"/>
  <c r="GM139" i="1" s="1"/>
  <c r="GO139" i="1" s="1"/>
  <c r="CP149" i="1"/>
  <c r="O149" i="1" s="1"/>
  <c r="GM149" i="1" s="1"/>
  <c r="FR149" i="1"/>
  <c r="GM157" i="1"/>
  <c r="GN157" i="1" s="1"/>
  <c r="DI248" i="3"/>
  <c r="DF248" i="3"/>
  <c r="DJ248" i="3" s="1"/>
  <c r="DG248" i="3"/>
  <c r="DH248" i="3"/>
  <c r="DG157" i="3"/>
  <c r="DJ157" i="3" s="1"/>
  <c r="DH157" i="3"/>
  <c r="DI157" i="3"/>
  <c r="DF157" i="3"/>
  <c r="DF156" i="3"/>
  <c r="DG156" i="3"/>
  <c r="DJ156" i="3" s="1"/>
  <c r="DI156" i="3"/>
  <c r="DH156" i="3"/>
  <c r="GM118" i="1"/>
  <c r="CP135" i="1"/>
  <c r="O135" i="1" s="1"/>
  <c r="GM135" i="1" s="1"/>
  <c r="GO135" i="1" s="1"/>
  <c r="DH180" i="3"/>
  <c r="DI180" i="3"/>
  <c r="DF180" i="3"/>
  <c r="DJ180" i="3" s="1"/>
  <c r="DG180" i="3"/>
  <c r="DG183" i="3"/>
  <c r="DH183" i="3"/>
  <c r="DI183" i="3"/>
  <c r="DJ183" i="3" s="1"/>
  <c r="DF183" i="3"/>
  <c r="DF214" i="3"/>
  <c r="DJ214" i="3" s="1"/>
  <c r="DG214" i="3"/>
  <c r="DI214" i="3"/>
  <c r="DH214" i="3"/>
  <c r="X159" i="1"/>
  <c r="CY159" i="1"/>
  <c r="Y159" i="1"/>
  <c r="CZ159" i="1"/>
  <c r="FR169" i="1"/>
  <c r="CP169" i="1"/>
  <c r="O169" i="1" s="1"/>
  <c r="GM169" i="1" s="1"/>
  <c r="FR176" i="1"/>
  <c r="CP176" i="1"/>
  <c r="O176" i="1" s="1"/>
  <c r="GM176" i="1" s="1"/>
  <c r="EG97" i="1"/>
  <c r="P186" i="1"/>
  <c r="DI280" i="3"/>
  <c r="DF280" i="3"/>
  <c r="DJ280" i="3" s="1"/>
  <c r="DG280" i="3"/>
  <c r="DH280" i="3"/>
  <c r="DH277" i="3"/>
  <c r="DI277" i="3"/>
  <c r="DF277" i="3"/>
  <c r="DG277" i="3"/>
  <c r="DJ277" i="3" s="1"/>
  <c r="DI296" i="3"/>
  <c r="DJ296" i="3" s="1"/>
  <c r="DG296" i="3"/>
  <c r="DF296" i="3"/>
  <c r="DH296" i="3"/>
  <c r="GM116" i="1"/>
  <c r="DI288" i="3"/>
  <c r="DG288" i="3"/>
  <c r="DF288" i="3"/>
  <c r="DJ288" i="3" s="1"/>
  <c r="DH288" i="3"/>
  <c r="DH286" i="3"/>
  <c r="DF286" i="3"/>
  <c r="DG286" i="3"/>
  <c r="DJ286" i="3" s="1"/>
  <c r="DI286" i="3"/>
  <c r="R249" i="1"/>
  <c r="Q249" i="1"/>
  <c r="P249" i="1"/>
  <c r="CP249" i="1" s="1"/>
  <c r="O249" i="1" s="1"/>
  <c r="FR97" i="1"/>
  <c r="EI182" i="1"/>
  <c r="CP159" i="1"/>
  <c r="O159" i="1" s="1"/>
  <c r="GM159" i="1" s="1"/>
  <c r="GN159" i="1" s="1"/>
  <c r="S167" i="1"/>
  <c r="CP168" i="1"/>
  <c r="O168" i="1" s="1"/>
  <c r="X225" i="1"/>
  <c r="GM225" i="1" s="1"/>
  <c r="GO225" i="1" s="1"/>
  <c r="Y225" i="1"/>
  <c r="CY225" i="1"/>
  <c r="CZ225" i="1"/>
  <c r="AE289" i="1"/>
  <c r="DH266" i="3"/>
  <c r="DI266" i="3"/>
  <c r="DF266" i="3"/>
  <c r="DG266" i="3"/>
  <c r="DJ266" i="3" s="1"/>
  <c r="AE182" i="1"/>
  <c r="GM232" i="1"/>
  <c r="GO232" i="1" s="1"/>
  <c r="W249" i="1"/>
  <c r="DG305" i="3"/>
  <c r="DH305" i="3"/>
  <c r="DI305" i="3"/>
  <c r="DF305" i="3"/>
  <c r="DJ305" i="3" s="1"/>
  <c r="DH301" i="3"/>
  <c r="DF301" i="3"/>
  <c r="DI301" i="3"/>
  <c r="DG301" i="3"/>
  <c r="DJ301" i="3" s="1"/>
  <c r="GM251" i="1"/>
  <c r="GO251" i="1" s="1"/>
  <c r="DF366" i="3"/>
  <c r="DJ366" i="3" s="1"/>
  <c r="DG366" i="3"/>
  <c r="DI366" i="3"/>
  <c r="DH366" i="3"/>
  <c r="DF381" i="3"/>
  <c r="DJ381" i="3" s="1"/>
  <c r="DG381" i="3"/>
  <c r="DH381" i="3"/>
  <c r="DI381" i="3"/>
  <c r="DH377" i="3"/>
  <c r="DI377" i="3"/>
  <c r="DJ377" i="3" s="1"/>
  <c r="DF377" i="3"/>
  <c r="DG377" i="3"/>
  <c r="DF397" i="3"/>
  <c r="DJ397" i="3" s="1"/>
  <c r="DG397" i="3"/>
  <c r="DH397" i="3"/>
  <c r="DI397" i="3"/>
  <c r="DH393" i="3"/>
  <c r="DI393" i="3"/>
  <c r="DJ393" i="3" s="1"/>
  <c r="DF393" i="3"/>
  <c r="DG393" i="3"/>
  <c r="F345" i="1"/>
  <c r="AU321" i="1"/>
  <c r="GM217" i="1"/>
  <c r="GO217" i="1" s="1"/>
  <c r="F302" i="1"/>
  <c r="BB214" i="1"/>
  <c r="GM154" i="1"/>
  <c r="GM180" i="1"/>
  <c r="GN180" i="1" s="1"/>
  <c r="CP243" i="1"/>
  <c r="O243" i="1" s="1"/>
  <c r="GM243" i="1" s="1"/>
  <c r="GO243" i="1" s="1"/>
  <c r="Y258" i="1"/>
  <c r="X258" i="1"/>
  <c r="GM258" i="1" s="1"/>
  <c r="GO258" i="1" s="1"/>
  <c r="CY258" i="1"/>
  <c r="CZ258" i="1"/>
  <c r="DI359" i="3"/>
  <c r="DF359" i="3"/>
  <c r="DJ359" i="3" s="1"/>
  <c r="DG359" i="3"/>
  <c r="DH359" i="3"/>
  <c r="DF354" i="3"/>
  <c r="DJ354" i="3" s="1"/>
  <c r="DG354" i="3"/>
  <c r="DH354" i="3"/>
  <c r="DI354" i="3"/>
  <c r="CZ270" i="1"/>
  <c r="X270" i="1"/>
  <c r="CY270" i="1"/>
  <c r="Y270" i="1"/>
  <c r="DG372" i="3"/>
  <c r="DH372" i="3"/>
  <c r="DI372" i="3"/>
  <c r="DF372" i="3"/>
  <c r="DJ372" i="3" s="1"/>
  <c r="DF389" i="3"/>
  <c r="DJ389" i="3" s="1"/>
  <c r="DG389" i="3"/>
  <c r="DH389" i="3"/>
  <c r="DI389" i="3"/>
  <c r="CI214" i="1"/>
  <c r="AZ289" i="1"/>
  <c r="EV321" i="1"/>
  <c r="P351" i="1"/>
  <c r="GM256" i="1"/>
  <c r="GO256" i="1" s="1"/>
  <c r="F351" i="1"/>
  <c r="BD321" i="1"/>
  <c r="EA26" i="1"/>
  <c r="DN65" i="1"/>
  <c r="X165" i="1"/>
  <c r="CY165" i="1"/>
  <c r="CZ165" i="1"/>
  <c r="Y165" i="1"/>
  <c r="GM179" i="1"/>
  <c r="GN179" i="1" s="1"/>
  <c r="Y223" i="1"/>
  <c r="CZ223" i="1"/>
  <c r="CY223" i="1"/>
  <c r="X223" i="1"/>
  <c r="GM223" i="1" s="1"/>
  <c r="GO223" i="1" s="1"/>
  <c r="GM236" i="1"/>
  <c r="GO236" i="1" s="1"/>
  <c r="X239" i="1"/>
  <c r="GM239" i="1" s="1"/>
  <c r="GO239" i="1" s="1"/>
  <c r="CY239" i="1"/>
  <c r="Y239" i="1"/>
  <c r="CZ239" i="1"/>
  <c r="DF323" i="3"/>
  <c r="DG323" i="3"/>
  <c r="DJ323" i="3" s="1"/>
  <c r="DH323" i="3"/>
  <c r="DI323" i="3"/>
  <c r="DI347" i="3"/>
  <c r="DF347" i="3"/>
  <c r="DJ347" i="3" s="1"/>
  <c r="DG347" i="3"/>
  <c r="DH347" i="3"/>
  <c r="DF350" i="3"/>
  <c r="DJ350" i="3" s="1"/>
  <c r="DG350" i="3"/>
  <c r="DH350" i="3"/>
  <c r="DI350" i="3"/>
  <c r="DG349" i="3"/>
  <c r="DH349" i="3"/>
  <c r="DI349" i="3"/>
  <c r="DF349" i="3"/>
  <c r="DJ349" i="3" s="1"/>
  <c r="DI402" i="3"/>
  <c r="DJ402" i="3" s="1"/>
  <c r="DF402" i="3"/>
  <c r="DG402" i="3"/>
  <c r="DH402" i="3"/>
  <c r="CP284" i="1"/>
  <c r="O284" i="1" s="1"/>
  <c r="EU214" i="1"/>
  <c r="P305" i="1"/>
  <c r="BC321" i="1"/>
  <c r="F342" i="1"/>
  <c r="CG97" i="1"/>
  <c r="AX182" i="1"/>
  <c r="DI335" i="3"/>
  <c r="DF335" i="3"/>
  <c r="DJ335" i="3" s="1"/>
  <c r="DG335" i="3"/>
  <c r="DH335" i="3"/>
  <c r="DF338" i="3"/>
  <c r="DJ338" i="3" s="1"/>
  <c r="DG338" i="3"/>
  <c r="DH338" i="3"/>
  <c r="DI338" i="3"/>
  <c r="DG337" i="3"/>
  <c r="DH337" i="3"/>
  <c r="DI337" i="3"/>
  <c r="DF337" i="3"/>
  <c r="DJ337" i="3" s="1"/>
  <c r="AD321" i="1"/>
  <c r="Q326" i="1"/>
  <c r="U247" i="1"/>
  <c r="AQ214" i="1"/>
  <c r="F299" i="1"/>
  <c r="AP321" i="1"/>
  <c r="F335" i="1"/>
  <c r="F346" i="1"/>
  <c r="BA321" i="1"/>
  <c r="U249" i="1"/>
  <c r="GX285" i="1"/>
  <c r="EP326" i="1"/>
  <c r="FY321" i="1"/>
  <c r="F332" i="1"/>
  <c r="AW321" i="1"/>
  <c r="AS214" i="1"/>
  <c r="F306" i="1"/>
  <c r="GX249" i="1"/>
  <c r="EI214" i="1"/>
  <c r="P299" i="1"/>
  <c r="R321" i="1"/>
  <c r="F340" i="1"/>
  <c r="DG4" i="3"/>
  <c r="DH4" i="3"/>
  <c r="DI4" i="3"/>
  <c r="DJ4" i="3" s="1"/>
  <c r="DF4" i="3"/>
  <c r="DF46" i="3"/>
  <c r="DG46" i="3"/>
  <c r="DJ46" i="3" s="1"/>
  <c r="DH46" i="3"/>
  <c r="DI46" i="3"/>
  <c r="DI71" i="3"/>
  <c r="DF71" i="3"/>
  <c r="DJ71" i="3" s="1"/>
  <c r="DH71" i="3"/>
  <c r="DG71" i="3"/>
  <c r="DI93" i="3"/>
  <c r="DG93" i="3"/>
  <c r="DH93" i="3"/>
  <c r="DF93" i="3"/>
  <c r="DJ93" i="3" s="1"/>
  <c r="DF126" i="3"/>
  <c r="DH126" i="3"/>
  <c r="DI126" i="3"/>
  <c r="DG126" i="3"/>
  <c r="DJ126" i="3" s="1"/>
  <c r="DF182" i="3"/>
  <c r="DJ182" i="3" s="1"/>
  <c r="DG182" i="3"/>
  <c r="DH182" i="3"/>
  <c r="DI182" i="3"/>
  <c r="DF158" i="3"/>
  <c r="DJ158" i="3" s="1"/>
  <c r="DG158" i="3"/>
  <c r="DH158" i="3"/>
  <c r="DI158" i="3"/>
  <c r="DH299" i="3"/>
  <c r="DF299" i="3"/>
  <c r="DG299" i="3"/>
  <c r="DI299" i="3"/>
  <c r="DJ299" i="3" s="1"/>
  <c r="DG219" i="3"/>
  <c r="DF219" i="3"/>
  <c r="DH219" i="3"/>
  <c r="DI219" i="3"/>
  <c r="DJ219" i="3" s="1"/>
  <c r="DH336" i="3"/>
  <c r="DI336" i="3"/>
  <c r="DF336" i="3"/>
  <c r="DJ336" i="3" s="1"/>
  <c r="DG336" i="3"/>
  <c r="DF53" i="3"/>
  <c r="DG53" i="3"/>
  <c r="DJ53" i="3" s="1"/>
  <c r="DH53" i="3"/>
  <c r="DI53" i="3"/>
  <c r="DG162" i="3"/>
  <c r="DJ162" i="3" s="1"/>
  <c r="DH162" i="3"/>
  <c r="DI162" i="3"/>
  <c r="DF162" i="3"/>
  <c r="DF92" i="3"/>
  <c r="DH92" i="3"/>
  <c r="DI92" i="3"/>
  <c r="DG92" i="3"/>
  <c r="DJ92" i="3" s="1"/>
  <c r="GM59" i="1"/>
  <c r="GN59" i="1" s="1"/>
  <c r="DY26" i="1"/>
  <c r="DL65" i="1"/>
  <c r="Y63" i="1"/>
  <c r="CZ63" i="1"/>
  <c r="X63" i="1"/>
  <c r="GM63" i="1" s="1"/>
  <c r="GO63" i="1" s="1"/>
  <c r="CY63" i="1"/>
  <c r="GM47" i="1"/>
  <c r="GO47" i="1" s="1"/>
  <c r="DF208" i="3"/>
  <c r="DG208" i="3"/>
  <c r="DJ208" i="3" s="1"/>
  <c r="DI208" i="3"/>
  <c r="DH208" i="3"/>
  <c r="DG124" i="3"/>
  <c r="DI124" i="3"/>
  <c r="DF124" i="3"/>
  <c r="DJ124" i="3" s="1"/>
  <c r="DH124" i="3"/>
  <c r="FR102" i="1"/>
  <c r="CP102" i="1"/>
  <c r="O102" i="1" s="1"/>
  <c r="GM102" i="1" s="1"/>
  <c r="DH198" i="3"/>
  <c r="DI198" i="3"/>
  <c r="DG198" i="3"/>
  <c r="DF198" i="3"/>
  <c r="DJ198" i="3" s="1"/>
  <c r="CP228" i="1"/>
  <c r="O228" i="1" s="1"/>
  <c r="AC289" i="1"/>
  <c r="Q233" i="1"/>
  <c r="R233" i="1"/>
  <c r="GX233" i="1"/>
  <c r="P233" i="1"/>
  <c r="CP233" i="1" s="1"/>
  <c r="O233" i="1" s="1"/>
  <c r="CP107" i="1"/>
  <c r="O107" i="1" s="1"/>
  <c r="GM107" i="1" s="1"/>
  <c r="GO107" i="1" s="1"/>
  <c r="AC182" i="1"/>
  <c r="DF310" i="3"/>
  <c r="DG310" i="3"/>
  <c r="DJ310" i="3" s="1"/>
  <c r="DH310" i="3"/>
  <c r="DI310" i="3"/>
  <c r="FR150" i="1"/>
  <c r="CP150" i="1"/>
  <c r="O150" i="1" s="1"/>
  <c r="GM150" i="1" s="1"/>
  <c r="ET214" i="1"/>
  <c r="P302" i="1"/>
  <c r="W233" i="1"/>
  <c r="Y235" i="1"/>
  <c r="CZ235" i="1"/>
  <c r="X235" i="1"/>
  <c r="CY235" i="1"/>
  <c r="X250" i="1"/>
  <c r="AK289" i="1" s="1"/>
  <c r="CY250" i="1"/>
  <c r="CZ250" i="1"/>
  <c r="Y250" i="1"/>
  <c r="AL289" i="1" s="1"/>
  <c r="AF289" i="1"/>
  <c r="DF342" i="3"/>
  <c r="DJ342" i="3" s="1"/>
  <c r="DG342" i="3"/>
  <c r="DH342" i="3"/>
  <c r="DI342" i="3"/>
  <c r="DI328" i="3"/>
  <c r="DF328" i="3"/>
  <c r="DG328" i="3"/>
  <c r="DJ328" i="3" s="1"/>
  <c r="DH328" i="3"/>
  <c r="GM272" i="1"/>
  <c r="GO272" i="1" s="1"/>
  <c r="FY214" i="1"/>
  <c r="EP289" i="1"/>
  <c r="DI48" i="3"/>
  <c r="DF48" i="3"/>
  <c r="DJ48" i="3" s="1"/>
  <c r="DG48" i="3"/>
  <c r="DH48" i="3"/>
  <c r="DH72" i="3"/>
  <c r="DI72" i="3"/>
  <c r="DG72" i="3"/>
  <c r="DF72" i="3"/>
  <c r="DJ72" i="3" s="1"/>
  <c r="DI26" i="3"/>
  <c r="DF26" i="3"/>
  <c r="DJ26" i="3" s="1"/>
  <c r="DG26" i="3"/>
  <c r="DH26" i="3"/>
  <c r="DF43" i="3"/>
  <c r="DG43" i="3"/>
  <c r="DH43" i="3"/>
  <c r="DI43" i="3"/>
  <c r="DJ43" i="3" s="1"/>
  <c r="DH29" i="3"/>
  <c r="DI29" i="3"/>
  <c r="DJ29" i="3" s="1"/>
  <c r="DF29" i="3"/>
  <c r="DG29" i="3"/>
  <c r="DH31" i="3"/>
  <c r="DI31" i="3"/>
  <c r="DF31" i="3"/>
  <c r="DG31" i="3"/>
  <c r="DJ31" i="3" s="1"/>
  <c r="DH69" i="3"/>
  <c r="DI69" i="3"/>
  <c r="DF69" i="3"/>
  <c r="DG69" i="3"/>
  <c r="DJ69" i="3" s="1"/>
  <c r="DH86" i="3"/>
  <c r="DI86" i="3"/>
  <c r="DG86" i="3"/>
  <c r="DJ86" i="3" s="1"/>
  <c r="DF86" i="3"/>
  <c r="DG113" i="3"/>
  <c r="DF113" i="3"/>
  <c r="DH113" i="3"/>
  <c r="DI113" i="3"/>
  <c r="DJ113" i="3" s="1"/>
  <c r="DF83" i="3"/>
  <c r="DG83" i="3"/>
  <c r="DH83" i="3"/>
  <c r="DI83" i="3"/>
  <c r="DJ83" i="3" s="1"/>
  <c r="DH91" i="3"/>
  <c r="DF91" i="3"/>
  <c r="DG91" i="3"/>
  <c r="DJ91" i="3" s="1"/>
  <c r="DI91" i="3"/>
  <c r="DH116" i="3"/>
  <c r="DF116" i="3"/>
  <c r="DJ116" i="3" s="1"/>
  <c r="DI116" i="3"/>
  <c r="DG116" i="3"/>
  <c r="DG87" i="3"/>
  <c r="DH87" i="3"/>
  <c r="DF87" i="3"/>
  <c r="DJ87" i="3" s="1"/>
  <c r="DI87" i="3"/>
  <c r="DH125" i="3"/>
  <c r="DF125" i="3"/>
  <c r="DG125" i="3"/>
  <c r="DI125" i="3"/>
  <c r="DJ125" i="3" s="1"/>
  <c r="DF129" i="3"/>
  <c r="DJ129" i="3" s="1"/>
  <c r="DH129" i="3"/>
  <c r="DI129" i="3"/>
  <c r="DG129" i="3"/>
  <c r="DF119" i="3"/>
  <c r="DH119" i="3"/>
  <c r="DI119" i="3"/>
  <c r="DJ119" i="3" s="1"/>
  <c r="DG119" i="3"/>
  <c r="DI163" i="3"/>
  <c r="DF163" i="3"/>
  <c r="DG163" i="3"/>
  <c r="DJ163" i="3" s="1"/>
  <c r="DH163" i="3"/>
  <c r="DI184" i="3"/>
  <c r="DF184" i="3"/>
  <c r="DG184" i="3"/>
  <c r="DJ184" i="3" s="1"/>
  <c r="DH184" i="3"/>
  <c r="DG215" i="3"/>
  <c r="DH215" i="3"/>
  <c r="DF215" i="3"/>
  <c r="DI215" i="3"/>
  <c r="DJ215" i="3" s="1"/>
  <c r="DF186" i="3"/>
  <c r="DJ186" i="3" s="1"/>
  <c r="DG186" i="3"/>
  <c r="DI186" i="3"/>
  <c r="DH186" i="3"/>
  <c r="DH207" i="3"/>
  <c r="DI207" i="3"/>
  <c r="DJ207" i="3" s="1"/>
  <c r="DG207" i="3"/>
  <c r="DF207" i="3"/>
  <c r="DI229" i="3"/>
  <c r="DH229" i="3"/>
  <c r="DF229" i="3"/>
  <c r="DG229" i="3"/>
  <c r="DJ229" i="3" s="1"/>
  <c r="DF240" i="3"/>
  <c r="DG240" i="3"/>
  <c r="DJ240" i="3" s="1"/>
  <c r="DH240" i="3"/>
  <c r="DI240" i="3"/>
  <c r="DF267" i="3"/>
  <c r="DG267" i="3"/>
  <c r="DJ267" i="3" s="1"/>
  <c r="DH267" i="3"/>
  <c r="DI267" i="3"/>
  <c r="DH281" i="3"/>
  <c r="DI281" i="3"/>
  <c r="DF281" i="3"/>
  <c r="DJ281" i="3" s="1"/>
  <c r="DG281" i="3"/>
  <c r="DF293" i="3"/>
  <c r="DH293" i="3"/>
  <c r="DG293" i="3"/>
  <c r="DI293" i="3"/>
  <c r="DJ293" i="3" s="1"/>
  <c r="DF245" i="3"/>
  <c r="DG245" i="3"/>
  <c r="DH245" i="3"/>
  <c r="DI245" i="3"/>
  <c r="DJ245" i="3" s="1"/>
  <c r="DG250" i="3"/>
  <c r="DH250" i="3"/>
  <c r="DI250" i="3"/>
  <c r="DF250" i="3"/>
  <c r="DJ250" i="3" s="1"/>
  <c r="DH297" i="3"/>
  <c r="DF297" i="3"/>
  <c r="DJ297" i="3" s="1"/>
  <c r="DI297" i="3"/>
  <c r="DG297" i="3"/>
  <c r="DG327" i="3"/>
  <c r="DH327" i="3"/>
  <c r="DI327" i="3"/>
  <c r="DJ327" i="3" s="1"/>
  <c r="DF327" i="3"/>
  <c r="DG351" i="3"/>
  <c r="DH351" i="3"/>
  <c r="DI351" i="3"/>
  <c r="DJ351" i="3" s="1"/>
  <c r="DF351" i="3"/>
  <c r="DF232" i="3"/>
  <c r="DJ232" i="3" s="1"/>
  <c r="DI232" i="3"/>
  <c r="DG232" i="3"/>
  <c r="DH232" i="3"/>
  <c r="DF308" i="3"/>
  <c r="DG308" i="3"/>
  <c r="DH308" i="3"/>
  <c r="DI308" i="3"/>
  <c r="DJ308" i="3" s="1"/>
  <c r="DF263" i="3"/>
  <c r="DJ263" i="3" s="1"/>
  <c r="DG263" i="3"/>
  <c r="DH263" i="3"/>
  <c r="DI263" i="3"/>
  <c r="DH269" i="3"/>
  <c r="DI269" i="3"/>
  <c r="DF269" i="3"/>
  <c r="DJ269" i="3" s="1"/>
  <c r="DG269" i="3"/>
  <c r="DG274" i="3"/>
  <c r="DH274" i="3"/>
  <c r="DI274" i="3"/>
  <c r="DF274" i="3"/>
  <c r="DJ274" i="3" s="1"/>
  <c r="DG353" i="3"/>
  <c r="DJ353" i="3" s="1"/>
  <c r="DH353" i="3"/>
  <c r="DI353" i="3"/>
  <c r="DF353" i="3"/>
  <c r="DH309" i="3"/>
  <c r="DI309" i="3"/>
  <c r="DF309" i="3"/>
  <c r="DG309" i="3"/>
  <c r="DJ309" i="3" s="1"/>
  <c r="DH361" i="3"/>
  <c r="DI361" i="3"/>
  <c r="DF361" i="3"/>
  <c r="DG361" i="3"/>
  <c r="DJ361" i="3" s="1"/>
  <c r="DH324" i="3"/>
  <c r="DI324" i="3"/>
  <c r="DF324" i="3"/>
  <c r="DG324" i="3"/>
  <c r="DJ324" i="3" s="1"/>
  <c r="DH348" i="3"/>
  <c r="DI348" i="3"/>
  <c r="DF348" i="3"/>
  <c r="DJ348" i="3" s="1"/>
  <c r="DG348" i="3"/>
  <c r="DV65" i="1"/>
  <c r="GM33" i="1"/>
  <c r="GO33" i="1" s="1"/>
  <c r="DH47" i="3"/>
  <c r="DI47" i="3"/>
  <c r="DF47" i="3"/>
  <c r="DG47" i="3"/>
  <c r="DJ47" i="3" s="1"/>
  <c r="GM32" i="1"/>
  <c r="GO32" i="1" s="1"/>
  <c r="Y40" i="1"/>
  <c r="AL65" i="1" s="1"/>
  <c r="CZ40" i="1"/>
  <c r="CY40" i="1"/>
  <c r="X40" i="1"/>
  <c r="AK65" i="1" s="1"/>
  <c r="DI64" i="3"/>
  <c r="DF64" i="3"/>
  <c r="DG64" i="3"/>
  <c r="DJ64" i="3" s="1"/>
  <c r="DH64" i="3"/>
  <c r="DI82" i="3"/>
  <c r="DJ82" i="3" s="1"/>
  <c r="DF82" i="3"/>
  <c r="DG82" i="3"/>
  <c r="DH82" i="3"/>
  <c r="DG165" i="3"/>
  <c r="DH165" i="3"/>
  <c r="DI165" i="3"/>
  <c r="DF165" i="3"/>
  <c r="DJ165" i="3" s="1"/>
  <c r="DH385" i="3"/>
  <c r="DI385" i="3"/>
  <c r="DJ385" i="3" s="1"/>
  <c r="DF385" i="3"/>
  <c r="DG385" i="3"/>
  <c r="DI117" i="3"/>
  <c r="DJ117" i="3" s="1"/>
  <c r="DH117" i="3"/>
  <c r="DF117" i="3"/>
  <c r="DG117" i="3"/>
  <c r="DI382" i="3"/>
  <c r="DF382" i="3"/>
  <c r="DJ382" i="3" s="1"/>
  <c r="DG382" i="3"/>
  <c r="DH382" i="3"/>
  <c r="DF88" i="3"/>
  <c r="DJ88" i="3" s="1"/>
  <c r="DG88" i="3"/>
  <c r="DI88" i="3"/>
  <c r="DH88" i="3"/>
  <c r="DG107" i="3"/>
  <c r="DI107" i="3"/>
  <c r="DF107" i="3"/>
  <c r="DJ107" i="3" s="1"/>
  <c r="DH107" i="3"/>
  <c r="BD26" i="1"/>
  <c r="F90" i="1"/>
  <c r="BD356" i="1"/>
  <c r="DX65" i="1"/>
  <c r="FR26" i="1"/>
  <c r="EI65" i="1"/>
  <c r="GA65" i="1"/>
  <c r="DG61" i="3"/>
  <c r="DH61" i="3"/>
  <c r="DF61" i="3"/>
  <c r="DJ61" i="3" s="1"/>
  <c r="DI61" i="3"/>
  <c r="Y55" i="1"/>
  <c r="CZ55" i="1"/>
  <c r="X55" i="1"/>
  <c r="GM55" i="1" s="1"/>
  <c r="GN55" i="1" s="1"/>
  <c r="FT65" i="1" s="1"/>
  <c r="CY55" i="1"/>
  <c r="DF203" i="3"/>
  <c r="DJ203" i="3" s="1"/>
  <c r="DG203" i="3"/>
  <c r="DI203" i="3"/>
  <c r="DH203" i="3"/>
  <c r="DG202" i="3"/>
  <c r="DJ202" i="3" s="1"/>
  <c r="DH202" i="3"/>
  <c r="DF202" i="3"/>
  <c r="DI202" i="3"/>
  <c r="DG388" i="3"/>
  <c r="DH388" i="3"/>
  <c r="DI388" i="3"/>
  <c r="DF388" i="3"/>
  <c r="DJ388" i="3" s="1"/>
  <c r="CP28" i="1"/>
  <c r="O28" i="1" s="1"/>
  <c r="EG26" i="1"/>
  <c r="P69" i="1"/>
  <c r="EG356" i="1"/>
  <c r="X103" i="1"/>
  <c r="CY103" i="1"/>
  <c r="CZ103" i="1"/>
  <c r="Y103" i="1"/>
  <c r="AF182" i="1"/>
  <c r="X106" i="1"/>
  <c r="EC182" i="1" s="1"/>
  <c r="CY106" i="1"/>
  <c r="CZ106" i="1"/>
  <c r="Y106" i="1"/>
  <c r="ED182" i="1" s="1"/>
  <c r="DX182" i="1"/>
  <c r="X110" i="1"/>
  <c r="GM110" i="1" s="1"/>
  <c r="CY110" i="1"/>
  <c r="CZ110" i="1"/>
  <c r="Y110" i="1"/>
  <c r="AG182" i="1"/>
  <c r="X43" i="1"/>
  <c r="GM43" i="1" s="1"/>
  <c r="GO43" i="1" s="1"/>
  <c r="CZ43" i="1"/>
  <c r="CY43" i="1"/>
  <c r="Y43" i="1"/>
  <c r="ED65" i="1" s="1"/>
  <c r="FR130" i="1"/>
  <c r="CP130" i="1"/>
  <c r="O130" i="1" s="1"/>
  <c r="GM130" i="1" s="1"/>
  <c r="X134" i="1"/>
  <c r="GM134" i="1" s="1"/>
  <c r="CY134" i="1"/>
  <c r="Y134" i="1"/>
  <c r="CZ134" i="1"/>
  <c r="GM140" i="1"/>
  <c r="GO140" i="1" s="1"/>
  <c r="DH253" i="3"/>
  <c r="DI253" i="3"/>
  <c r="DF253" i="3"/>
  <c r="DG253" i="3"/>
  <c r="DJ253" i="3" s="1"/>
  <c r="DI264" i="3"/>
  <c r="DF264" i="3"/>
  <c r="DJ264" i="3" s="1"/>
  <c r="DG264" i="3"/>
  <c r="DH264" i="3"/>
  <c r="CP42" i="1"/>
  <c r="O42" i="1" s="1"/>
  <c r="GM42" i="1" s="1"/>
  <c r="GO42" i="1" s="1"/>
  <c r="DH81" i="3"/>
  <c r="DI81" i="3"/>
  <c r="DJ81" i="3" s="1"/>
  <c r="DF81" i="3"/>
  <c r="DG81" i="3"/>
  <c r="X58" i="1"/>
  <c r="GM58" i="1" s="1"/>
  <c r="GN58" i="1" s="1"/>
  <c r="CY58" i="1"/>
  <c r="CZ58" i="1"/>
  <c r="Y58" i="1"/>
  <c r="Y141" i="1"/>
  <c r="CY141" i="1"/>
  <c r="CZ141" i="1"/>
  <c r="X141" i="1"/>
  <c r="GM141" i="1" s="1"/>
  <c r="CP151" i="1"/>
  <c r="O151" i="1" s="1"/>
  <c r="GM151" i="1" s="1"/>
  <c r="FR151" i="1"/>
  <c r="CP158" i="1"/>
  <c r="O158" i="1" s="1"/>
  <c r="GM158" i="1" s="1"/>
  <c r="GN158" i="1" s="1"/>
  <c r="GM166" i="1"/>
  <c r="GN166" i="1" s="1"/>
  <c r="F195" i="1"/>
  <c r="BB97" i="1"/>
  <c r="Y51" i="1"/>
  <c r="CZ51" i="1"/>
  <c r="X51" i="1"/>
  <c r="GM51" i="1" s="1"/>
  <c r="GO51" i="1" s="1"/>
  <c r="CY51" i="1"/>
  <c r="CP60" i="1"/>
  <c r="O60" i="1" s="1"/>
  <c r="GM60" i="1" s="1"/>
  <c r="GN60" i="1" s="1"/>
  <c r="DH160" i="3"/>
  <c r="DI160" i="3"/>
  <c r="DF160" i="3"/>
  <c r="DJ160" i="3" s="1"/>
  <c r="DG160" i="3"/>
  <c r="FR115" i="1"/>
  <c r="BY182" i="1" s="1"/>
  <c r="CP115" i="1"/>
  <c r="O115" i="1" s="1"/>
  <c r="GM115" i="1" s="1"/>
  <c r="X126" i="1"/>
  <c r="CY126" i="1"/>
  <c r="CZ126" i="1"/>
  <c r="Y126" i="1"/>
  <c r="GM126" i="1" s="1"/>
  <c r="DG181" i="3"/>
  <c r="DH181" i="3"/>
  <c r="DI181" i="3"/>
  <c r="DF181" i="3"/>
  <c r="DJ181" i="3" s="1"/>
  <c r="DH188" i="3"/>
  <c r="DI188" i="3"/>
  <c r="DG188" i="3"/>
  <c r="DF188" i="3"/>
  <c r="DJ188" i="3" s="1"/>
  <c r="CP138" i="1"/>
  <c r="O138" i="1" s="1"/>
  <c r="GM138" i="1" s="1"/>
  <c r="FR138" i="1"/>
  <c r="DF210" i="3"/>
  <c r="DG210" i="3"/>
  <c r="DJ210" i="3" s="1"/>
  <c r="DI210" i="3"/>
  <c r="DH210" i="3"/>
  <c r="CP62" i="1"/>
  <c r="O62" i="1" s="1"/>
  <c r="GM62" i="1" s="1"/>
  <c r="GO62" i="1" s="1"/>
  <c r="DI122" i="3"/>
  <c r="DG122" i="3"/>
  <c r="DH122" i="3"/>
  <c r="DF122" i="3"/>
  <c r="DJ122" i="3" s="1"/>
  <c r="X168" i="1"/>
  <c r="CY168" i="1"/>
  <c r="Y168" i="1"/>
  <c r="CZ168" i="1"/>
  <c r="DH275" i="3"/>
  <c r="DI275" i="3"/>
  <c r="DJ275" i="3" s="1"/>
  <c r="DF275" i="3"/>
  <c r="DG275" i="3"/>
  <c r="DH290" i="3"/>
  <c r="DF290" i="3"/>
  <c r="DG290" i="3"/>
  <c r="DJ290" i="3" s="1"/>
  <c r="DI290" i="3"/>
  <c r="GX167" i="1"/>
  <c r="CJ182" i="1" s="1"/>
  <c r="CP216" i="1"/>
  <c r="O216" i="1" s="1"/>
  <c r="GM216" i="1" s="1"/>
  <c r="GO216" i="1" s="1"/>
  <c r="Q235" i="1"/>
  <c r="R235" i="1"/>
  <c r="P235" i="1"/>
  <c r="CP235" i="1" s="1"/>
  <c r="O235" i="1" s="1"/>
  <c r="GM235" i="1" s="1"/>
  <c r="GO235" i="1" s="1"/>
  <c r="GX235" i="1"/>
  <c r="DI294" i="3"/>
  <c r="DG294" i="3"/>
  <c r="DF294" i="3"/>
  <c r="DJ294" i="3" s="1"/>
  <c r="DH294" i="3"/>
  <c r="Y137" i="1"/>
  <c r="CZ137" i="1"/>
  <c r="CY137" i="1"/>
  <c r="X137" i="1"/>
  <c r="GM142" i="1"/>
  <c r="W167" i="1"/>
  <c r="AJ182" i="1" s="1"/>
  <c r="GM171" i="1"/>
  <c r="GN171" i="1" s="1"/>
  <c r="DI272" i="3"/>
  <c r="DF272" i="3"/>
  <c r="DJ272" i="3" s="1"/>
  <c r="DG272" i="3"/>
  <c r="DH272" i="3"/>
  <c r="DF314" i="3"/>
  <c r="DJ314" i="3" s="1"/>
  <c r="DG314" i="3"/>
  <c r="DH314" i="3"/>
  <c r="DI314" i="3"/>
  <c r="V167" i="1"/>
  <c r="AI182" i="1" s="1"/>
  <c r="U235" i="1"/>
  <c r="DI307" i="3"/>
  <c r="DF307" i="3"/>
  <c r="DJ307" i="3" s="1"/>
  <c r="DG307" i="3"/>
  <c r="DH307" i="3"/>
  <c r="CP250" i="1"/>
  <c r="O250" i="1" s="1"/>
  <c r="GM250" i="1" s="1"/>
  <c r="GO250" i="1" s="1"/>
  <c r="DF362" i="3"/>
  <c r="DG362" i="3"/>
  <c r="DJ362" i="3" s="1"/>
  <c r="DH362" i="3"/>
  <c r="DI362" i="3"/>
  <c r="DF378" i="3"/>
  <c r="DG378" i="3"/>
  <c r="DJ378" i="3" s="1"/>
  <c r="DH378" i="3"/>
  <c r="DI378" i="3"/>
  <c r="DF394" i="3"/>
  <c r="DG394" i="3"/>
  <c r="DJ394" i="3" s="1"/>
  <c r="DH394" i="3"/>
  <c r="DI394" i="3"/>
  <c r="GM127" i="1"/>
  <c r="GO127" i="1" s="1"/>
  <c r="CP137" i="1"/>
  <c r="O137" i="1" s="1"/>
  <c r="GM137" i="1" s="1"/>
  <c r="U167" i="1"/>
  <c r="AH182" i="1" s="1"/>
  <c r="GM229" i="1"/>
  <c r="V249" i="1"/>
  <c r="BB26" i="1"/>
  <c r="F78" i="1"/>
  <c r="BB356" i="1"/>
  <c r="X224" i="1"/>
  <c r="GM224" i="1" s="1"/>
  <c r="GO224" i="1" s="1"/>
  <c r="CY224" i="1"/>
  <c r="Y224" i="1"/>
  <c r="CZ224" i="1"/>
  <c r="S247" i="1"/>
  <c r="GM259" i="1"/>
  <c r="GO259" i="1" s="1"/>
  <c r="X262" i="1"/>
  <c r="GM262" i="1" s="1"/>
  <c r="GO262" i="1" s="1"/>
  <c r="CY262" i="1"/>
  <c r="Y262" i="1"/>
  <c r="CZ262" i="1"/>
  <c r="DI355" i="3"/>
  <c r="DF355" i="3"/>
  <c r="DJ355" i="3" s="1"/>
  <c r="DG355" i="3"/>
  <c r="DH355" i="3"/>
  <c r="DF373" i="3"/>
  <c r="DJ373" i="3" s="1"/>
  <c r="DG373" i="3"/>
  <c r="DH373" i="3"/>
  <c r="DI373" i="3"/>
  <c r="DH369" i="3"/>
  <c r="DI369" i="3"/>
  <c r="DJ369" i="3" s="1"/>
  <c r="DF369" i="3"/>
  <c r="DG369" i="3"/>
  <c r="DF386" i="3"/>
  <c r="DG386" i="3"/>
  <c r="DJ386" i="3" s="1"/>
  <c r="DH386" i="3"/>
  <c r="DI386" i="3"/>
  <c r="Y284" i="1"/>
  <c r="CZ284" i="1"/>
  <c r="X284" i="1"/>
  <c r="CY284" i="1"/>
  <c r="EH214" i="1"/>
  <c r="P298" i="1"/>
  <c r="AB326" i="1"/>
  <c r="GM323" i="1"/>
  <c r="CA326" i="1" s="1"/>
  <c r="AD289" i="1"/>
  <c r="V231" i="1"/>
  <c r="EA289" i="1" s="1"/>
  <c r="DI319" i="3"/>
  <c r="DF319" i="3"/>
  <c r="DG319" i="3"/>
  <c r="DJ319" i="3" s="1"/>
  <c r="DH319" i="3"/>
  <c r="DG321" i="3"/>
  <c r="DH321" i="3"/>
  <c r="DI321" i="3"/>
  <c r="DF321" i="3"/>
  <c r="DJ321" i="3" s="1"/>
  <c r="EV214" i="1"/>
  <c r="P314" i="1"/>
  <c r="GM146" i="1"/>
  <c r="DG224" i="3"/>
  <c r="DF224" i="3"/>
  <c r="DJ224" i="3" s="1"/>
  <c r="DI224" i="3"/>
  <c r="DH224" i="3"/>
  <c r="GM221" i="1"/>
  <c r="GO221" i="1" s="1"/>
  <c r="U231" i="1"/>
  <c r="DZ289" i="1" s="1"/>
  <c r="V233" i="1"/>
  <c r="GM241" i="1"/>
  <c r="GO241" i="1" s="1"/>
  <c r="CP252" i="1"/>
  <c r="O252" i="1" s="1"/>
  <c r="GM252" i="1" s="1"/>
  <c r="GO252" i="1" s="1"/>
  <c r="DI343" i="3"/>
  <c r="DF343" i="3"/>
  <c r="DJ343" i="3" s="1"/>
  <c r="DG343" i="3"/>
  <c r="DH343" i="3"/>
  <c r="DF346" i="3"/>
  <c r="DJ346" i="3" s="1"/>
  <c r="DG346" i="3"/>
  <c r="DH346" i="3"/>
  <c r="DI346" i="3"/>
  <c r="X326" i="1"/>
  <c r="AK321" i="1"/>
  <c r="EG321" i="1"/>
  <c r="P330" i="1"/>
  <c r="AU97" i="1"/>
  <c r="F201" i="1"/>
  <c r="AU356" i="1"/>
  <c r="DI331" i="3"/>
  <c r="DF331" i="3"/>
  <c r="DJ331" i="3" s="1"/>
  <c r="DG331" i="3"/>
  <c r="DH331" i="3"/>
  <c r="DF334" i="3"/>
  <c r="DJ334" i="3" s="1"/>
  <c r="DG334" i="3"/>
  <c r="DH334" i="3"/>
  <c r="DI334" i="3"/>
  <c r="DG333" i="3"/>
  <c r="DH333" i="3"/>
  <c r="DI333" i="3"/>
  <c r="DF333" i="3"/>
  <c r="DJ333" i="3" s="1"/>
  <c r="EL321" i="1"/>
  <c r="P344" i="1"/>
  <c r="EM214" i="1"/>
  <c r="P308" i="1"/>
  <c r="CH321" i="1"/>
  <c r="AY326" i="1"/>
  <c r="F347" i="1"/>
  <c r="T321" i="1"/>
  <c r="DM321" i="1"/>
  <c r="P348" i="1"/>
  <c r="T233" i="1"/>
  <c r="T249" i="1"/>
  <c r="F343" i="1"/>
  <c r="AS321" i="1"/>
  <c r="DJ321" i="1"/>
  <c r="P340" i="1"/>
  <c r="EM321" i="1"/>
  <c r="P345" i="1"/>
  <c r="EI321" i="1"/>
  <c r="P336" i="1"/>
  <c r="EK321" i="1"/>
  <c r="P343" i="1"/>
  <c r="EK214" i="1"/>
  <c r="P306" i="1"/>
  <c r="AU214" i="1"/>
  <c r="F308" i="1"/>
  <c r="P347" i="1"/>
  <c r="DL321" i="1"/>
  <c r="GA214" i="1"/>
  <c r="ER289" i="1"/>
  <c r="FT26" i="1" l="1"/>
  <c r="EK65" i="1"/>
  <c r="ED97" i="1"/>
  <c r="DQ182" i="1"/>
  <c r="AK26" i="1"/>
  <c r="X65" i="1"/>
  <c r="AJ97" i="1"/>
  <c r="W182" i="1"/>
  <c r="ED26" i="1"/>
  <c r="DQ65" i="1"/>
  <c r="CJ97" i="1"/>
  <c r="BA182" i="1"/>
  <c r="AK214" i="1"/>
  <c r="X289" i="1"/>
  <c r="AP182" i="1"/>
  <c r="CI182" i="1"/>
  <c r="BY97" i="1"/>
  <c r="EC97" i="1"/>
  <c r="DP182" i="1"/>
  <c r="AL26" i="1"/>
  <c r="Y65" i="1"/>
  <c r="AL214" i="1"/>
  <c r="Y289" i="1"/>
  <c r="ER214" i="1"/>
  <c r="P300" i="1"/>
  <c r="AY321" i="1"/>
  <c r="F334" i="1"/>
  <c r="X321" i="1"/>
  <c r="F352" i="1"/>
  <c r="DZ214" i="1"/>
  <c r="DM289" i="1"/>
  <c r="O326" i="1"/>
  <c r="AB321" i="1"/>
  <c r="Y247" i="1"/>
  <c r="CZ247" i="1"/>
  <c r="X247" i="1"/>
  <c r="CY247" i="1"/>
  <c r="DX97" i="1"/>
  <c r="DK182" i="1"/>
  <c r="DV26" i="1"/>
  <c r="DI65" i="1"/>
  <c r="FQ182" i="1"/>
  <c r="DL26" i="1"/>
  <c r="P86" i="1"/>
  <c r="EP321" i="1"/>
  <c r="P333" i="1"/>
  <c r="AX97" i="1"/>
  <c r="F189" i="1"/>
  <c r="X167" i="1"/>
  <c r="CY167" i="1"/>
  <c r="Y167" i="1"/>
  <c r="AL182" i="1" s="1"/>
  <c r="CZ167" i="1"/>
  <c r="GM249" i="1"/>
  <c r="GO249" i="1" s="1"/>
  <c r="DW97" i="1"/>
  <c r="DJ182" i="1"/>
  <c r="GM106" i="1"/>
  <c r="EU22" i="1"/>
  <c r="P372" i="1"/>
  <c r="EU386" i="1"/>
  <c r="DU26" i="1"/>
  <c r="FZ65" i="1"/>
  <c r="FW65" i="1"/>
  <c r="DH65" i="1"/>
  <c r="FX65" i="1"/>
  <c r="F337" i="1"/>
  <c r="AZ321" i="1"/>
  <c r="DX214" i="1"/>
  <c r="DK289" i="1"/>
  <c r="GM165" i="1"/>
  <c r="GN165" i="1" s="1"/>
  <c r="AX321" i="1"/>
  <c r="F333" i="1"/>
  <c r="EV22" i="1"/>
  <c r="P381" i="1"/>
  <c r="EV386" i="1"/>
  <c r="EM97" i="1"/>
  <c r="P201" i="1"/>
  <c r="DO97" i="1"/>
  <c r="P206" i="1"/>
  <c r="DV289" i="1"/>
  <c r="AQ22" i="1"/>
  <c r="AQ386" i="1"/>
  <c r="F366" i="1"/>
  <c r="AZ26" i="1"/>
  <c r="F76" i="1"/>
  <c r="AC26" i="1"/>
  <c r="CF65" i="1"/>
  <c r="P65" i="1"/>
  <c r="CE65" i="1"/>
  <c r="CH65" i="1"/>
  <c r="GM40" i="1"/>
  <c r="GO40" i="1" s="1"/>
  <c r="Y233" i="1"/>
  <c r="CZ233" i="1"/>
  <c r="CY233" i="1"/>
  <c r="X233" i="1"/>
  <c r="GM233" i="1" s="1"/>
  <c r="GO233" i="1" s="1"/>
  <c r="DG326" i="1"/>
  <c r="DT321" i="1"/>
  <c r="FW321" i="1"/>
  <c r="EN326" i="1"/>
  <c r="BC22" i="1"/>
  <c r="BC386" i="1"/>
  <c r="F372" i="1"/>
  <c r="GM100" i="1"/>
  <c r="DT182" i="1"/>
  <c r="EP26" i="1"/>
  <c r="P72" i="1"/>
  <c r="EP356" i="1"/>
  <c r="DM97" i="1"/>
  <c r="P204" i="1"/>
  <c r="V214" i="1"/>
  <c r="F312" i="1"/>
  <c r="BB22" i="1"/>
  <c r="F369" i="1"/>
  <c r="BB386" i="1"/>
  <c r="GO229" i="1"/>
  <c r="AF97" i="1"/>
  <c r="S182" i="1"/>
  <c r="AK182" i="1"/>
  <c r="GM28" i="1"/>
  <c r="AB65" i="1"/>
  <c r="DX26" i="1"/>
  <c r="DK65" i="1"/>
  <c r="EP214" i="1"/>
  <c r="P296" i="1"/>
  <c r="AF214" i="1"/>
  <c r="S289" i="1"/>
  <c r="AC214" i="1"/>
  <c r="CH289" i="1"/>
  <c r="P289" i="1"/>
  <c r="CE289" i="1"/>
  <c r="CF289" i="1"/>
  <c r="AZ214" i="1"/>
  <c r="F300" i="1"/>
  <c r="AE97" i="1"/>
  <c r="R182" i="1"/>
  <c r="GM103" i="1"/>
  <c r="GO103" i="1" s="1"/>
  <c r="AE26" i="1"/>
  <c r="R65" i="1"/>
  <c r="GM29" i="1"/>
  <c r="DT65" i="1"/>
  <c r="CB65" i="1"/>
  <c r="DL97" i="1"/>
  <c r="P203" i="1"/>
  <c r="AF26" i="1"/>
  <c r="S65" i="1"/>
  <c r="AX214" i="1"/>
  <c r="F296" i="1"/>
  <c r="P352" i="1"/>
  <c r="DP321" i="1"/>
  <c r="CP231" i="1"/>
  <c r="O231" i="1" s="1"/>
  <c r="DU289" i="1"/>
  <c r="ET22" i="1"/>
  <c r="ET386" i="1"/>
  <c r="P369" i="1"/>
  <c r="AO22" i="1"/>
  <c r="AO386" i="1"/>
  <c r="F360" i="1"/>
  <c r="AD26" i="1"/>
  <c r="Q65" i="1"/>
  <c r="CP167" i="1"/>
  <c r="O167" i="1" s="1"/>
  <c r="GM167" i="1" s="1"/>
  <c r="GN167" i="1" s="1"/>
  <c r="CB182" i="1" s="1"/>
  <c r="FS321" i="1"/>
  <c r="EJ326" i="1"/>
  <c r="DH321" i="1"/>
  <c r="P329" i="1"/>
  <c r="DU97" i="1"/>
  <c r="FZ182" i="1"/>
  <c r="DH182" i="1"/>
  <c r="FW182" i="1"/>
  <c r="FX182" i="1"/>
  <c r="AX26" i="1"/>
  <c r="F72" i="1"/>
  <c r="AX356" i="1"/>
  <c r="DN97" i="1"/>
  <c r="P205" i="1"/>
  <c r="V26" i="1"/>
  <c r="F88" i="1"/>
  <c r="DI97" i="1"/>
  <c r="P194" i="1"/>
  <c r="EA214" i="1"/>
  <c r="DN289" i="1"/>
  <c r="AD214" i="1"/>
  <c r="Q289" i="1"/>
  <c r="U182" i="1"/>
  <c r="AH97" i="1"/>
  <c r="EG22" i="1"/>
  <c r="P360" i="1"/>
  <c r="EG386" i="1"/>
  <c r="GA26" i="1"/>
  <c r="ER65" i="1"/>
  <c r="BD22" i="1"/>
  <c r="BD386" i="1"/>
  <c r="F381" i="1"/>
  <c r="AB289" i="1"/>
  <c r="GM228" i="1"/>
  <c r="F338" i="1"/>
  <c r="Q321" i="1"/>
  <c r="GM284" i="1"/>
  <c r="GO284" i="1" s="1"/>
  <c r="DN26" i="1"/>
  <c r="P88" i="1"/>
  <c r="DN356" i="1"/>
  <c r="AE214" i="1"/>
  <c r="R289" i="1"/>
  <c r="EI97" i="1"/>
  <c r="P192" i="1"/>
  <c r="GO99" i="1"/>
  <c r="W214" i="1"/>
  <c r="F313" i="1"/>
  <c r="P338" i="1"/>
  <c r="DI321" i="1"/>
  <c r="CP247" i="1"/>
  <c r="O247" i="1" s="1"/>
  <c r="GM247" i="1" s="1"/>
  <c r="GO247" i="1" s="1"/>
  <c r="GB289" i="1"/>
  <c r="ES26" i="1"/>
  <c r="P85" i="1"/>
  <c r="DW26" i="1"/>
  <c r="DJ65" i="1"/>
  <c r="F353" i="1"/>
  <c r="Y321" i="1"/>
  <c r="EO326" i="1"/>
  <c r="FX321" i="1"/>
  <c r="U26" i="1"/>
  <c r="F87" i="1"/>
  <c r="EM26" i="1"/>
  <c r="P84" i="1"/>
  <c r="EM356" i="1"/>
  <c r="T214" i="1"/>
  <c r="F310" i="1"/>
  <c r="BA26" i="1"/>
  <c r="F85" i="1"/>
  <c r="BA356" i="1"/>
  <c r="AU22" i="1"/>
  <c r="F375" i="1"/>
  <c r="AU386" i="1"/>
  <c r="CA321" i="1"/>
  <c r="AR326" i="1"/>
  <c r="AI97" i="1"/>
  <c r="V182" i="1"/>
  <c r="FT182" i="1"/>
  <c r="AG97" i="1"/>
  <c r="T182" i="1"/>
  <c r="EI26" i="1"/>
  <c r="P75" i="1"/>
  <c r="EI356" i="1"/>
  <c r="EC65" i="1"/>
  <c r="AC97" i="1"/>
  <c r="CF182" i="1"/>
  <c r="CE182" i="1"/>
  <c r="P182" i="1"/>
  <c r="CH182" i="1"/>
  <c r="GM168" i="1"/>
  <c r="GN168" i="1" s="1"/>
  <c r="W26" i="1"/>
  <c r="F89" i="1"/>
  <c r="W356" i="1"/>
  <c r="DY289" i="1"/>
  <c r="GM270" i="1"/>
  <c r="GO270" i="1" s="1"/>
  <c r="Y285" i="1"/>
  <c r="CZ285" i="1"/>
  <c r="CY285" i="1"/>
  <c r="X285" i="1"/>
  <c r="GM285" i="1" s="1"/>
  <c r="GO285" i="1" s="1"/>
  <c r="EB289" i="1"/>
  <c r="DW289" i="1"/>
  <c r="AD97" i="1"/>
  <c r="Q182" i="1"/>
  <c r="DO26" i="1"/>
  <c r="P89" i="1"/>
  <c r="P337" i="1"/>
  <c r="ER321" i="1"/>
  <c r="FZ321" i="1"/>
  <c r="EQ326" i="1"/>
  <c r="P189" i="1"/>
  <c r="EP97" i="1"/>
  <c r="U214" i="1"/>
  <c r="F311" i="1"/>
  <c r="ES97" i="1"/>
  <c r="P202" i="1"/>
  <c r="T26" i="1"/>
  <c r="F86" i="1"/>
  <c r="T356" i="1"/>
  <c r="BA214" i="1"/>
  <c r="F309" i="1"/>
  <c r="CB97" i="1" l="1"/>
  <c r="AS182" i="1"/>
  <c r="AL97" i="1"/>
  <c r="Y182" i="1"/>
  <c r="T97" i="1"/>
  <c r="F203" i="1"/>
  <c r="BD18" i="1"/>
  <c r="F411" i="1"/>
  <c r="EG18" i="1"/>
  <c r="P390" i="1"/>
  <c r="U97" i="1"/>
  <c r="F204" i="1"/>
  <c r="AX22" i="1"/>
  <c r="F363" i="1"/>
  <c r="AX386" i="1"/>
  <c r="FW97" i="1"/>
  <c r="EN182" i="1"/>
  <c r="FT97" i="1"/>
  <c r="EK182" i="1"/>
  <c r="BA22" i="1"/>
  <c r="BA386" i="1"/>
  <c r="F376" i="1"/>
  <c r="U356" i="1"/>
  <c r="P332" i="1"/>
  <c r="EO321" i="1"/>
  <c r="GB214" i="1"/>
  <c r="ES289" i="1"/>
  <c r="CC182" i="1"/>
  <c r="AB214" i="1"/>
  <c r="O289" i="1"/>
  <c r="ER26" i="1"/>
  <c r="P76" i="1"/>
  <c r="FZ97" i="1"/>
  <c r="EQ182" i="1"/>
  <c r="EJ321" i="1"/>
  <c r="P354" i="1"/>
  <c r="GM231" i="1"/>
  <c r="DT289" i="1"/>
  <c r="R26" i="1"/>
  <c r="F79" i="1"/>
  <c r="R356" i="1"/>
  <c r="R97" i="1"/>
  <c r="F196" i="1"/>
  <c r="CF214" i="1"/>
  <c r="AW289" i="1"/>
  <c r="AB26" i="1"/>
  <c r="O65" i="1"/>
  <c r="BC18" i="1"/>
  <c r="F402" i="1"/>
  <c r="CE26" i="1"/>
  <c r="AV65" i="1"/>
  <c r="AQ18" i="1"/>
  <c r="F396" i="1"/>
  <c r="FZ26" i="1"/>
  <c r="EQ65" i="1"/>
  <c r="FQ97" i="1"/>
  <c r="GA182" i="1"/>
  <c r="EH182" i="1"/>
  <c r="EC289" i="1"/>
  <c r="BA97" i="1"/>
  <c r="F202" i="1"/>
  <c r="W97" i="1"/>
  <c r="F206" i="1"/>
  <c r="DQ97" i="1"/>
  <c r="P209" i="1"/>
  <c r="W16" i="2"/>
  <c r="DW214" i="1"/>
  <c r="DJ289" i="1"/>
  <c r="W22" i="1"/>
  <c r="F380" i="1"/>
  <c r="W386" i="1"/>
  <c r="CF97" i="1"/>
  <c r="AW182" i="1"/>
  <c r="EB214" i="1"/>
  <c r="DO289" i="1"/>
  <c r="CH97" i="1"/>
  <c r="AY182" i="1"/>
  <c r="V97" i="1"/>
  <c r="F205" i="1"/>
  <c r="AU18" i="1"/>
  <c r="F405" i="1"/>
  <c r="EM22" i="1"/>
  <c r="P375" i="1"/>
  <c r="EM386" i="1"/>
  <c r="DN22" i="1"/>
  <c r="DN386" i="1"/>
  <c r="P379" i="1"/>
  <c r="DN214" i="1"/>
  <c r="P312" i="1"/>
  <c r="V356" i="1"/>
  <c r="FX97" i="1"/>
  <c r="EO182" i="1"/>
  <c r="ET18" i="1"/>
  <c r="P399" i="1"/>
  <c r="S26" i="1"/>
  <c r="F80" i="1"/>
  <c r="S356" i="1"/>
  <c r="CB26" i="1"/>
  <c r="AS65" i="1"/>
  <c r="AV289" i="1"/>
  <c r="CE214" i="1"/>
  <c r="GO28" i="1"/>
  <c r="CC65" i="1" s="1"/>
  <c r="CA65" i="1"/>
  <c r="DT97" i="1"/>
  <c r="DG182" i="1"/>
  <c r="P328" i="1"/>
  <c r="DG321" i="1"/>
  <c r="ED289" i="1"/>
  <c r="P26" i="1"/>
  <c r="F68" i="1"/>
  <c r="P356" i="1"/>
  <c r="DK214" i="1"/>
  <c r="P304" i="1"/>
  <c r="FX26" i="1"/>
  <c r="EO65" i="1"/>
  <c r="DI26" i="1"/>
  <c r="P77" i="1"/>
  <c r="Y26" i="1"/>
  <c r="F92" i="1"/>
  <c r="Y356" i="1"/>
  <c r="X214" i="1"/>
  <c r="F315" i="1"/>
  <c r="T22" i="1"/>
  <c r="T386" i="1"/>
  <c r="F377" i="1"/>
  <c r="Q97" i="1"/>
  <c r="F194" i="1"/>
  <c r="P97" i="1"/>
  <c r="F185" i="1"/>
  <c r="AO18" i="1"/>
  <c r="F390" i="1"/>
  <c r="AK97" i="1"/>
  <c r="X182" i="1"/>
  <c r="EP22" i="1"/>
  <c r="EP386" i="1"/>
  <c r="P363" i="1"/>
  <c r="GO100" i="1"/>
  <c r="FU182" i="1" s="1"/>
  <c r="FS182" i="1"/>
  <c r="P331" i="1"/>
  <c r="EN321" i="1"/>
  <c r="CF26" i="1"/>
  <c r="AW65" i="1"/>
  <c r="DV214" i="1"/>
  <c r="DI289" i="1"/>
  <c r="DH26" i="1"/>
  <c r="P68" i="1"/>
  <c r="EU18" i="1"/>
  <c r="P402" i="1"/>
  <c r="P196" i="1"/>
  <c r="DJ97" i="1"/>
  <c r="O321" i="1"/>
  <c r="F328" i="1"/>
  <c r="CI97" i="1"/>
  <c r="AZ182" i="1"/>
  <c r="DQ26" i="1"/>
  <c r="P92" i="1"/>
  <c r="X26" i="1"/>
  <c r="F91" i="1"/>
  <c r="X356" i="1"/>
  <c r="EK26" i="1"/>
  <c r="P82" i="1"/>
  <c r="EK356" i="1"/>
  <c r="EC26" i="1"/>
  <c r="DP65" i="1"/>
  <c r="DT26" i="1"/>
  <c r="DG65" i="1"/>
  <c r="P214" i="1"/>
  <c r="F292" i="1"/>
  <c r="S214" i="1"/>
  <c r="F304" i="1"/>
  <c r="DK26" i="1"/>
  <c r="P80" i="1"/>
  <c r="DK356" i="1"/>
  <c r="EQ321" i="1"/>
  <c r="P334" i="1"/>
  <c r="DY214" i="1"/>
  <c r="DL289" i="1"/>
  <c r="AB182" i="1"/>
  <c r="CE97" i="1"/>
  <c r="AV182" i="1"/>
  <c r="EI22" i="1"/>
  <c r="P366" i="1"/>
  <c r="EI386" i="1"/>
  <c r="AR321" i="1"/>
  <c r="F354" i="1"/>
  <c r="DJ26" i="1"/>
  <c r="P79" i="1"/>
  <c r="DJ356" i="1"/>
  <c r="CA182" i="1"/>
  <c r="R214" i="1"/>
  <c r="F303" i="1"/>
  <c r="GO228" i="1"/>
  <c r="CC289" i="1" s="1"/>
  <c r="CA289" i="1"/>
  <c r="Q214" i="1"/>
  <c r="F301" i="1"/>
  <c r="DH97" i="1"/>
  <c r="P185" i="1"/>
  <c r="Q26" i="1"/>
  <c r="F77" i="1"/>
  <c r="Q356" i="1"/>
  <c r="DU214" i="1"/>
  <c r="FX289" i="1"/>
  <c r="FW289" i="1"/>
  <c r="FZ289" i="1"/>
  <c r="DH289" i="1"/>
  <c r="GO29" i="1"/>
  <c r="FU65" i="1" s="1"/>
  <c r="FS65" i="1"/>
  <c r="CH214" i="1"/>
  <c r="AY289" i="1"/>
  <c r="S97" i="1"/>
  <c r="F197" i="1"/>
  <c r="BB18" i="1"/>
  <c r="F399" i="1"/>
  <c r="CH26" i="1"/>
  <c r="AY65" i="1"/>
  <c r="EV18" i="1"/>
  <c r="P411" i="1"/>
  <c r="FW26" i="1"/>
  <c r="EN65" i="1"/>
  <c r="DK97" i="1"/>
  <c r="P197" i="1"/>
  <c r="DM214" i="1"/>
  <c r="P311" i="1"/>
  <c r="DM356" i="1"/>
  <c r="Y214" i="1"/>
  <c r="F316" i="1"/>
  <c r="DP97" i="1"/>
  <c r="P208" i="1"/>
  <c r="AP97" i="1"/>
  <c r="F191" i="1"/>
  <c r="AP356" i="1"/>
  <c r="AY26" i="1" l="1"/>
  <c r="F73" i="1"/>
  <c r="AY356" i="1"/>
  <c r="FU97" i="1"/>
  <c r="EL182" i="1"/>
  <c r="EO26" i="1"/>
  <c r="P71" i="1"/>
  <c r="P22" i="1"/>
  <c r="F359" i="1"/>
  <c r="P386" i="1"/>
  <c r="CA26" i="1"/>
  <c r="AR65" i="1"/>
  <c r="AS26" i="1"/>
  <c r="F82" i="1"/>
  <c r="AS356" i="1"/>
  <c r="DO214" i="1"/>
  <c r="P313" i="1"/>
  <c r="DO356" i="1"/>
  <c r="W18" i="1"/>
  <c r="F410" i="1"/>
  <c r="EC214" i="1"/>
  <c r="DP289" i="1"/>
  <c r="EQ26" i="1"/>
  <c r="P73" i="1"/>
  <c r="AV26" i="1"/>
  <c r="F70" i="1"/>
  <c r="AV356" i="1"/>
  <c r="O26" i="1"/>
  <c r="F67" i="1"/>
  <c r="CC97" i="1"/>
  <c r="AT182" i="1"/>
  <c r="Y97" i="1"/>
  <c r="F209" i="1"/>
  <c r="X22" i="1"/>
  <c r="F382" i="1"/>
  <c r="X386" i="1"/>
  <c r="FU26" i="1"/>
  <c r="EL65" i="1"/>
  <c r="FX214" i="1"/>
  <c r="EO289" i="1"/>
  <c r="AB97" i="1"/>
  <c r="O182" i="1"/>
  <c r="DG26" i="1"/>
  <c r="P67" i="1"/>
  <c r="EK22" i="1"/>
  <c r="EK386" i="1"/>
  <c r="P373" i="1"/>
  <c r="E16" i="2" s="1"/>
  <c r="DI214" i="1"/>
  <c r="P301" i="1"/>
  <c r="X97" i="1"/>
  <c r="F208" i="1"/>
  <c r="DI356" i="1"/>
  <c r="CC26" i="1"/>
  <c r="AT65" i="1"/>
  <c r="V22" i="1"/>
  <c r="F379" i="1"/>
  <c r="V386" i="1"/>
  <c r="DN18" i="1"/>
  <c r="P409" i="1"/>
  <c r="EH97" i="1"/>
  <c r="P191" i="1"/>
  <c r="EH356" i="1"/>
  <c r="DT214" i="1"/>
  <c r="DG289" i="1"/>
  <c r="EQ97" i="1"/>
  <c r="P190" i="1"/>
  <c r="ES214" i="1"/>
  <c r="P309" i="1"/>
  <c r="ES356" i="1"/>
  <c r="U22" i="1"/>
  <c r="U386" i="1"/>
  <c r="F378" i="1"/>
  <c r="EK97" i="1"/>
  <c r="P199" i="1"/>
  <c r="AX18" i="1"/>
  <c r="F393" i="1"/>
  <c r="AP22" i="1"/>
  <c r="F365" i="1"/>
  <c r="V16" i="2" s="1"/>
  <c r="AP386" i="1"/>
  <c r="EN26" i="1"/>
  <c r="P70" i="1"/>
  <c r="EN356" i="1"/>
  <c r="FW214" i="1"/>
  <c r="EN289" i="1"/>
  <c r="EI18" i="1"/>
  <c r="P396" i="1"/>
  <c r="AY214" i="1"/>
  <c r="F297" i="1"/>
  <c r="DH214" i="1"/>
  <c r="P292" i="1"/>
  <c r="CA97" i="1"/>
  <c r="AR182" i="1"/>
  <c r="DL214" i="1"/>
  <c r="P310" i="1"/>
  <c r="DL356" i="1"/>
  <c r="DK22" i="1"/>
  <c r="DK386" i="1"/>
  <c r="P371" i="1"/>
  <c r="AZ97" i="1"/>
  <c r="F193" i="1"/>
  <c r="AZ356" i="1"/>
  <c r="DH356" i="1"/>
  <c r="EP18" i="1"/>
  <c r="P393" i="1"/>
  <c r="T18" i="1"/>
  <c r="F407" i="1"/>
  <c r="Y22" i="1"/>
  <c r="Y386" i="1"/>
  <c r="F383" i="1"/>
  <c r="DG97" i="1"/>
  <c r="P184" i="1"/>
  <c r="S22" i="1"/>
  <c r="F371" i="1"/>
  <c r="S386" i="1"/>
  <c r="AY97" i="1"/>
  <c r="F190" i="1"/>
  <c r="AW97" i="1"/>
  <c r="F188" i="1"/>
  <c r="GA97" i="1"/>
  <c r="ER182" i="1"/>
  <c r="AW214" i="1"/>
  <c r="F295" i="1"/>
  <c r="R22" i="1"/>
  <c r="R386" i="1"/>
  <c r="F370" i="1"/>
  <c r="GO231" i="1"/>
  <c r="FU289" i="1" s="1"/>
  <c r="FS289" i="1"/>
  <c r="F291" i="1"/>
  <c r="O214" i="1"/>
  <c r="AS97" i="1"/>
  <c r="F199" i="1"/>
  <c r="FS26" i="1"/>
  <c r="EJ65" i="1"/>
  <c r="CA214" i="1"/>
  <c r="AR289" i="1"/>
  <c r="DM22" i="1"/>
  <c r="P378" i="1"/>
  <c r="DM386" i="1"/>
  <c r="FZ214" i="1"/>
  <c r="EQ289" i="1"/>
  <c r="EQ356" i="1" s="1"/>
  <c r="Q22" i="1"/>
  <c r="Q386" i="1"/>
  <c r="F368" i="1"/>
  <c r="CC214" i="1"/>
  <c r="AT289" i="1"/>
  <c r="DJ22" i="1"/>
  <c r="P370" i="1"/>
  <c r="DJ386" i="1"/>
  <c r="AV97" i="1"/>
  <c r="F187" i="1"/>
  <c r="DP26" i="1"/>
  <c r="P91" i="1"/>
  <c r="DP356" i="1"/>
  <c r="AW26" i="1"/>
  <c r="F71" i="1"/>
  <c r="AW356" i="1"/>
  <c r="FS97" i="1"/>
  <c r="EJ182" i="1"/>
  <c r="ED214" i="1"/>
  <c r="DQ289" i="1"/>
  <c r="AV214" i="1"/>
  <c r="F294" i="1"/>
  <c r="EO97" i="1"/>
  <c r="P188" i="1"/>
  <c r="EM18" i="1"/>
  <c r="P405" i="1"/>
  <c r="DJ214" i="1"/>
  <c r="P303" i="1"/>
  <c r="BA18" i="1"/>
  <c r="F406" i="1"/>
  <c r="EN97" i="1"/>
  <c r="P187" i="1"/>
  <c r="EQ22" i="1" l="1"/>
  <c r="P364" i="1"/>
  <c r="EQ386" i="1"/>
  <c r="FS214" i="1"/>
  <c r="EJ289" i="1"/>
  <c r="EJ356" i="1" s="1"/>
  <c r="DL22" i="1"/>
  <c r="P377" i="1"/>
  <c r="DL386" i="1"/>
  <c r="AP18" i="1"/>
  <c r="F395" i="1"/>
  <c r="U18" i="1"/>
  <c r="F408" i="1"/>
  <c r="EO214" i="1"/>
  <c r="P295" i="1"/>
  <c r="X18" i="1"/>
  <c r="F412" i="1"/>
  <c r="DP214" i="1"/>
  <c r="P315" i="1"/>
  <c r="DO22" i="1"/>
  <c r="P380" i="1"/>
  <c r="DO386" i="1"/>
  <c r="AS22" i="1"/>
  <c r="F373" i="1"/>
  <c r="T16" i="2" s="1"/>
  <c r="AS386" i="1"/>
  <c r="EO356" i="1"/>
  <c r="FU214" i="1"/>
  <c r="EL289" i="1"/>
  <c r="S18" i="1"/>
  <c r="F401" i="1"/>
  <c r="DH22" i="1"/>
  <c r="P359" i="1"/>
  <c r="DH386" i="1"/>
  <c r="J16" i="2"/>
  <c r="EN22" i="1"/>
  <c r="P361" i="1"/>
  <c r="EN386" i="1"/>
  <c r="EH22" i="1"/>
  <c r="EH386" i="1"/>
  <c r="P365" i="1"/>
  <c r="G16" i="2" s="1"/>
  <c r="AT26" i="1"/>
  <c r="F83" i="1"/>
  <c r="AT356" i="1"/>
  <c r="EK18" i="1"/>
  <c r="P403" i="1"/>
  <c r="AT97" i="1"/>
  <c r="F200" i="1"/>
  <c r="P18" i="1"/>
  <c r="F389" i="1"/>
  <c r="AY22" i="1"/>
  <c r="F364" i="1"/>
  <c r="AY386" i="1"/>
  <c r="AR214" i="1"/>
  <c r="F317" i="1"/>
  <c r="Q18" i="1"/>
  <c r="F398" i="1"/>
  <c r="EJ26" i="1"/>
  <c r="P93" i="1"/>
  <c r="Y16" i="2"/>
  <c r="AZ22" i="1"/>
  <c r="AZ386" i="1"/>
  <c r="F367" i="1"/>
  <c r="ES22" i="1"/>
  <c r="P376" i="1"/>
  <c r="H16" i="2" s="1"/>
  <c r="ES386" i="1"/>
  <c r="O97" i="1"/>
  <c r="F184" i="1"/>
  <c r="EL26" i="1"/>
  <c r="P83" i="1"/>
  <c r="EL356" i="1"/>
  <c r="AV22" i="1"/>
  <c r="AV386" i="1"/>
  <c r="F361" i="1"/>
  <c r="EJ97" i="1"/>
  <c r="P210" i="1"/>
  <c r="DM18" i="1"/>
  <c r="P408" i="1"/>
  <c r="DP22" i="1"/>
  <c r="P382" i="1"/>
  <c r="DP386" i="1"/>
  <c r="F307" i="1"/>
  <c r="AT214" i="1"/>
  <c r="DK18" i="1"/>
  <c r="P401" i="1"/>
  <c r="V18" i="1"/>
  <c r="F409" i="1"/>
  <c r="DQ214" i="1"/>
  <c r="P316" i="1"/>
  <c r="DQ356" i="1"/>
  <c r="AW22" i="1"/>
  <c r="AW386" i="1"/>
  <c r="F362" i="1"/>
  <c r="DJ18" i="1"/>
  <c r="P400" i="1"/>
  <c r="EQ214" i="1"/>
  <c r="P297" i="1"/>
  <c r="R18" i="1"/>
  <c r="F400" i="1"/>
  <c r="ER97" i="1"/>
  <c r="P193" i="1"/>
  <c r="ER356" i="1"/>
  <c r="Y18" i="1"/>
  <c r="F413" i="1"/>
  <c r="AR97" i="1"/>
  <c r="F210" i="1"/>
  <c r="EN214" i="1"/>
  <c r="P294" i="1"/>
  <c r="DG214" i="1"/>
  <c r="P291" i="1"/>
  <c r="DI22" i="1"/>
  <c r="P368" i="1"/>
  <c r="DI386" i="1"/>
  <c r="DG356" i="1"/>
  <c r="O356" i="1"/>
  <c r="AR26" i="1"/>
  <c r="F93" i="1"/>
  <c r="AR356" i="1"/>
  <c r="EL97" i="1"/>
  <c r="P200" i="1"/>
  <c r="EJ22" i="1" l="1"/>
  <c r="P384" i="1"/>
  <c r="EJ386" i="1"/>
  <c r="EN18" i="1"/>
  <c r="P391" i="1"/>
  <c r="AW18" i="1"/>
  <c r="F392" i="1"/>
  <c r="AY18" i="1"/>
  <c r="F394" i="1"/>
  <c r="EL214" i="1"/>
  <c r="P307" i="1"/>
  <c r="DL18" i="1"/>
  <c r="P407" i="1"/>
  <c r="AV18" i="1"/>
  <c r="F391" i="1"/>
  <c r="AS18" i="1"/>
  <c r="F403" i="1"/>
  <c r="EL22" i="1"/>
  <c r="P374" i="1"/>
  <c r="F16" i="2" s="1"/>
  <c r="I16" i="2" s="1"/>
  <c r="N16" i="2" s="1"/>
  <c r="EL386" i="1"/>
  <c r="AT22" i="1"/>
  <c r="F374" i="1"/>
  <c r="U16" i="2" s="1"/>
  <c r="X16" i="2" s="1"/>
  <c r="AC16" i="2" s="1"/>
  <c r="AT386" i="1"/>
  <c r="EH18" i="1"/>
  <c r="P395" i="1"/>
  <c r="EQ18" i="1"/>
  <c r="P394" i="1"/>
  <c r="DI18" i="1"/>
  <c r="P398" i="1"/>
  <c r="DP18" i="1"/>
  <c r="P412" i="1"/>
  <c r="DH18" i="1"/>
  <c r="P389" i="1"/>
  <c r="EJ214" i="1"/>
  <c r="P317" i="1"/>
  <c r="O22" i="1"/>
  <c r="O386" i="1"/>
  <c r="F358" i="1"/>
  <c r="AR22" i="1"/>
  <c r="AR386" i="1"/>
  <c r="F384" i="1"/>
  <c r="DG22" i="1"/>
  <c r="P358" i="1"/>
  <c r="DG386" i="1"/>
  <c r="ER22" i="1"/>
  <c r="P367" i="1"/>
  <c r="ER386" i="1"/>
  <c r="DQ22" i="1"/>
  <c r="P383" i="1"/>
  <c r="DQ386" i="1"/>
  <c r="ES18" i="1"/>
  <c r="P406" i="1"/>
  <c r="AZ18" i="1"/>
  <c r="F397" i="1"/>
  <c r="EO22" i="1"/>
  <c r="P362" i="1"/>
  <c r="EO386" i="1"/>
  <c r="DO18" i="1"/>
  <c r="P410" i="1"/>
  <c r="AR18" i="1" l="1"/>
  <c r="F414" i="1"/>
  <c r="EL18" i="1"/>
  <c r="P404" i="1"/>
  <c r="ER18" i="1"/>
  <c r="P397" i="1"/>
  <c r="AT18" i="1"/>
  <c r="F404" i="1"/>
  <c r="EJ18" i="1"/>
  <c r="P414" i="1"/>
  <c r="DG18" i="1"/>
  <c r="P388" i="1"/>
  <c r="DQ18" i="1"/>
  <c r="P413" i="1"/>
  <c r="EO18" i="1"/>
  <c r="P392" i="1"/>
  <c r="O18" i="1"/>
  <c r="F388" i="1"/>
</calcChain>
</file>

<file path=xl/sharedStrings.xml><?xml version="1.0" encoding="utf-8"?>
<sst xmlns="http://schemas.openxmlformats.org/spreadsheetml/2006/main" count="21238" uniqueCount="903">
  <si>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</si>
  <si>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</si>
  <si>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</si>
  <si>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</si>
  <si>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</t>
  </si>
  <si>
    <t>02-01-19</t>
  </si>
  <si>
    <t>02-01-19 АУГП</t>
  </si>
  <si>
    <t>2024-00375-01-0-ИОС5.12</t>
  </si>
  <si>
    <t>О.А.Гришечкина</t>
  </si>
  <si>
    <t>Ведущий инженер-сметчик</t>
  </si>
  <si>
    <t>И.В.Феденко</t>
  </si>
  <si>
    <t>Начальник отдела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</si>
  <si>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</si>
  <si>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</si>
  <si>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</si>
  <si>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 [02-01-19 АУГП]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</si>
  <si>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</si>
  <si>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</si>
  <si>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</si>
  <si>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</si>
  <si>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Автоматическая установка газового пожаротушения</t>
  </si>
  <si>
    <t>Гришечкина О,А.</t>
  </si>
  <si>
    <t>Феденко И.В.</t>
  </si>
  <si>
    <t>Руководитель сметного отдела</t>
  </si>
  <si>
    <t>Новый раздел</t>
  </si>
  <si>
    <t>Демонтажные работы (Письмо от АНО «РГТ» об утверждении объёмов демонтажных работ)</t>
  </si>
  <si>
    <t>1</t>
  </si>
  <si>
    <t>4.10-80-5</t>
  </si>
  <si>
    <t>Аппараты приемные, приборы ПС приемно-контрольные, пусковые, прибор ПС на 1 луч / демонтаж модуля автоматики пожаротушения</t>
  </si>
  <si>
    <t>1  ШТ.</t>
  </si>
  <si>
    <t>ТСН-2001.4. Доп. 1-42. Сб. 10, т. 80, поз. 5</t>
  </si>
  <si>
    <t>*1)*0</t>
  </si>
  <si>
    <t>*1,2)*0,3</t>
  </si>
  <si>
    <t>Монтаж оборудования</t>
  </si>
  <si>
    <t>ТСН-2001.4-10. Прокладка и монтаж сетей связи</t>
  </si>
  <si>
    <t>ТСН-2001.4-10-1</t>
  </si>
  <si>
    <t>Поправка: Гл.12.Прил.8.п.8. 3_12.00.01.11.001
Поправка: Гл.4.Прил.2.2.п.2.2.29_04.00.01.35.003</t>
  </si>
  <si>
    <t>2</t>
  </si>
  <si>
    <t>4.10-80-2</t>
  </si>
  <si>
    <t>Аппараты приемные, приборы ПС приемно-контрольные, пусковые, концентратор, блок базовый на 20 лучей / демонтаж прибора приемно-контрольного и управления охранно-пожарного</t>
  </si>
  <si>
    <t>ТСН-2001.4 Доп. 68, Сб. 10, т. 80, поз. 2</t>
  </si>
  <si>
    <t>3</t>
  </si>
  <si>
    <t>4.10-163-2</t>
  </si>
  <si>
    <t>Монтаж охранно-пожарного пульта (ОПП) в диспетчерской / демонтаж пульта дистанционного управления</t>
  </si>
  <si>
    <t>1 устройство</t>
  </si>
  <si>
    <t>ТСН-2001.4 Доп. 70, Сб. 10, т. 163, поз. 2</t>
  </si>
  <si>
    <t>4</t>
  </si>
  <si>
    <t>4.10-167-1</t>
  </si>
  <si>
    <t>Монтаж блока питания сети (БПС) в диспетчерской / демонтаж блоков электропитания</t>
  </si>
  <si>
    <t>ТСН-2001.4 Доп. 69, Сб. 10, т. 167, поз. 1</t>
  </si>
  <si>
    <t>5</t>
  </si>
  <si>
    <t>4.10-81-2</t>
  </si>
  <si>
    <t>Извещатели ПС автоматические, дымовой, фотоэлектрический, радиоизотопный, световой в нормальном исполнении / демонтаж извещателей</t>
  </si>
  <si>
    <t>ТСН-2001.4. Доп. 1-42. Сб. 10, т. 81, поз. 2</t>
  </si>
  <si>
    <t>6</t>
  </si>
  <si>
    <t>4.10-76-10</t>
  </si>
  <si>
    <t>Монтаж ключа или кнопки на панели</t>
  </si>
  <si>
    <t>ТСН-2001.4 Доп. 79, Сб. 10, т. 76, поз. 10</t>
  </si>
  <si>
    <t>ТСН-2001.4-10. Монтаж радиотелевизионного и электронного оборудования</t>
  </si>
  <si>
    <t>ТСН-2001.4-10-2</t>
  </si>
  <si>
    <t>7</t>
  </si>
  <si>
    <t>4.10-81-4</t>
  </si>
  <si>
    <t>Извещатели ОС автоматические, контактный, магнито-контактный на открывание окон, дверей / демонтаж извещателей</t>
  </si>
  <si>
    <t>ТСН-2001.4. Доп. 1-42. Сб. 10, т. 81, поз. 4</t>
  </si>
  <si>
    <t>8</t>
  </si>
  <si>
    <t>4.8-245-10</t>
  </si>
  <si>
    <t>Монтаж светильников с лампами накаливания, светового настенного указателя / демонтаж оповещателя пожарного светового</t>
  </si>
  <si>
    <t>100 шт.</t>
  </si>
  <si>
    <t>ТСН-2001.4 Доп. 79, Сб. 8, т. 245, поз. 10</t>
  </si>
  <si>
    <t>ТСН-2001.4-8. Электротехнические установки</t>
  </si>
  <si>
    <t>ТСН-2001.4-8-1</t>
  </si>
  <si>
    <t>9</t>
  </si>
  <si>
    <t>Извещатели ПС автоматические, дымовой, фотоэлектрический, радиоизотопный, световой в нормальном исполнении / демонтаж оповещателей</t>
  </si>
  <si>
    <t>10</t>
  </si>
  <si>
    <t>4.37-18-4</t>
  </si>
  <si>
    <t>Монтаж модуля установки пожаротушения тонкораспыленной водой объемом 13 л за подвесным потолком / демонтаж модулей газового пожаротушения</t>
  </si>
  <si>
    <t>ТСН-2001.4 Доп. 68, Сб. 37, т. 18, поз. 4</t>
  </si>
  <si>
    <t>ТСН-2001.4-37. Оборудование общего назначения</t>
  </si>
  <si>
    <t>ТСН-2001.4-37-1</t>
  </si>
  <si>
    <t>11</t>
  </si>
  <si>
    <t>3.9-74-1</t>
  </si>
  <si>
    <t>Установка противопожарных металлических однопольных дверных блоков / демонтаж металлических дверных блоков</t>
  </si>
  <si>
    <t>10 шт.</t>
  </si>
  <si>
    <t>ТСН-2001.3 Доп. 79, Сб. 9, т. 74, поз. 1</t>
  </si>
  <si>
    <t>*1)*0,6</t>
  </si>
  <si>
    <t>*1,2)*0,6</t>
  </si>
  <si>
    <t>Строительные работы</t>
  </si>
  <si>
    <t>ТСН-2001.3-9. Металлические конструкции</t>
  </si>
  <si>
    <t>ТСН-2001.3-9-1</t>
  </si>
  <si>
    <t>Поправка: Гл.12.Прил.8.п.8. 3_12.00.01.11.001
Поправка: Гл.6.Прил.2.2.п.2.2.16_06.00.01.35.006</t>
  </si>
  <si>
    <t>12</t>
  </si>
  <si>
    <t>4.10-1-12</t>
  </si>
  <si>
    <t>Установка рамки со штифтами на винтах в нарезных отверстиях / демонтаж стыковочных узлов</t>
  </si>
  <si>
    <t>1 рамка</t>
  </si>
  <si>
    <t>ТСН-2001.4 Доп. 67, Сб. 10, т. 1, поз. 12</t>
  </si>
  <si>
    <t>13</t>
  </si>
  <si>
    <t>3.70-434-1</t>
  </si>
  <si>
    <t>Установка дверного доводчика или синхронизатора к металлическим дверям / демонтаж дверного доводчика</t>
  </si>
  <si>
    <t>ТСН-2001.3 Доп. 81, Сб. 70, т. 434, поз. 1</t>
  </si>
  <si>
    <t>ТСН-2001.3-70. Металлические конструкции</t>
  </si>
  <si>
    <t>ТСН-2001.3-70-4</t>
  </si>
  <si>
    <t>14</t>
  </si>
  <si>
    <t>3.20-11-1</t>
  </si>
  <si>
    <t>Установка клапанов обратных диаметром до 355 мм / демонтаж клапана сброса избыточного давления КСИД</t>
  </si>
  <si>
    <t>1 клапан</t>
  </si>
  <si>
    <t>ТСН-2001.3 Доп. 72, Сб. 20, т. 11, поз. 1</t>
  </si>
  <si>
    <t>ТСН-2001.3-20. Вентиляция и кондиционирование воздуха</t>
  </si>
  <si>
    <t>ТСН-2001.3-20-1</t>
  </si>
  <si>
    <t>15</t>
  </si>
  <si>
    <t>3.17-12-1</t>
  </si>
  <si>
    <t>Установка вентиляционных решеток площадью в свету до 0,05 м2 / демонтаж защитной решетки для КСИД</t>
  </si>
  <si>
    <t>ТСН-2001.3 Доп. 79, Сб. 17, т. 12, поз. 1</t>
  </si>
  <si>
    <t>ТСН-2001.3-17. Водопровод и канализация - внутренние устройства</t>
  </si>
  <si>
    <t>ТСН-2001.3-17-1</t>
  </si>
  <si>
    <t>16</t>
  </si>
  <si>
    <t>6.67-6-1</t>
  </si>
  <si>
    <t>Демонтаж кабеля</t>
  </si>
  <si>
    <t>100 м</t>
  </si>
  <si>
    <t>ТСН-2001.6. Доп. 1-42. Сб. 67, т. 6, поз. 1</t>
  </si>
  <si>
    <t>*1</t>
  </si>
  <si>
    <t>*1,2</t>
  </si>
  <si>
    <t>Ремонтно-строительные работы</t>
  </si>
  <si>
    <t>ТСН-2001.6-67. Электромонтажные работы</t>
  </si>
  <si>
    <t>ТСН-2001.6-67-1</t>
  </si>
  <si>
    <t>Поправка: Гл.12.Прил.8.п.8. 3_12.00.01.11.001</t>
  </si>
  <si>
    <t>6.67-5-12</t>
  </si>
  <si>
    <t>Демонтаж трубных проводок, трубы в борозде диаметром 25 мм</t>
  </si>
  <si>
    <t>ТСН-2001.6. Доп. 1-42. Сб. 67, т. 5, поз. 12</t>
  </si>
  <si>
    <t>17</t>
  </si>
  <si>
    <t>4.10-185-3</t>
  </si>
  <si>
    <t>Прокладка кабеля связи огнестойкого в трубах гофрированных с использованием скобы СМО: по бетонным поверхностям</t>
  </si>
  <si>
    <t>ТСН-2001.4 Доп. 80, Сб. 10, т. 185, поз. 3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</si>
  <si>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</si>
  <si>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</si>
  <si>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</si>
  <si>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</si>
  <si>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</si>
  <si>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</si>
  <si>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</si>
  <si>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</si>
  <si>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</si>
  <si>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</si>
  <si>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</si>
  <si>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</si>
  <si>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</si>
  <si>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</si>
  <si>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</si>
  <si>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</si>
  <si>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</si>
  <si>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</si>
  <si>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</si>
  <si>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</si>
  <si>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</si>
  <si>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</si>
  <si>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</si>
  <si>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</si>
  <si>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</si>
  <si>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</si>
  <si>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</si>
  <si>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</si>
  <si>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</si>
  <si>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</si>
  <si>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</si>
  <si>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</si>
  <si>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</si>
  <si>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</si>
  <si>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</si>
  <si>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</si>
  <si>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</si>
  <si>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</si>
  <si>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</si>
  <si>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</si>
  <si>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</si>
  <si>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</si>
  <si>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</si>
  <si>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</si>
  <si>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</si>
  <si>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</si>
  <si>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</si>
  <si>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</si>
  <si>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</si>
  <si>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</si>
  <si>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</si>
  <si>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</si>
  <si>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</si>
  <si>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</si>
  <si>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Оборудование</t>
  </si>
  <si>
    <t>18</t>
  </si>
  <si>
    <t>Аппараты приемные, приборы ПС приемно-контрольные, пусковые, прибор ПС на 1 луч</t>
  </si>
  <si>
    <t>19</t>
  </si>
  <si>
    <t>КА, п.1</t>
  </si>
  <si>
    <t>Модуль автоматики пожаротушения МПТ-1 прот.R3 RBZ-073406</t>
  </si>
  <si>
    <t>ШТ</t>
  </si>
  <si>
    <t>Оборудование, отсутствующие в СНБ</t>
  </si>
  <si>
    <t>Оборуд. КА</t>
  </si>
  <si>
    <t>[7 394 / 1,22 /  7,57] +  3% Трансп +  1,2% Заг.скл</t>
  </si>
  <si>
    <t>1,2</t>
  </si>
  <si>
    <t>20</t>
  </si>
  <si>
    <t>4.10-80-1</t>
  </si>
  <si>
    <t>Аппараты приемные, приборы ПС приемно-контрольные, пусковые, концентратор, блок базовый на 10 лучей</t>
  </si>
  <si>
    <t>ТСН-2001.4 Доп. 68, Сб. 10, т. 80, поз. 1</t>
  </si>
  <si>
    <t>21</t>
  </si>
  <si>
    <t>КА, п.2</t>
  </si>
  <si>
    <t>Прибор приемно-контрольный и управления охранно-пожарный R3-Рубеж-2ОП RBZ-319538</t>
  </si>
  <si>
    <t>[42 981 / 1,22 /  7,57] +  3% Трансп +  1,2% Заг.скл</t>
  </si>
  <si>
    <t>22</t>
  </si>
  <si>
    <t>Монтаж охранно-пожарного пульта (ОПП) в диспетчерской</t>
  </si>
  <si>
    <t>22,1</t>
  </si>
  <si>
    <t>КА, п.3</t>
  </si>
  <si>
    <t>Пульт дистанционного управления R3-Рубеж-ПДУ-ПТ RBZ-319535</t>
  </si>
  <si>
    <t>[21 132 / 1,22 /  7,57] +  3% Трансп +  1,2% Заг.скл</t>
  </si>
  <si>
    <t>23</t>
  </si>
  <si>
    <t>Монтаж блока питания сети (БПС) в диспетчерской</t>
  </si>
  <si>
    <t>24</t>
  </si>
  <si>
    <t>КА, п.4</t>
  </si>
  <si>
    <t>Источник вторичного электропитания резервированный, 12 В, 3.5 А, 2х7 Ач, ИВЭПР 12/3.5 2x7 -Р БР, ПАСН.436234.024-01</t>
  </si>
  <si>
    <t>[6 442 / 1,22 /  7,57] +  3% Трансп +  1,2% Заг.скл</t>
  </si>
  <si>
    <t>25</t>
  </si>
  <si>
    <t>КА, п.5</t>
  </si>
  <si>
    <t>Источник вторичного электропитания резервированный 12 В, 5 А, 2х7 Ач, ИВЭПР 12/5 2x7 -Р БР RBZ-216604</t>
  </si>
  <si>
    <t>[7 116 / 1,22 /  7,57] +  3% Трансп +  1,2% Заг.скл</t>
  </si>
  <si>
    <t>26</t>
  </si>
  <si>
    <t>КА, п.6</t>
  </si>
  <si>
    <t>Источник вторичного электропитания резервированный, ИВЭПР 12/2 RS-R3 2x17 прот. R3 RBZ-216598</t>
  </si>
  <si>
    <t>[8 306 / 1,22 /  7,57] +  3% Трансп +  1,2% Заг.скл</t>
  </si>
  <si>
    <t>27</t>
  </si>
  <si>
    <t>13.1-1-20</t>
  </si>
  <si>
    <t>Батарея аккумуляторная, емкость 7 А·ч, напряжение 12 В</t>
  </si>
  <si>
    <t>шт.</t>
  </si>
  <si>
    <t>ТСН-2001.13-2. Доп. 40. 13.1-1-20</t>
  </si>
  <si>
    <t>Сметная стоимость оборудования</t>
  </si>
  <si>
    <t>ТСН-2001.13. Сметная стоимость оборудования</t>
  </si>
  <si>
    <t>ТСН-2001.13</t>
  </si>
  <si>
    <t>28</t>
  </si>
  <si>
    <t>13.1-1-21</t>
  </si>
  <si>
    <t>Батарея аккумуляторная, емкость 17 А·ч, напряжение 12 В</t>
  </si>
  <si>
    <t>ТСН-2001.13-2. Доп. 40. 13.1-1-21</t>
  </si>
  <si>
    <t>29</t>
  </si>
  <si>
    <t>Извещатели ПС автоматические, дымовой, фотоэлектрический, радиоизотопный, световой в нормальном исполнении</t>
  </si>
  <si>
    <t>30</t>
  </si>
  <si>
    <t>КА, п.7</t>
  </si>
  <si>
    <t>Извещатель пожарный дымовой адресно-аналоговый с базовым основанием ИП 212-64-R3 (ИЗ-1Б-R3)</t>
  </si>
  <si>
    <t>[1 552 / 1,22 /  7,57] +  3% Трансп +  1,2% Заг.скл</t>
  </si>
  <si>
    <t>31</t>
  </si>
  <si>
    <t>32</t>
  </si>
  <si>
    <t>КА, п.8</t>
  </si>
  <si>
    <t>Устройство дистанционного пуска адресное УДП 513-11 ИКЗ-R3 "Пуск пожаротушения»</t>
  </si>
  <si>
    <t>[1 296 / 1,22 /  7,57] +  3% Трансп +  1,2% Заг.скл</t>
  </si>
  <si>
    <t>33</t>
  </si>
  <si>
    <t>Извещатели ОС автоматические, контактный, магнито-контактный на открывание окон, дверей</t>
  </si>
  <si>
    <t>34</t>
  </si>
  <si>
    <t>13.1-2-141</t>
  </si>
  <si>
    <t>ТСН-2001.13-2. Доп. 34. 13.1-2-141</t>
  </si>
  <si>
    <t>35</t>
  </si>
  <si>
    <t>Монтаж светильников с лампами накаливания, светового настенного указателя</t>
  </si>
  <si>
    <t>36</t>
  </si>
  <si>
    <t>13.1-2-412</t>
  </si>
  <si>
    <t>ТСН-2001.13-2. Доп. 40. 13.1-2-412</t>
  </si>
  <si>
    <t>37</t>
  </si>
  <si>
    <t>38</t>
  </si>
  <si>
    <t>КА, п.9</t>
  </si>
  <si>
    <t>Оповещатель пожарный свето-звуковой, 12 В, IP55, 105 дБ Маяк-12-КПМ1</t>
  </si>
  <si>
    <t>[818 / 1,22 /  7,57] +  3% Трансп +  1,2% Заг.скл</t>
  </si>
  <si>
    <t>39</t>
  </si>
  <si>
    <t>Монтаж модуля установки пожаротушения тонкораспыленной водой объемом 13 л за подвесным потолком</t>
  </si>
  <si>
    <t>40</t>
  </si>
  <si>
    <t>КА, п.10</t>
  </si>
  <si>
    <t>Мо дуль газового пожаротушения с электро-контактным манометром, электромагнитным клапаном, заправлен (масса заправки ФК-5-1-12 – 18,5 кг)  Заря-22 (30-22,5-18)</t>
  </si>
  <si>
    <t>[195 723 / 1,22 /  7,57] +  3% Трансп +  1,2% Заг.скл</t>
  </si>
  <si>
    <t>41</t>
  </si>
  <si>
    <t>КА, п.11</t>
  </si>
  <si>
    <t>Модуль газового пожаротушения с электроконтактным манометром, электромагнитным клапаном, заправлен (масса заправки ФК-5-1-12 – 15 кг) Заря-22 (30-22,5-18)</t>
  </si>
  <si>
    <t>[177 983,57 / 1,22 /  7,57] +  3% Трансп +  1,2% Заг.скл</t>
  </si>
  <si>
    <t>42</t>
  </si>
  <si>
    <t>КА, п.12</t>
  </si>
  <si>
    <t>Модуль газового пожаротушения с электроконтактным манометром, электромагнитным клапаном, заправлен (масса заправки ФК-5-1-12 – 17,5 кг) Заря-22 (30-22,5-18)</t>
  </si>
  <si>
    <t>[220 783,55 / 1,22 /  7,57] +  3% Трансп +  1,2% Заг.скл</t>
  </si>
  <si>
    <t>43</t>
  </si>
  <si>
    <t>КА, п.13</t>
  </si>
  <si>
    <t>Модуль газового пожаротушения с электроконтактным манометром, электромагнитным клапаном, заправлен (масса заправки ФК-5-1-12 – 16,5 кг) Заря-22 (30-22,5-18)</t>
  </si>
  <si>
    <t>[213 946,76 / 1,22 /  7,57] +  3% Трансп +  1,2% Заг.скл</t>
  </si>
  <si>
    <t>44</t>
  </si>
  <si>
    <t>13.3-9-178</t>
  </si>
  <si>
    <t>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</si>
  <si>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t>ТСН-2001.13-2. Доп. 34. 13.3-9-178</t>
  </si>
  <si>
    <t>45</t>
  </si>
  <si>
    <t>КА, п.14</t>
  </si>
  <si>
    <t>Контейнер для двух СПИ-20 "СПИ-20 ШК-2 (344х204х170)" арт. RB1151-1</t>
  </si>
  <si>
    <t>[2 530 / 1,22 /  7,57] +  3% Трансп +  1,2% Заг.скл</t>
  </si>
  <si>
    <t>46</t>
  </si>
  <si>
    <t>Установка противопожарных металлических однопольных дверных блоков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</si>
  <si>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</si>
  <si>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</si>
  <si>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</si>
  <si>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</si>
  <si>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46,1</t>
  </si>
  <si>
    <t>1.7-2-94</t>
  </si>
  <si>
    <t>Блок дверной металлический противопожарный с заполнением минеральной ватой, окрашенный порошковой краской, предел огнестойкости EI 60, однопольный, 900х2100 мм, масса 112,7 кг, с замком-защелкой, без доводчика</t>
  </si>
  <si>
    <t>т</t>
  </si>
  <si>
    <t>ТСН-2001.1 Доп. 79, Р. 7, о. 2, поз. 94</t>
  </si>
  <si>
    <t>Поправка: Гл.6.Прил.2.2.п.2.2.6_06.00.01.07.001_x000D_
Поправка: Гл.12.Прил.8.п.8. 3_12.00.01.11.001</t>
  </si>
  <si>
    <t>Установка рамки со штифтами на винтах в нарезных отверстиях</t>
  </si>
  <si>
    <t>1.19-5-121</t>
  </si>
  <si>
    <t>Узел стыковочный приточно-вытяжной для установки в стену или дверь, предел огнестойкости не менее EI 60, габаритные размеры 460х460 мм, врезные размеры 400х400 мм</t>
  </si>
  <si>
    <t>ТСН-2001.1 Доп. 79, Р. 19, о. 5, поз. 121</t>
  </si>
  <si>
    <t>47</t>
  </si>
  <si>
    <t>Установка дверного доводчика или синхронизатора к металлическим дверям</t>
  </si>
  <si>
    <t>47,1</t>
  </si>
  <si>
    <t>1.8-1-74</t>
  </si>
  <si>
    <t>Доводчик дверной, гидравлический, масса двери до 120 кг</t>
  </si>
  <si>
    <t>ТСН-2001.1 Доп. 79, Р. 8, о. 1, поз. 74</t>
  </si>
  <si>
    <t>48</t>
  </si>
  <si>
    <t>КА, п.21</t>
  </si>
  <si>
    <t>Дымосос переносной (напорный рукав 50 м) в комплекте с двухзонной всасывающей обвязкой</t>
  </si>
  <si>
    <t>[67 800 / 1,22 /  7,57] +  3% Трансп +  1,2% Заг.скл</t>
  </si>
  <si>
    <t>49</t>
  </si>
  <si>
    <t>Установка клапанов обратных диаметром до 355 мм</t>
  </si>
  <si>
    <t>49,1</t>
  </si>
  <si>
    <t>1.1-1-8146</t>
  </si>
  <si>
    <t>Болты стальные оцинкованные с шестигранной головкой, с полной резьбой, с гайкой оцинкованной, М6, длина от 12 до 60 мм</t>
  </si>
  <si>
    <t>кг</t>
  </si>
  <si>
    <t>ТСН-2001.1 Доп. 79, Р. 1, о. 1, поз. 8146</t>
  </si>
  <si>
    <t>49,2</t>
  </si>
  <si>
    <t>КА, п.15</t>
  </si>
  <si>
    <t>Клапан сброса избыточного давления КСИД 150-0,5</t>
  </si>
  <si>
    <t>[15 800 / 1,22 /  7,57] +  3% Трансп +  1,2% Заг.скл</t>
  </si>
  <si>
    <t>50</t>
  </si>
  <si>
    <t>Установка вентиляционных решеток площадью в свету до 0,05 м2</t>
  </si>
  <si>
    <t>50,1</t>
  </si>
  <si>
    <t>КА, п.16</t>
  </si>
  <si>
    <t>Решетка защитная на КСИД 150-0,5</t>
  </si>
  <si>
    <t>Материалы, отсутствующие в СНБ (Строительные)</t>
  </si>
  <si>
    <t>МР КА Строительные</t>
  </si>
  <si>
    <t>[3 000 / 1,22 /  9,84] +  2% Заг.скл</t>
  </si>
  <si>
    <t>0</t>
  </si>
  <si>
    <t>Кабельные изделия</t>
  </si>
  <si>
    <t>4.8-288-2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</si>
  <si>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</si>
  <si>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t>ТСН-2001.4 Доп. 54, Сб. 8, т. 288, поз. 2</t>
  </si>
  <si>
    <t>1.12-5-372</t>
  </si>
  <si>
    <t>Трубы электротехнические, гофрированные, из ПВХ, негорючие, с зондом, наружный диаметр 20 мм</t>
  </si>
  <si>
    <t>м</t>
  </si>
  <si>
    <t>ТСН-2001.1 Доп. 67, Р. 12, о. 5, поз. 372</t>
  </si>
  <si>
    <t>КА, п.17</t>
  </si>
  <si>
    <t>Огнестойкая распределительная коробка IP55 ТУ 27.33.13-001-52715257-2017 40-0210-FR2.5-4</t>
  </si>
  <si>
    <t>[2 462,1 / 1,22 /  9,84] +  2% Заг.скл</t>
  </si>
  <si>
    <t>1.21-5-1469</t>
  </si>
  <si>
    <t>Скоба однолапковая стальная оцинкованная, для кабелей диаметром от 19 до 20 мм</t>
  </si>
  <si>
    <t>1000 шт.</t>
  </si>
  <si>
    <t>ТСН-2001.1 Доп. 79, Р. 21, о. 5, поз. 1469</t>
  </si>
  <si>
    <t>1.1-1-3383</t>
  </si>
  <si>
    <t>Дюбель-гвоздь стальной, диаметр 6 мм, длина 40 мм / прим. дюбель универсальный 5х30</t>
  </si>
  <si>
    <t>ТСН-2001.1 Доп. 79, Р. 1, о. 1, поз. 3383</t>
  </si>
  <si>
    <t>Материалы строительные</t>
  </si>
  <si>
    <t>ТСН-2001.1 Материалы строительные</t>
  </si>
  <si>
    <t>ТСН-2001.1-1</t>
  </si>
  <si>
    <t>1.1-1-3256</t>
  </si>
  <si>
    <t>Шуруп-саморез с потайной головкой, наконечник сверло, оцинкованный, диаметр 4,2 мм, длина 60 мм</t>
  </si>
  <si>
    <t>ТСН-2001.1 Доп. 73, Р. 1, о. 1, поз. 3256</t>
  </si>
  <si>
    <t>51</t>
  </si>
  <si>
    <t>51,1</t>
  </si>
  <si>
    <t>51,2</t>
  </si>
  <si>
    <t>51,3</t>
  </si>
  <si>
    <t>Дюбель-гвоздь стальной, диаметр 6 мм, длина 40 мм/ прим. дюбель универсальный 5х30</t>
  </si>
  <si>
    <t>51,4</t>
  </si>
  <si>
    <t>52</t>
  </si>
  <si>
    <t>КА, п.18</t>
  </si>
  <si>
    <t>Кабель КПСЭнг(A)-FRLSLTx 1х2х0,75</t>
  </si>
  <si>
    <t>Материалы, отсутствующие в СНБ (Монтажные)</t>
  </si>
  <si>
    <t>МР КА Монтажные</t>
  </si>
  <si>
    <t>[41,83 / 1,22 /  9,84] +  2% Заг.скл</t>
  </si>
  <si>
    <t>53</t>
  </si>
  <si>
    <t>4.10-185-13</t>
  </si>
  <si>
    <t>Монтаж огнестойкой ответвительной коробки для кабельных линий связи: по бетонным поверхностям</t>
  </si>
  <si>
    <t>ТСН-2001.4 Доп. 79, Сб. 10, т. 185, поз. 13</t>
  </si>
  <si>
    <t>54</t>
  </si>
  <si>
    <t>4.8-288-3</t>
  </si>
  <si>
    <t>Трубы гофрированные поливинилхлоридные наружным диаметром 25 мм открыто по стенам и потолкам с установкой соединительных коробок</t>
  </si>
  <si>
    <t>ТСН-2001.4 Доп. 54, Сб. 8, т. 288, поз. 3</t>
  </si>
  <si>
    <t>1.12-5-373</t>
  </si>
  <si>
    <t>Трубы электротехнические, гофрированные, из ПВХ, негорючие, с зондом, наружный диаметр 25 мм</t>
  </si>
  <si>
    <t>ТСН-2001.1 Доп. 67, Р. 12, о. 5, поз. 373</t>
  </si>
  <si>
    <t>1.21-5-1470</t>
  </si>
  <si>
    <t>Скоба двухлапковая стальная оцинкованная, для кабелей диаметром от 25 до 26 мм</t>
  </si>
  <si>
    <t>ТСН-2001.1 Доп. 79, Р. 21, о. 5, поз. 1470</t>
  </si>
  <si>
    <t>55</t>
  </si>
  <si>
    <t>55,1</t>
  </si>
  <si>
    <t>55,2</t>
  </si>
  <si>
    <t>55,3</t>
  </si>
  <si>
    <t>1.23-8-770</t>
  </si>
  <si>
    <t>км</t>
  </si>
  <si>
    <t>ТСН-2001.1 Доп. 79, Р. 23, о. 8, поз. 770</t>
  </si>
  <si>
    <t>56</t>
  </si>
  <si>
    <t>4.8-328-1</t>
  </si>
  <si>
    <t>Прокладка кабельного изделия по установленным конструкциям и лоткам, при массе 1 м кабельного изделия до 0,5 кг на высоте до 5 м</t>
  </si>
  <si>
    <t>ТСН-2001.4 Доп. 75, Сб. 8, т. 328, поз. 1</t>
  </si>
  <si>
    <t>57</t>
  </si>
  <si>
    <t>КА, п.19</t>
  </si>
  <si>
    <t>Кабель СегментЛАН U/UTP Cat5e PVCLSнг(А)-FRLSLT 2х2х0,52</t>
  </si>
  <si>
    <t>[136,97 / 1,22 /  9,84] +  2% Заг.скл</t>
  </si>
  <si>
    <t>58</t>
  </si>
  <si>
    <t>4.8-170-6</t>
  </si>
  <si>
    <t>Прокладка по установленным конструкциям, в готовых бороздах по основанию пола стальной трубы диаметром до 25 мм</t>
  </si>
  <si>
    <t>ТСН-2001.4 Доп. 79, Сб. 8, т. 170, поз. 6</t>
  </si>
  <si>
    <t>58,1</t>
  </si>
  <si>
    <t>1.12-1-29</t>
  </si>
  <si>
    <t>Заготовка для электропроводки из электросварных прямошовных труб, толщина стенки 2 мм, наружный диаметр 26 мм</t>
  </si>
  <si>
    <t>ТСН-2001.1 Доп. 79, Р. 12, о. 1, поз. 29</t>
  </si>
  <si>
    <t>4.8-175-1</t>
  </si>
  <si>
    <t>Затягивание провода в проложенные трубы и металлические рукава, первого одножильного или многожильного в общей оплетке, суммарное сечение до 2,5 мм2</t>
  </si>
  <si>
    <t>ТСН-2001.4 Доп. 71, Сб. 8, т. 175, поз. 1</t>
  </si>
  <si>
    <t>Материалы монтажные</t>
  </si>
  <si>
    <t>ТСН-2001.1 Материалы монтажные</t>
  </si>
  <si>
    <t>ТСН-2001.1-2</t>
  </si>
  <si>
    <t>4.8-175-9</t>
  </si>
  <si>
    <t>Добавлять на затягивание провода в проложенные трубы и металлические рукава каждого последующего одножильного или многожильного в общей оплетке, суммарное сечение до 6 мм2 (к нормам и расценкам 4.8-175-1 и 4.8-175-2)</t>
  </si>
  <si>
    <t>ТСН-2001.4 Доп. 80, Сб. 8, т. 175, поз. 9</t>
  </si>
  <si>
    <t>59</t>
  </si>
  <si>
    <t>4.8-187-10</t>
  </si>
  <si>
    <t>Монтаж заземляющего проводника открыто по строительным основаниям из медного изолированного провода сечением 25 мм2</t>
  </si>
  <si>
    <t>ТСН-2001.4 Доп. 79, Сб. 8, т. 187, поз. 10</t>
  </si>
  <si>
    <t>59,1</t>
  </si>
  <si>
    <t>1.23-13-210</t>
  </si>
  <si>
    <t>ТСН-2001.1 Доп. 79, Р. 23, о. 13, поз. 210</t>
  </si>
  <si>
    <t>60</t>
  </si>
  <si>
    <t>4.8-86-2</t>
  </si>
  <si>
    <t>Герметизация прохода при вводе кабелей, заделка прохода при прокладке кабелей по стенам и потолкам</t>
  </si>
  <si>
    <t>100 М УЛОЖЕННОГО КАБЕЛЯ</t>
  </si>
  <si>
    <t>ТСН-2001.4 Доп. 67, Сб. 8, т. 86, поз. 2</t>
  </si>
  <si>
    <t>61</t>
  </si>
  <si>
    <t>1.1-1-7994</t>
  </si>
  <si>
    <t>Шнур асбестовый, общего назначения, типа ШАОН, диаметр от 3 до 5 мм</t>
  </si>
  <si>
    <t>ТСН-2001.1 Доп. 79, Р. 1, о. 1, поз. 7994</t>
  </si>
  <si>
    <t>62</t>
  </si>
  <si>
    <t>КА, п.20</t>
  </si>
  <si>
    <t>Огнезащитный терморасширяющийся герметик, 0,3 кг ОГНЕЗА ГТ</t>
  </si>
  <si>
    <t>[1 239,84 / 1,22 /  9,84] +  2% Заг.скл</t>
  </si>
  <si>
    <t>Запас на складе</t>
  </si>
  <si>
    <t>63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</si>
  <si>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</si>
  <si>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</si>
  <si>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</si>
  <si>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</si>
  <si>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</si>
  <si>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</si>
  <si>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</si>
  <si>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</si>
  <si>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</si>
  <si>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</si>
  <si>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</si>
  <si>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</si>
  <si>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строительство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</si>
  <si>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</si>
  <si>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</si>
  <si>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</si>
  <si>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</si>
  <si>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</si>
  <si>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</si>
  <si>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</si>
  <si>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</si>
  <si>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2.1-30-102</t>
  </si>
  <si>
    <t>ТСН-2001.2. Доп. 68. п.1-30-102 (303704)</t>
  </si>
  <si>
    <t>Дрели, мощность до 800 Вт</t>
  </si>
  <si>
    <t>маш.-ч</t>
  </si>
  <si>
    <t>2.1-30-103</t>
  </si>
  <si>
    <t>ТСН-2001.2. Доп. 68. п.1-30-103 (304104)</t>
  </si>
  <si>
    <t>Перфораторы, мощность до 1,2 кВт</t>
  </si>
  <si>
    <t>1.1-1-238</t>
  </si>
  <si>
    <t>ТСН-2001.1 Доп. 80, Р. 1, о. 1, поз. 238</t>
  </si>
  <si>
    <t>Дюбель пластмассовый</t>
  </si>
  <si>
    <t>1.1-1-2381</t>
  </si>
  <si>
    <t>ТСН-2001.1 Доп. 79, Р. 1, о. 1, поз. 2381</t>
  </si>
  <si>
    <t>Винты с полукруглой головкой, М6х10</t>
  </si>
  <si>
    <t>1.1-1-2681</t>
  </si>
  <si>
    <t>ТСН-2001.1 Доп. 73, Р. 1, о. 1, поз. 2681</t>
  </si>
  <si>
    <t>Шуруп-саморез с полусферической головкой, с прессшайбой, наконечник острый, оцинкованный, диаметр 4,2 мм, длина 16 мм, для крепления листового металла</t>
  </si>
  <si>
    <t>1.1-1-545</t>
  </si>
  <si>
    <t>ТСН-2001.1 Доп. 79, Р. 1, о. 1, поз. 545</t>
  </si>
  <si>
    <t>Лента стальная упаковочная, мягкая, нормальной точности, размер 0,7х20-50 мм</t>
  </si>
  <si>
    <t>1.1-1-945</t>
  </si>
  <si>
    <t>ТСН-2001.1 Доп. 79, Р. 1, о. 1, поз. 945</t>
  </si>
  <si>
    <t>Припой оловянно-свинцовый, в прутках, диаметр 8 мм, типа ПОС-40</t>
  </si>
  <si>
    <t>1.7-3-121</t>
  </si>
  <si>
    <t>ТСН-2001.1 Доп. 44, Р. 7, о. 3, поз. 121</t>
  </si>
  <si>
    <t>Бур с наконечником из твердого сплава, с хвостовиком SDS-plus, диаметр 10 мм, длина 160 мм</t>
  </si>
  <si>
    <t>2.1-30-56</t>
  </si>
  <si>
    <t>ТСН-2001.2. Доп. 68. п.1-30-56 (309101)</t>
  </si>
  <si>
    <t>Шуруповерты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</si>
  <si>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</si>
  <si>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</si>
  <si>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</si>
  <si>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1.7-3-112</t>
  </si>
  <si>
    <t>ТСН-2001.1 Доп. 67, Р. 7, о. 3, поз. 112</t>
  </si>
  <si>
    <t>Сверло спиральное HSS, для сверления алюминия, нержавеющей стали, углеродистой стали и чугуна, диаметр 4 мм, длина 75 мм</t>
  </si>
  <si>
    <t>1.23-11-3</t>
  </si>
  <si>
    <t>ТСН-2001.1 Доп. 79, Р. 23, о. 11, поз. 3</t>
  </si>
  <si>
    <t>Провод монтажный с гибкой жилой из медной луженой проволоки с комбинированной волокнистой и поливинилхлоридной изоляцией, марка МГШВ, напряжение 1000 В, число жил и сечение 1х0,35 мм2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</si>
  <si>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</si>
  <si>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</si>
  <si>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</si>
  <si>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</si>
  <si>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2.1-30-96</t>
  </si>
  <si>
    <t>ТСН-2001.2. Доп. 64. п.1-30-96 (303703)</t>
  </si>
  <si>
    <t>Дрели электрические, мощность до 200 Вт</t>
  </si>
  <si>
    <t>1.1-1-1723</t>
  </si>
  <si>
    <t>ТСН-2001.1 Доп. 79, Р. 1, о. 1, поз. 1723</t>
  </si>
  <si>
    <t>Лента изоляционная, прорезиненная, односторонняя</t>
  </si>
  <si>
    <t>1.23-10-18</t>
  </si>
  <si>
    <t>ТСН-2001.1 Доп. 79, Р. 23, о. 10, поз. 18</t>
  </si>
  <si>
    <t>Провод неизолированный для воздушных линий электропередач состоящий из скрученных медных проволок, марка М, сечение 4 мм2</t>
  </si>
  <si>
    <t>2.1-30-10</t>
  </si>
  <si>
    <t>ТСН-2001.2. Доп. 68. п.1-30-10 (304101)</t>
  </si>
  <si>
    <t>Перфораторы, мощность до 800 Вт</t>
  </si>
  <si>
    <t>1.1-1-2626</t>
  </si>
  <si>
    <t>ТСН-2001.1 Доп. 79, Р. 1, о. 1, поз. 2626</t>
  </si>
  <si>
    <t>Болты шестигранные для монтажа стальных конструкций, оцинкованные, М8х40 мм</t>
  </si>
  <si>
    <t>1.1-1-3655</t>
  </si>
  <si>
    <t>ТСН-2001.1 Доп. 79, Р. 1, о. 1, поз. 3655</t>
  </si>
  <si>
    <t>Шайбы стальные, М8</t>
  </si>
  <si>
    <t>1.1-1-3571</t>
  </si>
  <si>
    <t>ТСН-2001.1. Доп. 1-42. Р. 1, о. 1, поз. 3571</t>
  </si>
  <si>
    <t>Пена монтажная противопожарная, обеспечивающая акустическую и термическую изоляцию, предел огнестойкости ЕI 60</t>
  </si>
  <si>
    <t>л</t>
  </si>
  <si>
    <t>1.7-5-263</t>
  </si>
  <si>
    <t>ТСН-2001.1 Доп. 79, Р. 7, о. 5, поз. 263</t>
  </si>
  <si>
    <t>Анкер рамный, стальной, оцинкованный, для установки в бетон, полнотелый кирпич и блоки, диаметр 10 мм, длина 110 мм, максимальная толщина закрепляемой детали 70 мм</t>
  </si>
  <si>
    <t>1.1-1-2627</t>
  </si>
  <si>
    <t>ТСН-2001.1 Доп. 79, Р. 1, о. 1, поз. 2627</t>
  </si>
  <si>
    <t>Винты самонарезающие, для металла, диаметр 5 мм, длина 40 мм</t>
  </si>
  <si>
    <t>2.1-4-28</t>
  </si>
  <si>
    <t>ТСН-2001.2. Доп. 68. п.1-4-28 (042805)</t>
  </si>
  <si>
    <t>Лебедки ручные, грузоподъемность до 3 т</t>
  </si>
  <si>
    <t>1.1-1-2585</t>
  </si>
  <si>
    <t>ТСН-2001.1 Доп. 79, Р. 1, о. 1, поз. 2585</t>
  </si>
  <si>
    <t>Техпластина резиновая, типа ТМКЩ, толщина от 2 до 40 мм</t>
  </si>
  <si>
    <t>1.1-1-2085</t>
  </si>
  <si>
    <t>ТСН-2001.1 Доп. 79, Р. 1, о. 1, поз. 2085</t>
  </si>
  <si>
    <t>Герметик силиконовый</t>
  </si>
  <si>
    <t>1.1-1-3726</t>
  </si>
  <si>
    <t>ТСН-2001.1 Доп. 80, Р. 1, о. 1, поз. 3726</t>
  </si>
  <si>
    <t>Дюбель пластиковый, с бортиком, со стальным шурупом, диаметр 6 мм, длина 35 мм, типа "К"</t>
  </si>
  <si>
    <t>9999990001</t>
  </si>
  <si>
    <t>Масса мусора</t>
  </si>
  <si>
    <t>1.21-5-1180</t>
  </si>
  <si>
    <t>ТСН-2001.1 Доп. 79, Р. 21, о. 5, поз. 1180</t>
  </si>
  <si>
    <t>Бирка маркировочная для кабелей и проводов, типа У134 У3,5</t>
  </si>
  <si>
    <t>1.21-5-926</t>
  </si>
  <si>
    <t>ТСН-2001.1 Доп. 67, Р. 21, о. 5, поз. 926</t>
  </si>
  <si>
    <t>Хомут (стяжка) кабельный из полиамида, размеры 3,6х200 мм</t>
  </si>
  <si>
    <t>1.7-3-122</t>
  </si>
  <si>
    <t>ТСН-2001.1 Доп. 79, Р. 7, о. 3, поз. 122</t>
  </si>
  <si>
    <t>Бур с наконечником из твердого сплава, с хвостовиком SDS-plus, диаметр 10 мм, длина 260 мм</t>
  </si>
  <si>
    <t>26.30.50.120, п.3</t>
  </si>
  <si>
    <t>29.32.30.260, п.16</t>
  </si>
  <si>
    <t>26.30.11.120, п.17</t>
  </si>
  <si>
    <t>2.1-3-38</t>
  </si>
  <si>
    <t>ТСН-2001.2. Доп. 68. п.1-3-38 (032009)</t>
  </si>
  <si>
    <t>Краны на автомобильном ходу, грузоподъемность до 16 т</t>
  </si>
  <si>
    <t>1.21-5-1134</t>
  </si>
  <si>
    <t>ТСН-2001.1 Доп. 70, Р. 21, о. 5, поз. 1134</t>
  </si>
  <si>
    <t>Хомут (стяжка) кабельный из полиамида, размеры 4,8х300 мм</t>
  </si>
  <si>
    <t>1.21-5-1181</t>
  </si>
  <si>
    <t>ТСН-2001.1 Доп. 79, Р. 21, о. 5, поз. 1181</t>
  </si>
  <si>
    <t>Бирка маркировочная для кабелей и проводов, типа У153 У3,5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</si>
  <si>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</si>
  <si>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</si>
  <si>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</si>
  <si>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1.1-1-1669</t>
  </si>
  <si>
    <t>ТСН-2001.1 Доп. 79, Р. 1, о. 1, поз. 1669</t>
  </si>
  <si>
    <t>Электроды, типа Э-42А, диаметр от 4 до 6 мм</t>
  </si>
  <si>
    <t>1.1-1-237</t>
  </si>
  <si>
    <t>ТСН-2001.1 Доп. 67, Р. 1, о. 1, поз. 237</t>
  </si>
  <si>
    <t>Дюбель с патроном</t>
  </si>
  <si>
    <t>1.1-1-3588</t>
  </si>
  <si>
    <t>ТСН-2001.1 Доп. 79, Р. 1, о. 1, поз. 3588</t>
  </si>
  <si>
    <t>Лента для уплотнения резьбы при монтаже инженерных сетей, типа ФУМ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</si>
  <si>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</si>
  <si>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</si>
  <si>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</si>
  <si>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1.21-5-1561</t>
  </si>
  <si>
    <t>ТСН-2001.1 Доп. 65, Р. 21, о. 5, поз. 1561</t>
  </si>
  <si>
    <t>Заглушка трубная полиэтиленовая У469</t>
  </si>
  <si>
    <t>1.21-5-1639</t>
  </si>
  <si>
    <t>ТСН-2001.1 Доп. 79, Р. 21, о. 5, поз. 1639</t>
  </si>
  <si>
    <t>Уголок монтажный, стальной, окрашенный, перфорированный, тип К236, размер 2000х56х40 мм, толщина стенки 4 мм</t>
  </si>
  <si>
    <t>1.21-5-1655</t>
  </si>
  <si>
    <t>ТСН-2001.1 Доп. 67, Р. 21, о. 5, поз. 1655</t>
  </si>
  <si>
    <t>Перемычка гибкая, типа ПГС 50-280</t>
  </si>
  <si>
    <t>1.3-2-5</t>
  </si>
  <si>
    <t>ТСН-2001.1 Доп. 79, Р. 3, о. 2, поз. 5</t>
  </si>
  <si>
    <t>Раствор цементный, марка М100</t>
  </si>
  <si>
    <t>м3</t>
  </si>
  <si>
    <t>1.1-1-1257</t>
  </si>
  <si>
    <t>ТСН-2001.1 Доп. 79, Р. 1, о. 1, поз. 1257</t>
  </si>
  <si>
    <t>Тальк молотый</t>
  </si>
  <si>
    <t>1.21-5-1543</t>
  </si>
  <si>
    <t>ТСН-2001.1 Доп. 65, Р. 21, о. 5, поз. 1543</t>
  </si>
  <si>
    <t>Гильзы кабельные медные типа ГМ 2,5</t>
  </si>
  <si>
    <t>1.21-5-1554</t>
  </si>
  <si>
    <t>ТСН-2001.1 Доп. 65, Р. 21, о. 5, поз. 1554</t>
  </si>
  <si>
    <t>Втулка трубная, полипропиленовая, диаметр 17 мм</t>
  </si>
  <si>
    <t>1.21-5-750</t>
  </si>
  <si>
    <t>ТСН-2001.1 Доп. 73, Р. 21, о. 5, поз. 750</t>
  </si>
  <si>
    <t>Сжим, типа У 739М для проводников магистральных сечением от 4 до 10 мм2 и ответвительных сечением от 1,5 до 2,5 мм2</t>
  </si>
  <si>
    <t>1.21-5-757</t>
  </si>
  <si>
    <t>ТСН-2001.1 Доп. 73, Р. 21, о. 5, поз. 757</t>
  </si>
  <si>
    <t>Зажим соединительно-изолирующий, типа СИЗ-2</t>
  </si>
  <si>
    <t>1.21-5-1555</t>
  </si>
  <si>
    <t>ТСН-2001.1 Доп. 79, Р. 21, о. 5, поз. 1555</t>
  </si>
  <si>
    <t>Втулка трубная, полипропиленовая, диаметр 22 мм</t>
  </si>
  <si>
    <t>1.21-5-758</t>
  </si>
  <si>
    <t>ТСН-2001.1 Доп. 79, Р. 21, о. 5, поз. 758</t>
  </si>
  <si>
    <t>Зажим соединительно-изолирующий, типа СИЗ-3</t>
  </si>
  <si>
    <t>1.1-1-3644</t>
  </si>
  <si>
    <t>ТСН-2001.1 Доп. 80, Р. 1, о. 1, поз. 3644</t>
  </si>
  <si>
    <t>Дюбель распорный пластмассовый, диаметр 8 мм, длина 50 мм</t>
  </si>
  <si>
    <t>1.1-1-3758</t>
  </si>
  <si>
    <t>ТСН-2001.1 Доп. 73, Р. 1, о. 1, поз. 3758</t>
  </si>
  <si>
    <t>Шуруп-саморез прокалывающий с головкой специальной формы, диаметр 4,2 мм, длина 75 мм</t>
  </si>
  <si>
    <t>1.21-5-1466</t>
  </si>
  <si>
    <t>ТСН-2001.1 Доп. 79, Р. 21, о. 5, поз. 1466</t>
  </si>
  <si>
    <t>Скоба двухлапковая стальная оцинкованная, для кабелей диаметром от 8 до 9 мм</t>
  </si>
  <si>
    <t>1.21-5-738</t>
  </si>
  <si>
    <t>ТСН-2001.1 Доп. 73, Р. 21, о. 5, поз. 738</t>
  </si>
  <si>
    <t>Наконечник кабельный медный под опрессовку луженый, типа ТМЛ 25-8-8</t>
  </si>
  <si>
    <t>3594000000</t>
  </si>
  <si>
    <t>Кабели заземления</t>
  </si>
  <si>
    <t>4372420000</t>
  </si>
  <si>
    <t>Охранно-пожарные пульты (ОПП)</t>
  </si>
  <si>
    <t>Полки для пультов</t>
  </si>
  <si>
    <t>4372920000</t>
  </si>
  <si>
    <t>Соединители ОПП-БПД-ТП</t>
  </si>
  <si>
    <t>5772110000</t>
  </si>
  <si>
    <t>Пластиковые короба</t>
  </si>
  <si>
    <t>4372900000</t>
  </si>
  <si>
    <t>Блоки питания сети (БПС)</t>
  </si>
  <si>
    <t>3428400000</t>
  </si>
  <si>
    <t>Ключи или кнопки пусковые</t>
  </si>
  <si>
    <t>3461500000</t>
  </si>
  <si>
    <t>Светильники с лампами накаливания</t>
  </si>
  <si>
    <t>3466100000</t>
  </si>
  <si>
    <t>Лампы накаливания</t>
  </si>
  <si>
    <t>0131000000</t>
  </si>
  <si>
    <t>Вода</t>
  </si>
  <si>
    <t>4854870000</t>
  </si>
  <si>
    <t>Модули установки пожаротушения тонкораспыленной водой</t>
  </si>
  <si>
    <t>5262170000</t>
  </si>
  <si>
    <t>Блоки дверные металлические противопожарные</t>
  </si>
  <si>
    <t>5295300000</t>
  </si>
  <si>
    <t>Рамки со штифтами на винтах</t>
  </si>
  <si>
    <t>4985110000</t>
  </si>
  <si>
    <t>Доводчики или синхронизаторы</t>
  </si>
  <si>
    <t>1297020000</t>
  </si>
  <si>
    <t>Болты строительные с гайками и шайбами (1297030000, 1610000000, 1620000000, 1680000000)</t>
  </si>
  <si>
    <t>4863320000</t>
  </si>
  <si>
    <t>Клапаны обратные или обратные искробезопасные (486337)</t>
  </si>
  <si>
    <t>3972280000</t>
  </si>
  <si>
    <t>Сверла победитовые</t>
  </si>
  <si>
    <t>5699500000</t>
  </si>
  <si>
    <t>Изделия фурнитуры для закрывания проемов</t>
  </si>
  <si>
    <t>2248200000</t>
  </si>
  <si>
    <t>Трубы электротехнические гофрированные (2248100000)</t>
  </si>
  <si>
    <t>3449953000</t>
  </si>
  <si>
    <t>Скобы для крепления кабеля</t>
  </si>
  <si>
    <t>3574000000</t>
  </si>
  <si>
    <t>Кабели связи огнестойкие</t>
  </si>
  <si>
    <t>5285920000</t>
  </si>
  <si>
    <t>Анкеры клиновые</t>
  </si>
  <si>
    <t>Трубы поливинилхлоридные гофрированные</t>
  </si>
  <si>
    <t>3434200000</t>
  </si>
  <si>
    <t>Коробки соединительные</t>
  </si>
  <si>
    <t>3449651000</t>
  </si>
  <si>
    <t>Держатели пластиковые для труб</t>
  </si>
  <si>
    <t>Коробки ответвительные огнестойкие</t>
  </si>
  <si>
    <t>3500000000</t>
  </si>
  <si>
    <t>Кабели, провода</t>
  </si>
  <si>
    <t>1303000000</t>
  </si>
  <si>
    <t>Трубы стальные для электропроводок (1385000000)</t>
  </si>
  <si>
    <t>1462020000</t>
  </si>
  <si>
    <t>Муфты резьбовые для соединения стальных труб (2559370100)</t>
  </si>
  <si>
    <t>3449654000</t>
  </si>
  <si>
    <t>Гайки установочные заземляющие</t>
  </si>
  <si>
    <t>3449870000</t>
  </si>
  <si>
    <t>Гильзы соединительные кабельные, закрепляемые опрессовкой (3449860000)</t>
  </si>
  <si>
    <t>3464740000</t>
  </si>
  <si>
    <t>Коробки для соединения проводов (3434200000)</t>
  </si>
  <si>
    <t>Провода (марка и сечение по проекту)</t>
  </si>
  <si>
    <t>3551000000</t>
  </si>
  <si>
    <t>Провода изолированные медные (3555000000, 3582000000)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</si>
  <si>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</si>
  <si>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</si>
  <si>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</si>
  <si>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</t>
  </si>
  <si>
    <t>*0,3</t>
  </si>
  <si>
    <t>Гл.4.Прил.2.2.п.2.2.29_04.00.01.35.003</t>
  </si>
  <si>
    <t>При демонтаже оборудования, предназначенного в лом</t>
  </si>
  <si>
    <t>Глава 4</t>
  </si>
  <si>
    <t>*0,6</t>
  </si>
  <si>
    <t>Гл.6.Прил.2.2.п.2.2.16_06.00.01.35.006</t>
  </si>
  <si>
    <t>При демонтаже металлических конструкций (в т.ч. к стоимости вспомогательных материалов)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</si>
  <si>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</si>
  <si>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</si>
  <si>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</si>
  <si>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</si>
  <si>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</si>
  <si>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1.1</t>
  </si>
  <si>
    <t>КА</t>
  </si>
  <si>
    <t>ООО "Тантос"</t>
  </si>
  <si>
    <t>9721058155</t>
  </si>
  <si>
    <t>стр. п.</t>
  </si>
  <si>
    <t>1.2</t>
  </si>
  <si>
    <t>ООО «ТД «Импульс»</t>
  </si>
  <si>
    <t>6671078912</t>
  </si>
  <si>
    <t>1.3</t>
  </si>
  <si>
    <t>ООО "РУБЕЖ"</t>
  </si>
  <si>
    <t>6454052297</t>
  </si>
  <si>
    <t>2.1</t>
  </si>
  <si>
    <t>2.2</t>
  </si>
  <si>
    <t>ООО "Русский Свет"</t>
  </si>
  <si>
    <t>7704844420</t>
  </si>
  <si>
    <t>2.3</t>
  </si>
  <si>
    <t>Группа компаний "Деан"</t>
  </si>
  <si>
    <t>7723568334</t>
  </si>
  <si>
    <t>3.1</t>
  </si>
  <si>
    <t>3.2</t>
  </si>
  <si>
    <t>3.3</t>
  </si>
  <si>
    <t>4.1</t>
  </si>
  <si>
    <t>АО "ЧИП и ДИП"</t>
  </si>
  <si>
    <t>7729108750</t>
  </si>
  <si>
    <t>4.2</t>
  </si>
  <si>
    <t>ООО «ВИДЕОГЛАЗ ЦЕНТР»</t>
  </si>
  <si>
    <t>7719840097</t>
  </si>
  <si>
    <t>4.3</t>
  </si>
  <si>
    <t>ООО «М-Инвест»</t>
  </si>
  <si>
    <t>7743553167</t>
  </si>
  <si>
    <t>5.1</t>
  </si>
  <si>
    <t>5.2</t>
  </si>
  <si>
    <t>ООО «Системы видеонаблюдения»</t>
  </si>
  <si>
    <t>2221217421</t>
  </si>
  <si>
    <t>5.3</t>
  </si>
  <si>
    <t>6.1</t>
  </si>
  <si>
    <t>ООО «ИНТЭК»</t>
  </si>
  <si>
    <t>3662238160</t>
  </si>
  <si>
    <t>6.2</t>
  </si>
  <si>
    <t>6.3</t>
  </si>
  <si>
    <t>7.1</t>
  </si>
  <si>
    <t>7.2</t>
  </si>
  <si>
    <t>7.3</t>
  </si>
  <si>
    <t>8.1</t>
  </si>
  <si>
    <t>8.2</t>
  </si>
  <si>
    <t>8.3</t>
  </si>
  <si>
    <t>9.1</t>
  </si>
  <si>
    <t>9.2</t>
  </si>
  <si>
    <t>9.3</t>
  </si>
  <si>
    <t>10.1</t>
  </si>
  <si>
    <t>ООО "Астра-СБ"</t>
  </si>
  <si>
    <t>6312170753</t>
  </si>
  <si>
    <t>10.2</t>
  </si>
  <si>
    <t>ООО "ИСП"</t>
  </si>
  <si>
    <t>6321418601</t>
  </si>
  <si>
    <t>10.3</t>
  </si>
  <si>
    <t>ООО "Центр комплексной безопасности"</t>
  </si>
  <si>
    <t>6321281428</t>
  </si>
  <si>
    <t>11.1</t>
  </si>
  <si>
    <t>11.2</t>
  </si>
  <si>
    <t>11.3</t>
  </si>
  <si>
    <t>12.1</t>
  </si>
  <si>
    <t>12.2</t>
  </si>
  <si>
    <t>12.3</t>
  </si>
  <si>
    <t>13.1</t>
  </si>
  <si>
    <t>13.2</t>
  </si>
  <si>
    <t>13.3</t>
  </si>
  <si>
    <t>14.1</t>
  </si>
  <si>
    <t>Компания КНОПКА01</t>
  </si>
  <si>
    <t>9731093039</t>
  </si>
  <si>
    <t>14.2</t>
  </si>
  <si>
    <t>ООО "КОМПАНИЯ СТАЛКЕР"</t>
  </si>
  <si>
    <t>9723086133</t>
  </si>
  <si>
    <t>14.3</t>
  </si>
  <si>
    <t>ООО «ГРУППА КОМПАНИЙ АПТВ"</t>
  </si>
  <si>
    <t>7720855154</t>
  </si>
  <si>
    <t>15.1</t>
  </si>
  <si>
    <t>15.2</t>
  </si>
  <si>
    <t>15.3</t>
  </si>
  <si>
    <t>16.1</t>
  </si>
  <si>
    <t>ООО «БИТ»</t>
  </si>
  <si>
    <t>7718277072</t>
  </si>
  <si>
    <t>16.2</t>
  </si>
  <si>
    <t>16.3</t>
  </si>
  <si>
    <t>ООО "ТД Тинко"</t>
  </si>
  <si>
    <t>7702680818</t>
  </si>
  <si>
    <t>17.1</t>
  </si>
  <si>
    <t>17.2</t>
  </si>
  <si>
    <t>17.3</t>
  </si>
  <si>
    <t>АО «ТД ЭЛЕКТРОТЕХМОНТАЖ»</t>
  </si>
  <si>
    <t>7842224734</t>
  </si>
  <si>
    <t>18.1</t>
  </si>
  <si>
    <t>ООО "ТД Актив-СБ"</t>
  </si>
  <si>
    <t>7719741850</t>
  </si>
  <si>
    <t>18.2</t>
  </si>
  <si>
    <t>18.3</t>
  </si>
  <si>
    <t>19.1</t>
  </si>
  <si>
    <t>ООО "ГРУППА КОНТАКТОВ"</t>
  </si>
  <si>
    <t>1300004336</t>
  </si>
  <si>
    <t>19.2</t>
  </si>
  <si>
    <t>АО "Проплекс"</t>
  </si>
  <si>
    <t>7702258405</t>
  </si>
  <si>
    <t>19.3</t>
  </si>
  <si>
    <t>ООО "ТД Твоя безопасность"</t>
  </si>
  <si>
    <t>9715308907</t>
  </si>
  <si>
    <t>20.1</t>
  </si>
  <si>
    <t>20.2</t>
  </si>
  <si>
    <t>20.3</t>
  </si>
  <si>
    <t>21.1</t>
  </si>
  <si>
    <t>21.2</t>
  </si>
  <si>
    <t>21.3</t>
  </si>
  <si>
    <t>ООО «АМ Снабжение»</t>
  </si>
  <si>
    <t>7743186894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</si>
  <si>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Гл.4.Прил.2.2.п.2.2.29_04.00.01.35.003
Наименование: При демонтаже оборудования, предназначенного в лом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</si>
  <si>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
Поправка: Гл.6.Прил.2.2.п.2.2.16_06.00.01.35.006
Наименование: При демонтаже металлических конструкций (в т.ч. к стоимости вспомогательных материалов)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</si>
  <si>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</si>
  <si>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</si>
  <si>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</si>
  <si>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</si>
  <si>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</si>
  <si>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</si>
  <si>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Кабель силовой с медными жилами, огнестойкий, с изоляцией и оболочкой из ПВХ пластиката пониженной пожарной опасности, не распространяющий горение, с пониженным дымо- и газовыделением и с низкой токсичностью продуктов горения, марка ВВГнг(А)-FRLSLTх, напряжение 1000 В, число жил и сечение 3х1,5 мм2</t>
  </si>
  <si>
    <t>Провод установочный с медной жилой, с изоляцией из ПВХ пластиката пониженной пожароопасности, с пониженным дымо- и газовыделением, марка ПуГПнг(А)-HF, напряжение 450/750 В, число жил и сечение 1х6 мм2 / прим. Провод медный желто-зеленый, сечением 1х4.0 мм ПуГПнг(А)-LSLTx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</si>
  <si>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</si>
  <si>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</si>
  <si>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</si>
  <si>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</si>
  <si>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</si>
  <si>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</si>
  <si>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</si>
  <si>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</si>
  <si>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</si>
  <si>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</si>
  <si>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</si>
  <si>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</si>
  <si>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</si>
  <si>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</si>
  <si>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</si>
  <si>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</si>
  <si>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</si>
  <si>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</si>
  <si>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</si>
  <si>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</si>
  <si>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</si>
  <si>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 02-01-19 АУГП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</si>
  <si>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</si>
  <si>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строительство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</si>
  <si>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</si>
  <si>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</si>
  <si>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1,2*0,3</t>
  </si>
  <si>
    <t>ЭМ</t>
  </si>
  <si>
    <t>в т.ч. ЗПМ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</si>
  <si>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</si>
  <si>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</si>
  <si>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</si>
  <si>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</si>
  <si>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</si>
  <si>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</si>
  <si>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</si>
  <si>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</si>
  <si>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1,2*0,6</t>
  </si>
  <si>
    <t>МР</t>
  </si>
  <si>
    <t>0,6</t>
  </si>
  <si>
    <t xml:space="preserve">   Итого по ТСН-2001.16</t>
  </si>
  <si>
    <t xml:space="preserve">   Итого возвратных сумм</t>
  </si>
  <si>
    <r>
      <t>ОБОРУДОВАНИЕ:_x000D_
Модуль автоматики пожаротушения МПТ-1 прот.R3 RBZ-073406</t>
    </r>
    <r>
      <rPr>
        <i/>
        <sz val="10"/>
        <color rgb="FF821E82"/>
        <rFont val="Arial"/>
        <family val="2"/>
        <charset val="204"/>
      </rPr>
      <t xml:space="preserve">
834,54 = [7 394 / 1,22 /  7,57] +  3% Трансп +  1,2% Заг.скл</t>
    </r>
  </si>
  <si>
    <r>
      <t>ОБОРУДОВАНИЕ:_x000D_
Прибор приемно-контрольный и управления охранно-пожарный R3-Рубеж-2ОП RBZ-319538</t>
    </r>
    <r>
      <rPr>
        <i/>
        <sz val="10"/>
        <color rgb="FF821E82"/>
        <rFont val="Arial"/>
        <family val="2"/>
        <charset val="204"/>
      </rPr>
      <t xml:space="preserve">
4 851,08 = [42 981 / 1,22 /  7,57] +  3% Трансп +  1,2% Заг.скл</t>
    </r>
  </si>
  <si>
    <r>
      <t>ОБОРУДОВАНИЕ:_x000D_
Пульт дистанционного управления R3-Рубеж-ПДУ-ПТ RBZ-319535</t>
    </r>
    <r>
      <rPr>
        <i/>
        <sz val="10"/>
        <color rgb="FF821E82"/>
        <rFont val="Arial"/>
        <family val="2"/>
        <charset val="204"/>
      </rPr>
      <t xml:space="preserve">
2 385,07 = [21 132 / 1,22 /  7,57] +  3% Трансп +  1,2% Заг.скл</t>
    </r>
  </si>
  <si>
    <r>
      <t>ОБОРУДОВАНИЕ:_x000D_
Источник вторичного электропитания резервированный, 12 В, 3.5 А, 2х7 Ач, ИВЭПР 12/3.5 2x7 -Р БР, ПАСН.436234.024-01</t>
    </r>
    <r>
      <rPr>
        <i/>
        <sz val="10"/>
        <color rgb="FF821E82"/>
        <rFont val="Arial"/>
        <family val="2"/>
        <charset val="204"/>
      </rPr>
      <t xml:space="preserve">
727,08 = [6 442 / 1,22 /  7,57] +  3% Трансп +  1,2% Заг.скл</t>
    </r>
  </si>
  <si>
    <r>
      <t>ОБОРУДОВАНИЕ:_x000D_
Источник вторичного электропитания резервированный 12 В, 5 А, 2х7 Ач, ИВЭПР 12/5 2x7 -Р БР RBZ-216604</t>
    </r>
    <r>
      <rPr>
        <i/>
        <sz val="10"/>
        <color rgb="FF821E82"/>
        <rFont val="Arial"/>
        <family val="2"/>
        <charset val="204"/>
      </rPr>
      <t xml:space="preserve">
803,15 = [7 116 / 1,22 /  7,57] +  3% Трансп +  1,2% Заг.скл</t>
    </r>
  </si>
  <si>
    <r>
      <t>ОБОРУДОВАНИЕ:_x000D_
Источник вторичного электропитания резервированный, ИВЭПР 12/2 RS-R3 2x17 прот. R3 RBZ-216598</t>
    </r>
    <r>
      <rPr>
        <i/>
        <sz val="10"/>
        <color rgb="FF821E82"/>
        <rFont val="Arial"/>
        <family val="2"/>
        <charset val="204"/>
      </rPr>
      <t xml:space="preserve">
937,47 = [8 306 / 1,22 /  7,57] +  3% Трансп +  1,2% Заг.скл</t>
    </r>
  </si>
  <si>
    <t>ОБОРУДОВАНИЕ:_x000D_
Батарея аккумуляторная, емкость 7 А·ч, напряжение 12 В</t>
  </si>
  <si>
    <t>ОБОРУДОВАНИЕ:_x000D_
Батарея аккумуляторная, емкость 17 А·ч, напряжение 12 В</t>
  </si>
  <si>
    <r>
      <t>ОБОРУДОВАНИЕ:_x000D_
Извещатель пожарный дымовой адресно-аналоговый с базовым основанием ИП 212-64-R3 (ИЗ-1Б-R3)</t>
    </r>
    <r>
      <rPr>
        <i/>
        <sz val="10"/>
        <color rgb="FF821E82"/>
        <rFont val="Arial"/>
        <family val="2"/>
        <charset val="204"/>
      </rPr>
      <t xml:space="preserve">
175,17 = [1 552 / 1,22 /  7,57] +  3% Трансп +  1,2% Заг.скл</t>
    </r>
  </si>
  <si>
    <r>
      <t>ОБОРУДОВАНИЕ:_x000D_
Устройство дистанционного пуска адресное УДП 513-11 ИКЗ-R3 "Пуск пожаротушения»</t>
    </r>
    <r>
      <rPr>
        <i/>
        <sz val="10"/>
        <color rgb="FF821E82"/>
        <rFont val="Arial"/>
        <family val="2"/>
        <charset val="204"/>
      </rPr>
      <t xml:space="preserve">
146,27 = [1 296 / 1,22 /  7,57] +  3% Трансп +  1,2% Заг.скл</t>
    </r>
  </si>
  <si>
    <t>ОБОРУДОВАНИЕ:_x000D_
Извещатель охранный точечный, магнитноконтактный, накладной, типа ИО-102-20-Б2П. В составе: датчик магнитоуправляемый на основе геркона и магнит. Расстояние между герконом и магнитом при размыкании контактов - 65 мм и более, при замыкании - 30 мм и менее, степень защиты IP44, диапазон рабочих температур от -50 до +50°С, габаритные размеры корпусов 53х30х30 мм</t>
  </si>
  <si>
    <t>ОБОРУДОВАНИЕ:_x000D_
Оповещатель охранно-пожарный комбинированный свето-звуковой (табло) со встроенной сиреной 100 дБ, напряжение 24 В, с следующими типами надписей: "ВЫХОД", "ПОЖАР", "ГАЗ! НЕ ВХОДИ!", "ГАЗ! УХОДИ!", "АВТОМАТИКА ВКЛЮЧЕНА". Степень защиты IP41, диапазон рабочих температур от -30 до +55°С, габаритные размеры 300х130х25 мм</t>
  </si>
  <si>
    <r>
      <t>ОБОРУДОВАНИЕ:_x000D_
Оповещатель пожарный свето-звуковой, 12 В, IP55, 105 дБ Маяк-12-КПМ1</t>
    </r>
    <r>
      <rPr>
        <i/>
        <sz val="10"/>
        <color rgb="FF821E82"/>
        <rFont val="Arial"/>
        <family val="2"/>
        <charset val="204"/>
      </rPr>
      <t xml:space="preserve">
92,32 = [818 / 1,22 /  7,57] +  3% Трансп +  1,2% Заг.скл</t>
    </r>
  </si>
  <si>
    <r>
      <t>ОБОРУДОВАНИЕ:_x000D_
Мо дуль газового пожаротушения с электро-контактным манометром, электромагнитным клапаном, заправлен (масса заправки ФК-5-1-12 – 18,5 кг)  Заря-22 (30-22,5-18)</t>
    </r>
    <r>
      <rPr>
        <i/>
        <sz val="10"/>
        <color rgb="FF821E82"/>
        <rFont val="Arial"/>
        <family val="2"/>
        <charset val="204"/>
      </rPr>
      <t xml:space="preserve">
22 090,41 = [195 723 / 1,22 /  7,57]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</si>
  <si>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15 кг) Заря-22 (30-22,5-18)</t>
    </r>
    <r>
      <rPr>
        <i/>
        <sz val="10"/>
        <color rgb="FF821E82"/>
        <rFont val="Arial"/>
        <family val="2"/>
        <charset val="204"/>
      </rPr>
      <t xml:space="preserve">
20 088,25 = [177 983,57 / 1,22 /  7,57]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</si>
  <si>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17,5 кг) Заря-22 (30-22,5-18)</t>
    </r>
    <r>
      <rPr>
        <i/>
        <sz val="10"/>
        <color rgb="FF821E82"/>
        <rFont val="Arial"/>
        <family val="2"/>
        <charset val="204"/>
      </rPr>
      <t xml:space="preserve">
24 918,89 = [220 783,55 / 1,22 /  7,57] +  3% Трансп +  1,2% Заг.скл</t>
    </r>
  </si>
  <si>
    <r>
      <t>ОБОРУДОВАНИЕ:_x000D_
Модуль газового пожаротушения с электроконтактным манометром, электромагнитным клапаном, заправлен (масса заправки ФК-5-1-12 – 16,5 кг) Заря-22 (30-22,5-18)</t>
    </r>
    <r>
      <rPr>
        <i/>
        <sz val="10"/>
        <color rgb="FF821E82"/>
        <rFont val="Arial"/>
        <family val="2"/>
        <charset val="204"/>
      </rPr>
      <t xml:space="preserve">
24 147,25 = [213 946,76 / 1,22 /  7,57] +  3% Трансп +  1,2% Заг.скл</t>
    </r>
  </si>
  <si>
    <t>ОБОРУДОВАНИЕ:_x000D_
Самоспасатель изолирующий типа СПИ-20. Время защитного действия при эвакуации не менее 20 мин, в ожидании помощи 40 мин, диапазон рабочих температур от 0 до +60°C, габаритные размеры 115х195х220 мм</t>
  </si>
  <si>
    <r>
      <t>ОБОРУДОВАНИЕ:_x000D_
Контейнер для двух СПИ-20 "СПИ-20 ШК-2 (344х204х170)" арт. RB1151-1</t>
    </r>
    <r>
      <rPr>
        <i/>
        <sz val="10"/>
        <color rgb="FF821E82"/>
        <rFont val="Arial"/>
        <family val="2"/>
        <charset val="204"/>
      </rPr>
      <t xml:space="preserve">
285,56 = [2 530 / 1,22 /  7,57] +  3% Трансп +  1,2% Заг.скл</t>
    </r>
  </si>
  <si>
    <t>1,15*1,2</t>
  </si>
  <si>
    <t>1,25*1,2</t>
  </si>
  <si>
    <r>
      <t>ОБОРУДОВАНИЕ:_x000D_
Дымосос переносной (напорный рукав 50 м) в комплекте с двухзонной всасывающей обвязкой</t>
    </r>
    <r>
      <rPr>
        <i/>
        <sz val="10"/>
        <color rgb="FF821E82"/>
        <rFont val="Arial"/>
        <family val="2"/>
        <charset val="204"/>
      </rPr>
      <t xml:space="preserve">
7 652,30 = [67 800 / 1,22 /  7,57] +  3% Трансп +  1,2% Заг.скл</t>
    </r>
  </si>
  <si>
    <r>
      <t>ОБОРУДОВАНИЕ:_x000D_
Клапан сброса избыточного давления КСИД 150-0,5</t>
    </r>
    <r>
      <rPr>
        <i/>
        <sz val="10"/>
        <color rgb="FF821E82"/>
        <rFont val="Arial"/>
        <family val="2"/>
        <charset val="204"/>
      </rPr>
      <t xml:space="preserve">
1 783,28 = [15 800 / 1,22 /  7,57] +  3% Трансп +  1,2% Заг.скл</t>
    </r>
  </si>
  <si>
    <r>
      <t>Решетка защитная на КСИД 150-0,5</t>
    </r>
    <r>
      <rPr>
        <i/>
        <sz val="10"/>
        <rFont val="Arial"/>
        <family val="2"/>
        <charset val="204"/>
      </rPr>
      <t xml:space="preserve">
254,90 = [3 000 / 1,22 /  9,84] +  2% Заг.скл</t>
    </r>
  </si>
  <si>
    <r>
      <t>Кабель КПСЭнг(A)-FRLSLTx 1х2х0,75</t>
    </r>
    <r>
      <rPr>
        <i/>
        <sz val="10"/>
        <rFont val="Arial"/>
        <family val="2"/>
        <charset val="204"/>
      </rPr>
      <t xml:space="preserve">
3,55 = [41,83 / 1,22 /  9,84] +  2% Заг.скл</t>
    </r>
  </si>
  <si>
    <r>
      <t>Огнестойкая распределительная коробка IP55 ТУ 27.33.13-001-52715257-2017 40-0210-FR2.5-4</t>
    </r>
    <r>
      <rPr>
        <i/>
        <sz val="10"/>
        <rFont val="Arial"/>
        <family val="2"/>
        <charset val="204"/>
      </rPr>
      <t xml:space="preserve">
209,19 = [2 462,1 / 1,22 /  9,84] +  2% Заг.скл</t>
    </r>
  </si>
  <si>
    <r>
      <t>Кабель СегментЛАН U/UTP Cat5e PVCLSнг(А)-FRLSLT 2х2х0,52</t>
    </r>
    <r>
      <rPr>
        <i/>
        <sz val="10"/>
        <rFont val="Arial"/>
        <family val="2"/>
        <charset val="204"/>
      </rPr>
      <t xml:space="preserve">
11,64 = [136,97 / 1,22 /  9,84] +  2% Заг.скл</t>
    </r>
  </si>
  <si>
    <r>
      <t>Огнезащитный терморасширяющийся герметик, 0,3 кг ОГНЕЗА ГТ</t>
    </r>
    <r>
      <rPr>
        <i/>
        <sz val="10"/>
        <rFont val="Arial"/>
        <family val="2"/>
        <charset val="204"/>
      </rPr>
      <t xml:space="preserve">
105,35 = [1 239,84 / 1,22 /  9,84] +  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</si>
  <si>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</si>
  <si>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</si>
  <si>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</si>
  <si>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</si>
  <si>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 по адресу: г. Москва, Старопименовский пер., д. №5.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</si>
</sst>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5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2" fillId="0" borderId="0" xfId="0" quotePrefix="1" applyFont="1" applyAlignment="1">
      <alignment horizontal="right" vertical="top" wrapText="1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19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top" wrapText="1"/>
    </xf>
    <xf numFmtId="0" fontId="19" fillId="0" borderId="0" xfId="0" applyFont="1" applyAlignment="1">
      <alignment horizontal="right" vertical="top"/>
    </xf>
    <xf numFmtId="164" fontId="19" fillId="0" borderId="0" xfId="0" applyNumberFormat="1" applyFont="1" applyAlignment="1">
      <alignment horizontal="right" vertical="top"/>
    </xf>
    <xf numFmtId="0" fontId="19" fillId="0" borderId="0" xfId="0" quotePrefix="1" applyFont="1" applyAlignment="1">
      <alignment horizontal="righ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right" vertical="top" wrapText="1"/>
    </xf>
    <xf numFmtId="0" fontId="19" fillId="0" borderId="1" xfId="0" applyFont="1" applyBorder="1" applyAlignment="1">
      <alignment horizontal="right" vertical="top"/>
    </xf>
    <xf numFmtId="164" fontId="19" fillId="0" borderId="1" xfId="0" applyNumberFormat="1" applyFont="1" applyBorder="1" applyAlignment="1">
      <alignment horizontal="right" vertical="top"/>
    </xf>
    <xf numFmtId="0" fontId="19" fillId="0" borderId="1" xfId="0" quotePrefix="1" applyFont="1" applyBorder="1" applyAlignment="1">
      <alignment horizontal="right"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164" fontId="23" fillId="0" borderId="2" xfId="0" applyNumberFormat="1" applyFont="1" applyBorder="1" applyAlignment="1">
      <alignment horizontal="right" vertical="top"/>
    </xf>
    <xf numFmtId="0" fontId="0" fillId="0" borderId="1" xfId="0" applyBorder="1"/>
    <xf numFmtId="0" fontId="10" fillId="0" borderId="1" xfId="0" applyFont="1" applyBorder="1" applyAlignment="1">
      <alignment vertical="top" wrapText="1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9"/>
  <sheetViews>
    <sheetView tabSelected="1" zoomScaleNormal="100" workbookViewId="0">
      <selection activeCell="N13" sqref="N13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2" bestFit="1" customWidth="1"/>
    <col min="6" max="6" width="10.140625" bestFit="1" customWidth="1"/>
    <col min="7" max="7" width="8.7109375" bestFit="1" customWidth="1"/>
    <col min="9" max="9" width="10.140625" bestFit="1" customWidth="1"/>
    <col min="11" max="11" width="11.285156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x14ac:dyDescent="0.2">
      <c r="A2" s="16"/>
      <c r="B2" s="16"/>
      <c r="C2" s="16"/>
      <c r="D2" s="16"/>
      <c r="E2" s="16"/>
      <c r="F2" s="16"/>
      <c r="G2" s="16"/>
      <c r="H2" s="16"/>
      <c r="I2" s="16"/>
      <c r="J2" s="36" t="s">
        <v>848</v>
      </c>
      <c r="K2" s="36"/>
    </row>
    <row r="3" spans="1:42" ht="31.5" x14ac:dyDescent="0.25">
      <c r="A3" s="17" t="s">
        <v>902</v>
      </c>
      <c r="B3" s="17"/>
      <c r="C3" s="17"/>
      <c r="D3" s="17"/>
      <c r="E3" s="17"/>
      <c r="F3" s="17"/>
      <c r="G3" s="17"/>
      <c r="H3" s="17"/>
      <c r="I3" s="17"/>
      <c r="J3" s="17"/>
      <c r="K3" s="17"/>
      <c r="AP3" s="37" t="s">
        <v>849</v>
      </c>
    </row>
    <row r="4" spans="1:42" x14ac:dyDescent="0.2">
      <c r="A4" s="18" t="s">
        <v>828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42" ht="14.25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42" ht="15.75" x14ac:dyDescent="0.25">
      <c r="A6" s="17" t="str">
        <f>CONCATENATE( "ЛОКАЛЬНАЯ СМЕТА № ",IF(Source!F12&lt;&gt;"Новый объект", Source!F12, ""))</f>
        <v>ЛОКАЛЬНАЯ СМЕТА № 02-01-19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42" ht="14.25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42" ht="18" x14ac:dyDescent="0.25">
      <c r="A8" s="20" t="s">
        <v>20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42" x14ac:dyDescent="0.2">
      <c r="A9" s="21" t="s">
        <v>829</v>
      </c>
      <c r="B9" s="22"/>
      <c r="C9" s="22"/>
      <c r="D9" s="22"/>
      <c r="E9" s="22"/>
      <c r="F9" s="22"/>
      <c r="G9" s="22"/>
      <c r="H9" s="22"/>
      <c r="I9" s="22"/>
      <c r="J9" s="22"/>
      <c r="K9" s="22"/>
    </row>
    <row r="10" spans="1:42" ht="14.25" x14ac:dyDescent="0.2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42" ht="14.25" x14ac:dyDescent="0.2">
      <c r="A11" s="23" t="str">
        <f>CONCATENATE( "Основание: чертежи № ", Source!J12)</f>
        <v>Основание: чертежи № 2024-00375-01-0-ИОС5.12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42" ht="14.25" x14ac:dyDescent="0.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</row>
    <row r="13" spans="1:42" ht="71.25" x14ac:dyDescent="0.2">
      <c r="A13" s="16"/>
      <c r="B13" s="16"/>
      <c r="C13" s="16"/>
      <c r="D13" s="16"/>
      <c r="E13" s="16"/>
      <c r="F13" s="16"/>
      <c r="G13" s="16"/>
      <c r="H13" s="16"/>
      <c r="I13" s="25" t="s">
        <v>830</v>
      </c>
      <c r="J13" s="25" t="s">
        <v>831</v>
      </c>
      <c r="K13" s="16"/>
    </row>
    <row r="14" spans="1:42" ht="15" x14ac:dyDescent="0.25">
      <c r="A14" s="16"/>
      <c r="B14" s="16"/>
      <c r="C14" s="16"/>
      <c r="D14" s="16"/>
      <c r="E14" s="26" t="s">
        <v>832</v>
      </c>
      <c r="F14" s="26"/>
      <c r="G14" s="26"/>
      <c r="H14" s="26"/>
      <c r="I14" s="27">
        <f>I15+I16+I17+I18</f>
        <v>373.77</v>
      </c>
      <c r="J14" s="27">
        <f>J15+J16+J17+J18</f>
        <v>3517.33</v>
      </c>
      <c r="K14" s="28" t="s">
        <v>898</v>
      </c>
    </row>
    <row r="15" spans="1:42" ht="14.25" x14ac:dyDescent="0.2">
      <c r="A15" s="16"/>
      <c r="B15" s="16"/>
      <c r="C15" s="16"/>
      <c r="D15" s="16"/>
      <c r="E15" s="29" t="s">
        <v>86</v>
      </c>
      <c r="F15" s="29"/>
      <c r="G15" s="29"/>
      <c r="H15" s="29"/>
      <c r="I15" s="30">
        <f>ROUND((Source!F403)/1000, 2)</f>
        <v>24.33</v>
      </c>
      <c r="J15" s="30">
        <f>ROUND((Source!P403)/1000, 2)</f>
        <v>144.82</v>
      </c>
      <c r="K15" s="16" t="s">
        <v>898</v>
      </c>
    </row>
    <row r="16" spans="1:42" ht="14.25" x14ac:dyDescent="0.2">
      <c r="A16" s="16"/>
      <c r="B16" s="16"/>
      <c r="C16" s="16"/>
      <c r="D16" s="16"/>
      <c r="E16" s="29" t="s">
        <v>833</v>
      </c>
      <c r="F16" s="29"/>
      <c r="G16" s="29"/>
      <c r="H16" s="29"/>
      <c r="I16" s="30">
        <f>ROUND((Source!F404)/1000, 2)</f>
        <v>37.18</v>
      </c>
      <c r="J16" s="30">
        <f>ROUND((Source!P404)/1000, 2)</f>
        <v>1020.92</v>
      </c>
      <c r="K16" s="16" t="s">
        <v>898</v>
      </c>
    </row>
    <row r="17" spans="1:42" ht="14.25" x14ac:dyDescent="0.2">
      <c r="A17" s="16"/>
      <c r="B17" s="16"/>
      <c r="C17" s="16"/>
      <c r="D17" s="16"/>
      <c r="E17" s="29" t="s">
        <v>186</v>
      </c>
      <c r="F17" s="29"/>
      <c r="G17" s="29"/>
      <c r="H17" s="29"/>
      <c r="I17" s="30">
        <f>ROUND((Source!F395)/1000, 2)</f>
        <v>312.26</v>
      </c>
      <c r="J17" s="30">
        <f>ROUND((Source!P395)/1000, 2)</f>
        <v>2351.59</v>
      </c>
      <c r="K17" s="16" t="s">
        <v>898</v>
      </c>
    </row>
    <row r="18" spans="1:42" ht="14.25" x14ac:dyDescent="0.2">
      <c r="A18" s="16"/>
      <c r="B18" s="16"/>
      <c r="C18" s="16"/>
      <c r="D18" s="16"/>
      <c r="E18" s="29" t="s">
        <v>834</v>
      </c>
      <c r="F18" s="29"/>
      <c r="G18" s="29"/>
      <c r="H18" s="29"/>
      <c r="I18" s="30">
        <f>ROUND((Source!F405+Source!F406)/1000, 2)</f>
        <v>0</v>
      </c>
      <c r="J18" s="30">
        <f>ROUND((Source!P405+Source!P406)/1000, 2)</f>
        <v>0</v>
      </c>
      <c r="K18" s="16" t="s">
        <v>898</v>
      </c>
    </row>
    <row r="19" spans="1:42" ht="14.25" x14ac:dyDescent="0.2">
      <c r="A19" s="16"/>
      <c r="B19" s="16"/>
      <c r="C19" s="16"/>
      <c r="D19" s="16"/>
      <c r="E19" s="29" t="s">
        <v>835</v>
      </c>
      <c r="F19" s="29"/>
      <c r="G19" s="29"/>
      <c r="H19" s="29"/>
      <c r="I19" s="30">
        <f>(Source!F401+ Source!F400)/1000</f>
        <v>7.0029299999999992</v>
      </c>
      <c r="J19" s="30">
        <f>((Source!P401 + Source!P400)/1000)</f>
        <v>394.61513000000002</v>
      </c>
      <c r="K19" s="16" t="s">
        <v>898</v>
      </c>
    </row>
    <row r="20" spans="1:42" ht="14.25" x14ac:dyDescent="0.2">
      <c r="A20" s="16"/>
      <c r="B20" s="16"/>
      <c r="C20" s="16"/>
      <c r="D20" s="16"/>
      <c r="E20" s="29" t="s">
        <v>836</v>
      </c>
      <c r="F20" s="29"/>
      <c r="G20" s="29"/>
      <c r="H20" s="29"/>
      <c r="I20" s="30">
        <f>Source!F408</f>
        <v>571.16713245599999</v>
      </c>
      <c r="J20" s="30"/>
      <c r="K20" s="16" t="s">
        <v>459</v>
      </c>
    </row>
    <row r="21" spans="1:42" ht="14.25" hidden="1" x14ac:dyDescent="0.2">
      <c r="A21" s="16"/>
      <c r="B21" s="16"/>
      <c r="C21" s="16"/>
      <c r="D21" s="16"/>
      <c r="E21" s="31" t="s">
        <v>837</v>
      </c>
      <c r="F21" s="31"/>
      <c r="G21" s="31"/>
      <c r="H21" s="31"/>
      <c r="I21" s="30"/>
      <c r="J21" s="30"/>
      <c r="K21" s="16"/>
    </row>
    <row r="22" spans="1:42" ht="14.25" hidden="1" x14ac:dyDescent="0.2">
      <c r="A22" s="16"/>
      <c r="B22" s="16"/>
      <c r="C22" s="16"/>
      <c r="D22" s="16"/>
      <c r="E22" s="32" t="s">
        <v>171</v>
      </c>
      <c r="F22" s="32"/>
      <c r="G22" s="32"/>
      <c r="H22" s="32"/>
      <c r="I22" s="30">
        <f>SUM(Y1:Y592)/1000</f>
        <v>0</v>
      </c>
      <c r="J22" s="30">
        <f>SUM(Z1:Z592)/1000</f>
        <v>0</v>
      </c>
      <c r="K22" s="16" t="s">
        <v>898</v>
      </c>
    </row>
    <row r="23" spans="1:42" ht="14.25" x14ac:dyDescent="0.2">
      <c r="A23" s="16"/>
      <c r="B23" s="16"/>
      <c r="C23" s="16"/>
      <c r="D23" s="16"/>
      <c r="E23" s="16"/>
      <c r="F23" s="33"/>
      <c r="G23" s="33"/>
      <c r="H23" s="33"/>
      <c r="I23" s="30"/>
      <c r="J23" s="30"/>
      <c r="K23" s="16"/>
    </row>
    <row r="24" spans="1:42" ht="14.25" x14ac:dyDescent="0.2">
      <c r="A24" s="16" t="s">
        <v>850</v>
      </c>
      <c r="B24" s="16"/>
      <c r="C24" s="16"/>
      <c r="D24" s="16"/>
      <c r="E24" s="16"/>
      <c r="F24" s="33"/>
      <c r="G24" s="33"/>
      <c r="H24" s="33"/>
      <c r="I24" s="30"/>
      <c r="J24" s="30"/>
      <c r="K24" s="16"/>
    </row>
    <row r="25" spans="1:42" ht="28.5" x14ac:dyDescent="0.2">
      <c r="A25" s="23" t="s">
        <v>851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AP25" s="38" t="s">
        <v>851</v>
      </c>
    </row>
    <row r="26" spans="1:42" ht="114" x14ac:dyDescent="0.2">
      <c r="A26" s="34" t="s">
        <v>838</v>
      </c>
      <c r="B26" s="34" t="s">
        <v>839</v>
      </c>
      <c r="C26" s="34" t="s">
        <v>840</v>
      </c>
      <c r="D26" s="34" t="s">
        <v>841</v>
      </c>
      <c r="E26" s="34" t="s">
        <v>842</v>
      </c>
      <c r="F26" s="34" t="s">
        <v>843</v>
      </c>
      <c r="G26" s="35" t="s">
        <v>844</v>
      </c>
      <c r="H26" s="35" t="s">
        <v>845</v>
      </c>
      <c r="I26" s="34" t="s">
        <v>852</v>
      </c>
      <c r="J26" s="34" t="s">
        <v>846</v>
      </c>
      <c r="K26" s="34" t="s">
        <v>847</v>
      </c>
    </row>
    <row r="27" spans="1:42" ht="14.25" x14ac:dyDescent="0.2">
      <c r="A27" s="34">
        <v>1</v>
      </c>
      <c r="B27" s="34">
        <v>2</v>
      </c>
      <c r="C27" s="34">
        <v>3</v>
      </c>
      <c r="D27" s="34">
        <v>4</v>
      </c>
      <c r="E27" s="34">
        <v>5</v>
      </c>
      <c r="F27" s="34">
        <v>6</v>
      </c>
      <c r="G27" s="34">
        <v>7</v>
      </c>
      <c r="H27" s="34">
        <v>8</v>
      </c>
      <c r="I27" s="34">
        <v>9</v>
      </c>
      <c r="J27" s="34">
        <v>10</v>
      </c>
      <c r="K27" s="34">
        <v>11</v>
      </c>
    </row>
    <row r="29" spans="1:42" ht="16.5" x14ac:dyDescent="0.2">
      <c r="A29" s="39" t="str">
        <f>CONCATENATE("Локальная смета: ",IF(Source!G20&lt;&gt;"Новая локальная смета", Source!G20, ""))</f>
        <v>Локальная смета: Автоматическая установка газового пожаротушения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1" spans="1:42" ht="16.5" x14ac:dyDescent="0.2">
      <c r="A31" s="39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AP31" s="40" t="str">
        <f>CONCATENATE("Раздел: ",IF(Source!G24&lt;&gt;"Новый раздел", Source!G24, ""))</f>
        <v>Раздел: Демонтажные работы (Письмо от АНО «РГТ» об утверждении объёмов демонтажных работ)</v>
      </c>
    </row>
    <row r="32" spans="1:42" ht="57" x14ac:dyDescent="0.2">
      <c r="A32" s="41">
        <v>1</v>
      </c>
      <c r="B32" s="41" t="str">
        <f>Source!F28</f>
        <v>4.10-80-5</v>
      </c>
      <c r="C32" s="41" t="s">
        <v>28</v>
      </c>
      <c r="D32" s="43" t="str">
        <f>Source!H28</f>
        <v>1  ШТ.</v>
      </c>
      <c r="E32" s="42">
        <f>Source!I28</f>
        <v>8</v>
      </c>
      <c r="F32" s="45"/>
      <c r="G32" s="44"/>
      <c r="H32" s="42"/>
      <c r="I32" s="45"/>
      <c r="J32" s="42"/>
      <c r="K32" s="45"/>
      <c r="Q32">
        <f>Source!X28</f>
        <v>62.55</v>
      </c>
      <c r="R32">
        <f>Source!X29</f>
        <v>3524.69</v>
      </c>
      <c r="S32">
        <f>Source!Y28</f>
        <v>31.97</v>
      </c>
      <c r="T32">
        <f>Source!Y29</f>
        <v>1801.51</v>
      </c>
      <c r="U32">
        <f>ROUND((175/100)*ROUND(Source!R28, 2), 2)</f>
        <v>0.05</v>
      </c>
      <c r="V32">
        <f>ROUND((0/100)*ROUND(Source!R29, 2), 2)</f>
        <v>0</v>
      </c>
      <c r="AC32">
        <v>0</v>
      </c>
    </row>
    <row r="33" spans="1:29" ht="14.25" x14ac:dyDescent="0.2">
      <c r="A33" s="41"/>
      <c r="B33" s="41"/>
      <c r="C33" s="41" t="s">
        <v>853</v>
      </c>
      <c r="D33" s="43"/>
      <c r="E33" s="42"/>
      <c r="F33" s="45">
        <f>Source!AO28</f>
        <v>23.04</v>
      </c>
      <c r="G33" s="46" t="s">
        <v>854</v>
      </c>
      <c r="H33" s="42">
        <f>Source!AV29</f>
        <v>1.0469999999999999</v>
      </c>
      <c r="I33" s="45">
        <f>Source!S28</f>
        <v>69.47</v>
      </c>
      <c r="J33" s="42">
        <f>IF(Source!BA29&lt;&gt; 0, Source!BA29, 1)</f>
        <v>56.35</v>
      </c>
      <c r="K33" s="45">
        <f>Source!S29</f>
        <v>3914.63</v>
      </c>
    </row>
    <row r="34" spans="1:29" ht="14.25" x14ac:dyDescent="0.2">
      <c r="A34" s="41"/>
      <c r="B34" s="41"/>
      <c r="C34" s="41" t="s">
        <v>855</v>
      </c>
      <c r="D34" s="43"/>
      <c r="E34" s="42"/>
      <c r="F34" s="45">
        <f>Source!AM28</f>
        <v>0.05</v>
      </c>
      <c r="G34" s="46" t="s">
        <v>854</v>
      </c>
      <c r="H34" s="42">
        <f>Source!AV29</f>
        <v>1.0469999999999999</v>
      </c>
      <c r="I34" s="45">
        <f>Source!Q28</f>
        <v>0.15</v>
      </c>
      <c r="J34" s="42">
        <f>IF(Source!BB29&lt;&gt; 0, Source!BB29, 1)</f>
        <v>20</v>
      </c>
      <c r="K34" s="45">
        <f>Source!Q29</f>
        <v>3</v>
      </c>
    </row>
    <row r="35" spans="1:29" ht="14.25" x14ac:dyDescent="0.2">
      <c r="A35" s="41"/>
      <c r="B35" s="41"/>
      <c r="C35" s="41" t="s">
        <v>856</v>
      </c>
      <c r="D35" s="43"/>
      <c r="E35" s="42"/>
      <c r="F35" s="45">
        <f>Source!AN28</f>
        <v>0.01</v>
      </c>
      <c r="G35" s="46" t="s">
        <v>854</v>
      </c>
      <c r="H35" s="42">
        <f>Source!AV29</f>
        <v>1.0469999999999999</v>
      </c>
      <c r="I35" s="47">
        <f>Source!R28</f>
        <v>0.03</v>
      </c>
      <c r="J35" s="42">
        <f>IF(Source!BS29&lt;&gt; 0, Source!BS29, 1)</f>
        <v>56.35</v>
      </c>
      <c r="K35" s="47">
        <f>Source!R29</f>
        <v>1.69</v>
      </c>
    </row>
    <row r="36" spans="1:29" ht="14.25" x14ac:dyDescent="0.2">
      <c r="A36" s="41"/>
      <c r="B36" s="41"/>
      <c r="C36" s="41" t="s">
        <v>857</v>
      </c>
      <c r="D36" s="43" t="s">
        <v>858</v>
      </c>
      <c r="E36" s="42">
        <f>Source!BZ29</f>
        <v>90</v>
      </c>
      <c r="F36" s="45"/>
      <c r="G36" s="44"/>
      <c r="H36" s="42"/>
      <c r="I36" s="45">
        <f>SUM(Q32:Q35)</f>
        <v>62.55</v>
      </c>
      <c r="J36" s="42">
        <f>Source!AT29</f>
        <v>90</v>
      </c>
      <c r="K36" s="45">
        <f>SUM(R32:R35)</f>
        <v>3524.69</v>
      </c>
    </row>
    <row r="37" spans="1:29" ht="14.25" x14ac:dyDescent="0.2">
      <c r="A37" s="41"/>
      <c r="B37" s="41"/>
      <c r="C37" s="41" t="s">
        <v>859</v>
      </c>
      <c r="D37" s="43" t="s">
        <v>858</v>
      </c>
      <c r="E37" s="42">
        <f>Source!CA29</f>
        <v>46</v>
      </c>
      <c r="F37" s="45"/>
      <c r="G37" s="44"/>
      <c r="H37" s="42"/>
      <c r="I37" s="45">
        <f>SUM(S32:S36)</f>
        <v>31.97</v>
      </c>
      <c r="J37" s="42">
        <f>Source!AU29</f>
        <v>46</v>
      </c>
      <c r="K37" s="45">
        <f>SUM(T32:T36)</f>
        <v>1801.51</v>
      </c>
    </row>
    <row r="38" spans="1:29" ht="14.25" x14ac:dyDescent="0.2">
      <c r="A38" s="48"/>
      <c r="B38" s="48"/>
      <c r="C38" s="48" t="s">
        <v>860</v>
      </c>
      <c r="D38" s="49" t="s">
        <v>861</v>
      </c>
      <c r="E38" s="50">
        <f>Source!AQ28</f>
        <v>1.8</v>
      </c>
      <c r="F38" s="51"/>
      <c r="G38" s="52" t="s">
        <v>854</v>
      </c>
      <c r="H38" s="50">
        <f>Source!AV29</f>
        <v>1.0469999999999999</v>
      </c>
      <c r="I38" s="51">
        <f>Source!U28</f>
        <v>5.4276479999999996</v>
      </c>
      <c r="J38" s="50"/>
      <c r="K38" s="51"/>
    </row>
    <row r="39" spans="1:29" ht="15" x14ac:dyDescent="0.2">
      <c r="C39" s="53" t="s">
        <v>862</v>
      </c>
      <c r="H39" s="54">
        <f>I33+I34+I36+I37+0-0-0</f>
        <v>164.14000000000001</v>
      </c>
      <c r="I39" s="54"/>
      <c r="J39" s="54">
        <f>K33+K34+K36+K37+0-0-0</f>
        <v>9243.83</v>
      </c>
      <c r="K39" s="54"/>
    </row>
    <row r="40" spans="1:29" ht="15" hidden="1" x14ac:dyDescent="0.2">
      <c r="C40" s="53" t="s">
        <v>863</v>
      </c>
      <c r="H40" s="56">
        <f>0+0</f>
        <v>0</v>
      </c>
      <c r="I40" s="56"/>
      <c r="J40" s="56">
        <f>0+0</f>
        <v>0</v>
      </c>
      <c r="K40" s="56"/>
    </row>
    <row r="41" spans="1:29" ht="15" x14ac:dyDescent="0.2">
      <c r="C41" s="53" t="s">
        <v>864</v>
      </c>
      <c r="H41" s="56">
        <f>I33+I34+I36+I37+0</f>
        <v>164.14000000000001</v>
      </c>
      <c r="I41" s="56"/>
      <c r="J41" s="56">
        <f>K33+K34+K36+K37+0</f>
        <v>9243.83</v>
      </c>
      <c r="K41" s="56"/>
      <c r="O41" s="57">
        <f>I33+I34+I36+I37+0</f>
        <v>164.14000000000001</v>
      </c>
      <c r="P41" s="57">
        <f>K33+K34+K36+K37+0</f>
        <v>9243.83</v>
      </c>
    </row>
    <row r="43" spans="1:29" ht="85.5" x14ac:dyDescent="0.2">
      <c r="A43" s="41">
        <v>2</v>
      </c>
      <c r="B43" s="41" t="str">
        <f>Source!F30</f>
        <v>4.10-80-2</v>
      </c>
      <c r="C43" s="41" t="s">
        <v>39</v>
      </c>
      <c r="D43" s="43" t="str">
        <f>Source!H30</f>
        <v>1  ШТ.</v>
      </c>
      <c r="E43" s="42">
        <f>Source!I30</f>
        <v>1</v>
      </c>
      <c r="F43" s="45"/>
      <c r="G43" s="44"/>
      <c r="H43" s="42"/>
      <c r="I43" s="45"/>
      <c r="J43" s="42"/>
      <c r="K43" s="45"/>
      <c r="Q43">
        <f>Source!X30</f>
        <v>52.39</v>
      </c>
      <c r="R43">
        <f>Source!X31</f>
        <v>2952.12</v>
      </c>
      <c r="S43">
        <f>Source!Y30</f>
        <v>26.78</v>
      </c>
      <c r="T43">
        <f>Source!Y31</f>
        <v>1508.86</v>
      </c>
      <c r="U43">
        <f>ROUND((175/100)*ROUND(Source!R30, 2), 2)</f>
        <v>0</v>
      </c>
      <c r="V43">
        <f>ROUND((0/100)*ROUND(Source!R31, 2), 2)</f>
        <v>0</v>
      </c>
      <c r="AC43">
        <v>0</v>
      </c>
    </row>
    <row r="44" spans="1:29" ht="14.25" x14ac:dyDescent="0.2">
      <c r="A44" s="41"/>
      <c r="B44" s="41"/>
      <c r="C44" s="41" t="s">
        <v>853</v>
      </c>
      <c r="D44" s="43"/>
      <c r="E44" s="42"/>
      <c r="F44" s="45">
        <f>Source!AO30</f>
        <v>154.44</v>
      </c>
      <c r="G44" s="46" t="s">
        <v>854</v>
      </c>
      <c r="H44" s="42">
        <f>Source!AV31</f>
        <v>1.0469999999999999</v>
      </c>
      <c r="I44" s="45">
        <f>Source!S30</f>
        <v>58.21</v>
      </c>
      <c r="J44" s="42">
        <f>IF(Source!BA31&lt;&gt; 0, Source!BA31, 1)</f>
        <v>56.35</v>
      </c>
      <c r="K44" s="45">
        <f>Source!S31</f>
        <v>3280.13</v>
      </c>
    </row>
    <row r="45" spans="1:29" ht="14.25" x14ac:dyDescent="0.2">
      <c r="A45" s="41"/>
      <c r="B45" s="41"/>
      <c r="C45" s="41" t="s">
        <v>855</v>
      </c>
      <c r="D45" s="43"/>
      <c r="E45" s="42"/>
      <c r="F45" s="45">
        <f>Source!AM30</f>
        <v>0.06</v>
      </c>
      <c r="G45" s="46" t="s">
        <v>854</v>
      </c>
      <c r="H45" s="42">
        <f>Source!AV31</f>
        <v>1.0469999999999999</v>
      </c>
      <c r="I45" s="45">
        <f>Source!Q30</f>
        <v>0.02</v>
      </c>
      <c r="J45" s="42">
        <f>IF(Source!BB31&lt;&gt; 0, Source!BB31, 1)</f>
        <v>18.5</v>
      </c>
      <c r="K45" s="45">
        <f>Source!Q31</f>
        <v>0.37</v>
      </c>
    </row>
    <row r="46" spans="1:29" ht="14.25" x14ac:dyDescent="0.2">
      <c r="A46" s="41"/>
      <c r="B46" s="41"/>
      <c r="C46" s="41" t="s">
        <v>857</v>
      </c>
      <c r="D46" s="43" t="s">
        <v>858</v>
      </c>
      <c r="E46" s="42">
        <f>Source!BZ31</f>
        <v>90</v>
      </c>
      <c r="F46" s="45"/>
      <c r="G46" s="44"/>
      <c r="H46" s="42"/>
      <c r="I46" s="45">
        <f>SUM(Q43:Q45)</f>
        <v>52.39</v>
      </c>
      <c r="J46" s="42">
        <f>Source!AT31</f>
        <v>90</v>
      </c>
      <c r="K46" s="45">
        <f>SUM(R43:R45)</f>
        <v>2952.12</v>
      </c>
    </row>
    <row r="47" spans="1:29" ht="14.25" x14ac:dyDescent="0.2">
      <c r="A47" s="41"/>
      <c r="B47" s="41"/>
      <c r="C47" s="41" t="s">
        <v>859</v>
      </c>
      <c r="D47" s="43" t="s">
        <v>858</v>
      </c>
      <c r="E47" s="42">
        <f>Source!CA31</f>
        <v>46</v>
      </c>
      <c r="F47" s="45"/>
      <c r="G47" s="44"/>
      <c r="H47" s="42"/>
      <c r="I47" s="45">
        <f>SUM(S43:S46)</f>
        <v>26.78</v>
      </c>
      <c r="J47" s="42">
        <f>Source!AU31</f>
        <v>46</v>
      </c>
      <c r="K47" s="45">
        <f>SUM(T43:T46)</f>
        <v>1508.86</v>
      </c>
    </row>
    <row r="48" spans="1:29" ht="14.25" x14ac:dyDescent="0.2">
      <c r="A48" s="48"/>
      <c r="B48" s="48"/>
      <c r="C48" s="48" t="s">
        <v>860</v>
      </c>
      <c r="D48" s="49" t="s">
        <v>861</v>
      </c>
      <c r="E48" s="50">
        <f>Source!AQ30</f>
        <v>11.7</v>
      </c>
      <c r="F48" s="51"/>
      <c r="G48" s="52" t="s">
        <v>854</v>
      </c>
      <c r="H48" s="50">
        <f>Source!AV31</f>
        <v>1.0469999999999999</v>
      </c>
      <c r="I48" s="51">
        <f>Source!U30</f>
        <v>4.4099639999999996</v>
      </c>
      <c r="J48" s="50"/>
      <c r="K48" s="51"/>
    </row>
    <row r="49" spans="1:29" ht="15" x14ac:dyDescent="0.2">
      <c r="C49" s="53" t="s">
        <v>862</v>
      </c>
      <c r="H49" s="54">
        <f>I44+I45+I46+I47+0-0-0</f>
        <v>137.4</v>
      </c>
      <c r="I49" s="54"/>
      <c r="J49" s="54">
        <f>K44+K45+K46+K47+0-0-0</f>
        <v>7741.48</v>
      </c>
      <c r="K49" s="54"/>
    </row>
    <row r="50" spans="1:29" ht="15" hidden="1" x14ac:dyDescent="0.2">
      <c r="C50" s="53" t="s">
        <v>863</v>
      </c>
      <c r="H50" s="56">
        <f>0+0</f>
        <v>0</v>
      </c>
      <c r="I50" s="56"/>
      <c r="J50" s="56">
        <f>0+0</f>
        <v>0</v>
      </c>
      <c r="K50" s="56"/>
    </row>
    <row r="51" spans="1:29" ht="15" x14ac:dyDescent="0.2">
      <c r="C51" s="53" t="s">
        <v>864</v>
      </c>
      <c r="H51" s="56">
        <f>I44+I45+I46+I47+0</f>
        <v>137.4</v>
      </c>
      <c r="I51" s="56"/>
      <c r="J51" s="56">
        <f>K44+K45+K46+K47+0</f>
        <v>7741.48</v>
      </c>
      <c r="K51" s="56"/>
      <c r="O51" s="57">
        <f>I44+I45+I46+I47+0</f>
        <v>137.4</v>
      </c>
      <c r="P51" s="57">
        <f>K44+K45+K46+K47+0</f>
        <v>7741.48</v>
      </c>
    </row>
    <row r="53" spans="1:29" ht="42.75" x14ac:dyDescent="0.2">
      <c r="A53" s="41">
        <v>3</v>
      </c>
      <c r="B53" s="41" t="str">
        <f>Source!F32</f>
        <v>4.10-163-2</v>
      </c>
      <c r="C53" s="41" t="s">
        <v>43</v>
      </c>
      <c r="D53" s="43" t="str">
        <f>Source!H32</f>
        <v>1 устройство</v>
      </c>
      <c r="E53" s="42">
        <f>Source!I32</f>
        <v>1</v>
      </c>
      <c r="F53" s="45"/>
      <c r="G53" s="44"/>
      <c r="H53" s="42"/>
      <c r="I53" s="45"/>
      <c r="J53" s="42"/>
      <c r="K53" s="45"/>
      <c r="Q53">
        <f>Source!X32</f>
        <v>27.25</v>
      </c>
      <c r="R53">
        <f>Source!X33</f>
        <v>1535.65</v>
      </c>
      <c r="S53">
        <f>Source!Y32</f>
        <v>13.93</v>
      </c>
      <c r="T53">
        <f>Source!Y33</f>
        <v>784.89</v>
      </c>
      <c r="U53">
        <f>ROUND((175/100)*ROUND(Source!R32, 2), 2)</f>
        <v>0</v>
      </c>
      <c r="V53">
        <f>ROUND((0/100)*ROUND(Source!R33, 2), 2)</f>
        <v>0</v>
      </c>
      <c r="AC53">
        <v>0</v>
      </c>
    </row>
    <row r="54" spans="1:29" ht="14.25" x14ac:dyDescent="0.2">
      <c r="A54" s="41"/>
      <c r="B54" s="41"/>
      <c r="C54" s="41" t="s">
        <v>853</v>
      </c>
      <c r="D54" s="43"/>
      <c r="E54" s="42"/>
      <c r="F54" s="45">
        <f>Source!AO32</f>
        <v>80.33</v>
      </c>
      <c r="G54" s="46" t="s">
        <v>854</v>
      </c>
      <c r="H54" s="42">
        <f>Source!AV33</f>
        <v>1.0469999999999999</v>
      </c>
      <c r="I54" s="45">
        <f>Source!S32</f>
        <v>30.28</v>
      </c>
      <c r="J54" s="42">
        <f>IF(Source!BA33&lt;&gt; 0, Source!BA33, 1)</f>
        <v>56.35</v>
      </c>
      <c r="K54" s="45">
        <f>Source!S33</f>
        <v>1706.28</v>
      </c>
    </row>
    <row r="55" spans="1:29" ht="14.25" x14ac:dyDescent="0.2">
      <c r="A55" s="41"/>
      <c r="B55" s="41"/>
      <c r="C55" s="41" t="s">
        <v>855</v>
      </c>
      <c r="D55" s="43"/>
      <c r="E55" s="42"/>
      <c r="F55" s="45">
        <f>Source!AM32</f>
        <v>0.82</v>
      </c>
      <c r="G55" s="46" t="s">
        <v>854</v>
      </c>
      <c r="H55" s="42">
        <f>Source!AV33</f>
        <v>1.0469999999999999</v>
      </c>
      <c r="I55" s="45">
        <f>Source!Q32</f>
        <v>0.31</v>
      </c>
      <c r="J55" s="42">
        <f>IF(Source!BB33&lt;&gt; 0, Source!BB33, 1)</f>
        <v>9.52</v>
      </c>
      <c r="K55" s="45">
        <f>Source!Q33</f>
        <v>2.95</v>
      </c>
    </row>
    <row r="56" spans="1:29" ht="14.25" x14ac:dyDescent="0.2">
      <c r="A56" s="41"/>
      <c r="B56" s="41"/>
      <c r="C56" s="41" t="s">
        <v>857</v>
      </c>
      <c r="D56" s="43" t="s">
        <v>858</v>
      </c>
      <c r="E56" s="42">
        <f>Source!BZ33</f>
        <v>90</v>
      </c>
      <c r="F56" s="45"/>
      <c r="G56" s="44"/>
      <c r="H56" s="42"/>
      <c r="I56" s="45">
        <f>SUM(Q53:Q55)</f>
        <v>27.25</v>
      </c>
      <c r="J56" s="42">
        <f>Source!AT33</f>
        <v>90</v>
      </c>
      <c r="K56" s="45">
        <f>SUM(R53:R55)</f>
        <v>1535.65</v>
      </c>
    </row>
    <row r="57" spans="1:29" ht="14.25" x14ac:dyDescent="0.2">
      <c r="A57" s="41"/>
      <c r="B57" s="41"/>
      <c r="C57" s="41" t="s">
        <v>859</v>
      </c>
      <c r="D57" s="43" t="s">
        <v>858</v>
      </c>
      <c r="E57" s="42">
        <f>Source!CA33</f>
        <v>46</v>
      </c>
      <c r="F57" s="45"/>
      <c r="G57" s="44"/>
      <c r="H57" s="42"/>
      <c r="I57" s="45">
        <f>SUM(S53:S56)</f>
        <v>13.93</v>
      </c>
      <c r="J57" s="42">
        <f>Source!AU33</f>
        <v>46</v>
      </c>
      <c r="K57" s="45">
        <f>SUM(T53:T56)</f>
        <v>784.89</v>
      </c>
    </row>
    <row r="58" spans="1:29" ht="14.25" x14ac:dyDescent="0.2">
      <c r="A58" s="48"/>
      <c r="B58" s="48"/>
      <c r="C58" s="48" t="s">
        <v>860</v>
      </c>
      <c r="D58" s="49" t="s">
        <v>861</v>
      </c>
      <c r="E58" s="50">
        <f>Source!AQ32</f>
        <v>6.01</v>
      </c>
      <c r="F58" s="51"/>
      <c r="G58" s="52" t="s">
        <v>854</v>
      </c>
      <c r="H58" s="50">
        <f>Source!AV33</f>
        <v>1.0469999999999999</v>
      </c>
      <c r="I58" s="51">
        <f>Source!U32</f>
        <v>2.2652891999999998</v>
      </c>
      <c r="J58" s="50"/>
      <c r="K58" s="51"/>
    </row>
    <row r="59" spans="1:29" ht="15" x14ac:dyDescent="0.2">
      <c r="C59" s="53" t="s">
        <v>862</v>
      </c>
      <c r="H59" s="54">
        <f>I54+I55+I56+I57+0-0-0</f>
        <v>71.77000000000001</v>
      </c>
      <c r="I59" s="54"/>
      <c r="J59" s="54">
        <f>K54+K55+K56+K57+0-0-0</f>
        <v>4029.77</v>
      </c>
      <c r="K59" s="54"/>
    </row>
    <row r="60" spans="1:29" ht="15" hidden="1" x14ac:dyDescent="0.2">
      <c r="C60" s="53" t="s">
        <v>863</v>
      </c>
      <c r="H60" s="56">
        <f>0+0</f>
        <v>0</v>
      </c>
      <c r="I60" s="56"/>
      <c r="J60" s="56">
        <f>0+0</f>
        <v>0</v>
      </c>
      <c r="K60" s="56"/>
    </row>
    <row r="61" spans="1:29" ht="15" x14ac:dyDescent="0.2">
      <c r="C61" s="53" t="s">
        <v>864</v>
      </c>
      <c r="H61" s="56">
        <f>I54+I55+I56+I57+0</f>
        <v>71.77000000000001</v>
      </c>
      <c r="I61" s="56"/>
      <c r="J61" s="56">
        <f>K54+K55+K56+K57+0</f>
        <v>4029.77</v>
      </c>
      <c r="K61" s="56"/>
      <c r="O61" s="57">
        <f>I54+I55+I56+I57+0</f>
        <v>71.77000000000001</v>
      </c>
      <c r="P61" s="57">
        <f>K54+K55+K56+K57+0</f>
        <v>4029.77</v>
      </c>
    </row>
    <row r="63" spans="1:29" ht="42.75" x14ac:dyDescent="0.2">
      <c r="A63" s="41">
        <v>4</v>
      </c>
      <c r="B63" s="41" t="str">
        <f>Source!F34</f>
        <v>4.10-167-1</v>
      </c>
      <c r="C63" s="41" t="s">
        <v>48</v>
      </c>
      <c r="D63" s="43" t="str">
        <f>Source!H34</f>
        <v>1  ШТ.</v>
      </c>
      <c r="E63" s="42">
        <f>Source!I34</f>
        <v>16</v>
      </c>
      <c r="F63" s="45"/>
      <c r="G63" s="44"/>
      <c r="H63" s="42"/>
      <c r="I63" s="45"/>
      <c r="J63" s="42"/>
      <c r="K63" s="45"/>
      <c r="Q63">
        <f>Source!X34</f>
        <v>102.8</v>
      </c>
      <c r="R63">
        <f>Source!X35</f>
        <v>5792.67</v>
      </c>
      <c r="S63">
        <f>Source!Y34</f>
        <v>52.54</v>
      </c>
      <c r="T63">
        <f>Source!Y35</f>
        <v>2960.7</v>
      </c>
      <c r="U63">
        <f>ROUND((175/100)*ROUND(Source!R34, 2), 2)</f>
        <v>0</v>
      </c>
      <c r="V63">
        <f>ROUND((0/100)*ROUND(Source!R35, 2), 2)</f>
        <v>0</v>
      </c>
      <c r="AC63">
        <v>0</v>
      </c>
    </row>
    <row r="64" spans="1:29" x14ac:dyDescent="0.2">
      <c r="C64" s="58" t="str">
        <f>"Объем: "&amp;Source!I34&amp;"=4+"&amp;"1+"&amp;"1+"&amp;"8+"&amp;"2"</f>
        <v>Объем: 16=4+1+1+8+2</v>
      </c>
    </row>
    <row r="65" spans="1:29" ht="14.25" x14ac:dyDescent="0.2">
      <c r="A65" s="41"/>
      <c r="B65" s="41"/>
      <c r="C65" s="41" t="s">
        <v>853</v>
      </c>
      <c r="D65" s="43"/>
      <c r="E65" s="42"/>
      <c r="F65" s="45">
        <f>Source!AO34</f>
        <v>18.940000000000001</v>
      </c>
      <c r="G65" s="46" t="s">
        <v>854</v>
      </c>
      <c r="H65" s="42">
        <f>Source!AV35</f>
        <v>1.0469999999999999</v>
      </c>
      <c r="I65" s="45">
        <f>Source!S34</f>
        <v>114.22</v>
      </c>
      <c r="J65" s="42">
        <f>IF(Source!BA35&lt;&gt; 0, Source!BA35, 1)</f>
        <v>56.35</v>
      </c>
      <c r="K65" s="45">
        <f>Source!S35</f>
        <v>6436.3</v>
      </c>
    </row>
    <row r="66" spans="1:29" ht="14.25" x14ac:dyDescent="0.2">
      <c r="A66" s="41"/>
      <c r="B66" s="41"/>
      <c r="C66" s="41" t="s">
        <v>855</v>
      </c>
      <c r="D66" s="43"/>
      <c r="E66" s="42"/>
      <c r="F66" s="45">
        <f>Source!AM34</f>
        <v>0.02</v>
      </c>
      <c r="G66" s="46" t="s">
        <v>854</v>
      </c>
      <c r="H66" s="42">
        <f>Source!AV35</f>
        <v>1.0469999999999999</v>
      </c>
      <c r="I66" s="45">
        <f>Source!Q34</f>
        <v>0.12</v>
      </c>
      <c r="J66" s="42">
        <f>IF(Source!BB35&lt;&gt; 0, Source!BB35, 1)</f>
        <v>11</v>
      </c>
      <c r="K66" s="45">
        <f>Source!Q35</f>
        <v>1.32</v>
      </c>
    </row>
    <row r="67" spans="1:29" ht="14.25" x14ac:dyDescent="0.2">
      <c r="A67" s="41"/>
      <c r="B67" s="41"/>
      <c r="C67" s="41" t="s">
        <v>857</v>
      </c>
      <c r="D67" s="43" t="s">
        <v>858</v>
      </c>
      <c r="E67" s="42">
        <f>Source!BZ35</f>
        <v>90</v>
      </c>
      <c r="F67" s="45"/>
      <c r="G67" s="44"/>
      <c r="H67" s="42"/>
      <c r="I67" s="45">
        <f>SUM(Q63:Q66)</f>
        <v>102.8</v>
      </c>
      <c r="J67" s="42">
        <f>Source!AT35</f>
        <v>90</v>
      </c>
      <c r="K67" s="45">
        <f>SUM(R63:R66)</f>
        <v>5792.67</v>
      </c>
    </row>
    <row r="68" spans="1:29" ht="14.25" x14ac:dyDescent="0.2">
      <c r="A68" s="41"/>
      <c r="B68" s="41"/>
      <c r="C68" s="41" t="s">
        <v>859</v>
      </c>
      <c r="D68" s="43" t="s">
        <v>858</v>
      </c>
      <c r="E68" s="42">
        <f>Source!CA35</f>
        <v>46</v>
      </c>
      <c r="F68" s="45"/>
      <c r="G68" s="44"/>
      <c r="H68" s="42"/>
      <c r="I68" s="45">
        <f>SUM(S63:S67)</f>
        <v>52.54</v>
      </c>
      <c r="J68" s="42">
        <f>Source!AU35</f>
        <v>46</v>
      </c>
      <c r="K68" s="45">
        <f>SUM(T63:T67)</f>
        <v>2960.7</v>
      </c>
    </row>
    <row r="69" spans="1:29" ht="14.25" x14ac:dyDescent="0.2">
      <c r="A69" s="48"/>
      <c r="B69" s="48"/>
      <c r="C69" s="48" t="s">
        <v>860</v>
      </c>
      <c r="D69" s="49" t="s">
        <v>861</v>
      </c>
      <c r="E69" s="50">
        <f>Source!AQ34</f>
        <v>1.36</v>
      </c>
      <c r="F69" s="51"/>
      <c r="G69" s="52" t="s">
        <v>854</v>
      </c>
      <c r="H69" s="50">
        <f>Source!AV35</f>
        <v>1.0469999999999999</v>
      </c>
      <c r="I69" s="51">
        <f>Source!U34</f>
        <v>8.2017792000000007</v>
      </c>
      <c r="J69" s="50"/>
      <c r="K69" s="51"/>
    </row>
    <row r="70" spans="1:29" ht="15" x14ac:dyDescent="0.2">
      <c r="C70" s="53" t="s">
        <v>862</v>
      </c>
      <c r="H70" s="54">
        <f>I65+I66+I67+I68+0-0-0</f>
        <v>269.68</v>
      </c>
      <c r="I70" s="54"/>
      <c r="J70" s="54">
        <f>K65+K66+K67+K68+0-0-0</f>
        <v>15190.990000000002</v>
      </c>
      <c r="K70" s="54"/>
    </row>
    <row r="71" spans="1:29" ht="15" hidden="1" x14ac:dyDescent="0.2">
      <c r="C71" s="53" t="s">
        <v>863</v>
      </c>
      <c r="H71" s="56">
        <f>0+0</f>
        <v>0</v>
      </c>
      <c r="I71" s="56"/>
      <c r="J71" s="56">
        <f>0+0</f>
        <v>0</v>
      </c>
      <c r="K71" s="56"/>
    </row>
    <row r="72" spans="1:29" ht="15" x14ac:dyDescent="0.2">
      <c r="C72" s="53" t="s">
        <v>864</v>
      </c>
      <c r="H72" s="56">
        <f>I65+I66+I67+I68+0</f>
        <v>269.68</v>
      </c>
      <c r="I72" s="56"/>
      <c r="J72" s="56">
        <f>K65+K66+K67+K68+0</f>
        <v>15190.990000000002</v>
      </c>
      <c r="K72" s="56"/>
      <c r="O72" s="57">
        <f>I65+I66+I67+I68+0</f>
        <v>269.68</v>
      </c>
      <c r="P72" s="57">
        <f>K65+K66+K67+K68+0</f>
        <v>15190.990000000002</v>
      </c>
    </row>
    <row r="74" spans="1:29" ht="71.25" x14ac:dyDescent="0.2">
      <c r="A74" s="41">
        <v>5</v>
      </c>
      <c r="B74" s="41" t="str">
        <f>Source!F36</f>
        <v>4.10-81-2</v>
      </c>
      <c r="C74" s="41" t="s">
        <v>52</v>
      </c>
      <c r="D74" s="43" t="str">
        <f>Source!H36</f>
        <v>1  ШТ.</v>
      </c>
      <c r="E74" s="42">
        <f>Source!I36</f>
        <v>8</v>
      </c>
      <c r="F74" s="45"/>
      <c r="G74" s="44"/>
      <c r="H74" s="42"/>
      <c r="I74" s="45"/>
      <c r="J74" s="42"/>
      <c r="K74" s="45"/>
      <c r="Q74">
        <f>Source!X36</f>
        <v>57.56</v>
      </c>
      <c r="R74">
        <f>Source!X37</f>
        <v>3243.74</v>
      </c>
      <c r="S74">
        <f>Source!Y36</f>
        <v>29.42</v>
      </c>
      <c r="T74">
        <f>Source!Y37</f>
        <v>1657.91</v>
      </c>
      <c r="U74">
        <f>ROUND((175/100)*ROUND(Source!R36, 2), 2)</f>
        <v>0.05</v>
      </c>
      <c r="V74">
        <f>ROUND((0/100)*ROUND(Source!R37, 2), 2)</f>
        <v>0</v>
      </c>
      <c r="AC74">
        <v>0</v>
      </c>
    </row>
    <row r="75" spans="1:29" ht="14.25" x14ac:dyDescent="0.2">
      <c r="A75" s="41"/>
      <c r="B75" s="41"/>
      <c r="C75" s="41" t="s">
        <v>853</v>
      </c>
      <c r="D75" s="43"/>
      <c r="E75" s="42"/>
      <c r="F75" s="45">
        <f>Source!AO36</f>
        <v>21.2</v>
      </c>
      <c r="G75" s="46" t="s">
        <v>854</v>
      </c>
      <c r="H75" s="42">
        <f>Source!AV37</f>
        <v>1.0469999999999999</v>
      </c>
      <c r="I75" s="45">
        <f>Source!S36</f>
        <v>63.93</v>
      </c>
      <c r="J75" s="42">
        <f>IF(Source!BA37&lt;&gt; 0, Source!BA37, 1)</f>
        <v>56.35</v>
      </c>
      <c r="K75" s="45">
        <f>Source!S37</f>
        <v>3602.46</v>
      </c>
    </row>
    <row r="76" spans="1:29" ht="14.25" x14ac:dyDescent="0.2">
      <c r="A76" s="41"/>
      <c r="B76" s="41"/>
      <c r="C76" s="41" t="s">
        <v>855</v>
      </c>
      <c r="D76" s="43"/>
      <c r="E76" s="42"/>
      <c r="F76" s="45">
        <f>Source!AM36</f>
        <v>0.06</v>
      </c>
      <c r="G76" s="46" t="s">
        <v>854</v>
      </c>
      <c r="H76" s="42">
        <f>Source!AV37</f>
        <v>1.0469999999999999</v>
      </c>
      <c r="I76" s="45">
        <f>Source!Q36</f>
        <v>0.18</v>
      </c>
      <c r="J76" s="42">
        <f>IF(Source!BB37&lt;&gt; 0, Source!BB37, 1)</f>
        <v>18.5</v>
      </c>
      <c r="K76" s="45">
        <f>Source!Q37</f>
        <v>3.33</v>
      </c>
    </row>
    <row r="77" spans="1:29" ht="14.25" x14ac:dyDescent="0.2">
      <c r="A77" s="41"/>
      <c r="B77" s="41"/>
      <c r="C77" s="41" t="s">
        <v>856</v>
      </c>
      <c r="D77" s="43"/>
      <c r="E77" s="42"/>
      <c r="F77" s="45">
        <f>Source!AN36</f>
        <v>0.01</v>
      </c>
      <c r="G77" s="46" t="s">
        <v>854</v>
      </c>
      <c r="H77" s="42">
        <f>Source!AV37</f>
        <v>1.0469999999999999</v>
      </c>
      <c r="I77" s="47">
        <f>Source!R36</f>
        <v>0.03</v>
      </c>
      <c r="J77" s="42">
        <f>IF(Source!BS37&lt;&gt; 0, Source!BS37, 1)</f>
        <v>56.35</v>
      </c>
      <c r="K77" s="47">
        <f>Source!R37</f>
        <v>1.69</v>
      </c>
    </row>
    <row r="78" spans="1:29" ht="14.25" x14ac:dyDescent="0.2">
      <c r="A78" s="41"/>
      <c r="B78" s="41"/>
      <c r="C78" s="41" t="s">
        <v>857</v>
      </c>
      <c r="D78" s="43" t="s">
        <v>858</v>
      </c>
      <c r="E78" s="42">
        <f>Source!BZ37</f>
        <v>90</v>
      </c>
      <c r="F78" s="45"/>
      <c r="G78" s="44"/>
      <c r="H78" s="42"/>
      <c r="I78" s="45">
        <f>SUM(Q74:Q77)</f>
        <v>57.56</v>
      </c>
      <c r="J78" s="42">
        <f>Source!AT37</f>
        <v>90</v>
      </c>
      <c r="K78" s="45">
        <f>SUM(R74:R77)</f>
        <v>3243.74</v>
      </c>
    </row>
    <row r="79" spans="1:29" ht="14.25" x14ac:dyDescent="0.2">
      <c r="A79" s="41"/>
      <c r="B79" s="41"/>
      <c r="C79" s="41" t="s">
        <v>859</v>
      </c>
      <c r="D79" s="43" t="s">
        <v>858</v>
      </c>
      <c r="E79" s="42">
        <f>Source!CA37</f>
        <v>46</v>
      </c>
      <c r="F79" s="45"/>
      <c r="G79" s="44"/>
      <c r="H79" s="42"/>
      <c r="I79" s="45">
        <f>SUM(S74:S78)</f>
        <v>29.42</v>
      </c>
      <c r="J79" s="42">
        <f>Source!AU37</f>
        <v>46</v>
      </c>
      <c r="K79" s="45">
        <f>SUM(T74:T78)</f>
        <v>1657.91</v>
      </c>
    </row>
    <row r="80" spans="1:29" ht="14.25" x14ac:dyDescent="0.2">
      <c r="A80" s="48"/>
      <c r="B80" s="48"/>
      <c r="C80" s="48" t="s">
        <v>860</v>
      </c>
      <c r="D80" s="49" t="s">
        <v>861</v>
      </c>
      <c r="E80" s="50">
        <f>Source!AQ36</f>
        <v>1.68</v>
      </c>
      <c r="F80" s="51"/>
      <c r="G80" s="52" t="s">
        <v>854</v>
      </c>
      <c r="H80" s="50">
        <f>Source!AV37</f>
        <v>1.0469999999999999</v>
      </c>
      <c r="I80" s="51">
        <f>Source!U36</f>
        <v>5.0658047999999996</v>
      </c>
      <c r="J80" s="50"/>
      <c r="K80" s="51"/>
    </row>
    <row r="81" spans="1:29" ht="15" x14ac:dyDescent="0.2">
      <c r="C81" s="53" t="s">
        <v>862</v>
      </c>
      <c r="H81" s="54">
        <f>I75+I76+I78+I79+0-0-0</f>
        <v>151.09</v>
      </c>
      <c r="I81" s="54"/>
      <c r="J81" s="54">
        <f>K75+K76+K78+K79+0-0-0</f>
        <v>8507.44</v>
      </c>
      <c r="K81" s="54"/>
    </row>
    <row r="82" spans="1:29" ht="15" hidden="1" x14ac:dyDescent="0.2">
      <c r="C82" s="53" t="s">
        <v>863</v>
      </c>
      <c r="H82" s="56">
        <f>0+0</f>
        <v>0</v>
      </c>
      <c r="I82" s="56"/>
      <c r="J82" s="56">
        <f>0+0</f>
        <v>0</v>
      </c>
      <c r="K82" s="56"/>
    </row>
    <row r="83" spans="1:29" ht="15" x14ac:dyDescent="0.2">
      <c r="C83" s="53" t="s">
        <v>864</v>
      </c>
      <c r="H83" s="56">
        <f>I75+I76+I78+I79+0</f>
        <v>151.09</v>
      </c>
      <c r="I83" s="56"/>
      <c r="J83" s="56">
        <f>K75+K76+K78+K79+0</f>
        <v>8507.44</v>
      </c>
      <c r="K83" s="56"/>
      <c r="O83" s="57">
        <f>I75+I76+I78+I79+0</f>
        <v>151.09</v>
      </c>
      <c r="P83" s="57">
        <f>K75+K76+K78+K79+0</f>
        <v>8507.44</v>
      </c>
    </row>
    <row r="85" spans="1:29" ht="14.25" x14ac:dyDescent="0.2">
      <c r="A85" s="41">
        <v>6</v>
      </c>
      <c r="B85" s="41" t="str">
        <f>Source!F38</f>
        <v>4.10-76-10</v>
      </c>
      <c r="C85" s="41" t="s">
        <v>56</v>
      </c>
      <c r="D85" s="43" t="str">
        <f>Source!H38</f>
        <v>1  ШТ.</v>
      </c>
      <c r="E85" s="42">
        <f>Source!I38</f>
        <v>4</v>
      </c>
      <c r="F85" s="45"/>
      <c r="G85" s="44"/>
      <c r="H85" s="42"/>
      <c r="I85" s="45"/>
      <c r="J85" s="42"/>
      <c r="K85" s="45"/>
      <c r="Q85">
        <f>Source!X38</f>
        <v>17.03</v>
      </c>
      <c r="R85">
        <f>Source!X39</f>
        <v>959.84</v>
      </c>
      <c r="S85">
        <f>Source!Y38</f>
        <v>9.5</v>
      </c>
      <c r="T85">
        <f>Source!Y39</f>
        <v>535.49</v>
      </c>
      <c r="U85">
        <f>ROUND((175/100)*ROUND(Source!R38, 2), 2)</f>
        <v>0</v>
      </c>
      <c r="V85">
        <f>ROUND((0/100)*ROUND(Source!R39, 2), 2)</f>
        <v>0</v>
      </c>
      <c r="AC85">
        <v>0</v>
      </c>
    </row>
    <row r="86" spans="1:29" ht="14.25" x14ac:dyDescent="0.2">
      <c r="A86" s="41"/>
      <c r="B86" s="41"/>
      <c r="C86" s="41" t="s">
        <v>853</v>
      </c>
      <c r="D86" s="43"/>
      <c r="E86" s="42"/>
      <c r="F86" s="45">
        <f>Source!AO38</f>
        <v>11.89</v>
      </c>
      <c r="G86" s="46" t="s">
        <v>854</v>
      </c>
      <c r="H86" s="42">
        <f>Source!AV39</f>
        <v>1.0469999999999999</v>
      </c>
      <c r="I86" s="45">
        <f>Source!S38</f>
        <v>17.93</v>
      </c>
      <c r="J86" s="42">
        <f>IF(Source!BA39&lt;&gt; 0, Source!BA39, 1)</f>
        <v>56.35</v>
      </c>
      <c r="K86" s="45">
        <f>Source!S39</f>
        <v>1010.36</v>
      </c>
    </row>
    <row r="87" spans="1:29" ht="14.25" x14ac:dyDescent="0.2">
      <c r="A87" s="41"/>
      <c r="B87" s="41"/>
      <c r="C87" s="41" t="s">
        <v>857</v>
      </c>
      <c r="D87" s="43" t="s">
        <v>858</v>
      </c>
      <c r="E87" s="42">
        <f>Source!BZ39</f>
        <v>95</v>
      </c>
      <c r="F87" s="45"/>
      <c r="G87" s="44"/>
      <c r="H87" s="42"/>
      <c r="I87" s="45">
        <f>SUM(Q85:Q86)</f>
        <v>17.03</v>
      </c>
      <c r="J87" s="42">
        <f>Source!AT39</f>
        <v>95</v>
      </c>
      <c r="K87" s="45">
        <f>SUM(R85:R86)</f>
        <v>959.84</v>
      </c>
    </row>
    <row r="88" spans="1:29" ht="14.25" x14ac:dyDescent="0.2">
      <c r="A88" s="41"/>
      <c r="B88" s="41"/>
      <c r="C88" s="41" t="s">
        <v>859</v>
      </c>
      <c r="D88" s="43" t="s">
        <v>858</v>
      </c>
      <c r="E88" s="42">
        <f>Source!CA39</f>
        <v>53</v>
      </c>
      <c r="F88" s="45"/>
      <c r="G88" s="44"/>
      <c r="H88" s="42"/>
      <c r="I88" s="45">
        <f>SUM(S85:S87)</f>
        <v>9.5</v>
      </c>
      <c r="J88" s="42">
        <f>Source!AU39</f>
        <v>53</v>
      </c>
      <c r="K88" s="45">
        <f>SUM(T85:T87)</f>
        <v>535.49</v>
      </c>
    </row>
    <row r="89" spans="1:29" ht="14.25" x14ac:dyDescent="0.2">
      <c r="A89" s="48"/>
      <c r="B89" s="48"/>
      <c r="C89" s="48" t="s">
        <v>860</v>
      </c>
      <c r="D89" s="49" t="s">
        <v>861</v>
      </c>
      <c r="E89" s="50">
        <f>Source!AQ38</f>
        <v>1</v>
      </c>
      <c r="F89" s="51"/>
      <c r="G89" s="52" t="s">
        <v>854</v>
      </c>
      <c r="H89" s="50">
        <f>Source!AV39</f>
        <v>1.0469999999999999</v>
      </c>
      <c r="I89" s="51">
        <f>Source!U38</f>
        <v>1.5076799999999999</v>
      </c>
      <c r="J89" s="50"/>
      <c r="K89" s="51"/>
    </row>
    <row r="90" spans="1:29" ht="15" x14ac:dyDescent="0.2">
      <c r="C90" s="53" t="s">
        <v>862</v>
      </c>
      <c r="H90" s="54">
        <f>I86+I87+I88+0-0-0</f>
        <v>44.46</v>
      </c>
      <c r="I90" s="54"/>
      <c r="J90" s="54">
        <f>K86+K87+K88+0-0-0</f>
        <v>2505.69</v>
      </c>
      <c r="K90" s="54"/>
    </row>
    <row r="91" spans="1:29" ht="15" hidden="1" x14ac:dyDescent="0.2">
      <c r="C91" s="53" t="s">
        <v>863</v>
      </c>
      <c r="H91" s="56">
        <f>0+0</f>
        <v>0</v>
      </c>
      <c r="I91" s="56"/>
      <c r="J91" s="56">
        <f>0+0</f>
        <v>0</v>
      </c>
      <c r="K91" s="56"/>
    </row>
    <row r="92" spans="1:29" ht="15" x14ac:dyDescent="0.2">
      <c r="C92" s="53" t="s">
        <v>864</v>
      </c>
      <c r="H92" s="56">
        <f>I86+I87+I88+0</f>
        <v>44.46</v>
      </c>
      <c r="I92" s="56"/>
      <c r="J92" s="56">
        <f>K86+K87+K88+0</f>
        <v>2505.69</v>
      </c>
      <c r="K92" s="56"/>
      <c r="O92" s="57">
        <f>I86+I87+I88+0</f>
        <v>44.46</v>
      </c>
      <c r="P92" s="57">
        <f>K86+K87+K88+0</f>
        <v>2505.69</v>
      </c>
    </row>
    <row r="94" spans="1:29" ht="57" x14ac:dyDescent="0.2">
      <c r="A94" s="41">
        <v>7</v>
      </c>
      <c r="B94" s="41" t="str">
        <f>Source!F40</f>
        <v>4.10-81-4</v>
      </c>
      <c r="C94" s="41" t="s">
        <v>62</v>
      </c>
      <c r="D94" s="43" t="str">
        <f>Source!H40</f>
        <v>1  ШТ.</v>
      </c>
      <c r="E94" s="42">
        <f>Source!I40</f>
        <v>4</v>
      </c>
      <c r="F94" s="45"/>
      <c r="G94" s="44"/>
      <c r="H94" s="42"/>
      <c r="I94" s="45"/>
      <c r="J94" s="42"/>
      <c r="K94" s="45"/>
      <c r="Q94">
        <f>Source!X40</f>
        <v>14.38</v>
      </c>
      <c r="R94">
        <f>Source!X41</f>
        <v>810.42</v>
      </c>
      <c r="S94">
        <f>Source!Y40</f>
        <v>7.35</v>
      </c>
      <c r="T94">
        <f>Source!Y41</f>
        <v>414.22</v>
      </c>
      <c r="U94">
        <f>ROUND((175/100)*ROUND(Source!R40, 2), 2)</f>
        <v>0</v>
      </c>
      <c r="V94">
        <f>ROUND((0/100)*ROUND(Source!R41, 2), 2)</f>
        <v>0</v>
      </c>
      <c r="AC94">
        <v>0</v>
      </c>
    </row>
    <row r="95" spans="1:29" ht="14.25" x14ac:dyDescent="0.2">
      <c r="A95" s="41"/>
      <c r="B95" s="41"/>
      <c r="C95" s="41" t="s">
        <v>853</v>
      </c>
      <c r="D95" s="43"/>
      <c r="E95" s="42"/>
      <c r="F95" s="45">
        <f>Source!AO40</f>
        <v>10.6</v>
      </c>
      <c r="G95" s="46" t="s">
        <v>854</v>
      </c>
      <c r="H95" s="42">
        <f>Source!AV41</f>
        <v>1.0469999999999999</v>
      </c>
      <c r="I95" s="45">
        <f>Source!S40</f>
        <v>15.98</v>
      </c>
      <c r="J95" s="42">
        <f>IF(Source!BA41&lt;&gt; 0, Source!BA41, 1)</f>
        <v>56.35</v>
      </c>
      <c r="K95" s="45">
        <f>Source!S41</f>
        <v>900.47</v>
      </c>
    </row>
    <row r="96" spans="1:29" ht="14.25" x14ac:dyDescent="0.2">
      <c r="A96" s="41"/>
      <c r="B96" s="41"/>
      <c r="C96" s="41" t="s">
        <v>857</v>
      </c>
      <c r="D96" s="43" t="s">
        <v>858</v>
      </c>
      <c r="E96" s="42">
        <f>Source!BZ41</f>
        <v>90</v>
      </c>
      <c r="F96" s="45"/>
      <c r="G96" s="44"/>
      <c r="H96" s="42"/>
      <c r="I96" s="45">
        <f>SUM(Q94:Q95)</f>
        <v>14.38</v>
      </c>
      <c r="J96" s="42">
        <f>Source!AT41</f>
        <v>90</v>
      </c>
      <c r="K96" s="45">
        <f>SUM(R94:R95)</f>
        <v>810.42</v>
      </c>
    </row>
    <row r="97" spans="1:29" ht="14.25" x14ac:dyDescent="0.2">
      <c r="A97" s="41"/>
      <c r="B97" s="41"/>
      <c r="C97" s="41" t="s">
        <v>859</v>
      </c>
      <c r="D97" s="43" t="s">
        <v>858</v>
      </c>
      <c r="E97" s="42">
        <f>Source!CA41</f>
        <v>46</v>
      </c>
      <c r="F97" s="45"/>
      <c r="G97" s="44"/>
      <c r="H97" s="42"/>
      <c r="I97" s="45">
        <f>SUM(S94:S96)</f>
        <v>7.35</v>
      </c>
      <c r="J97" s="42">
        <f>Source!AU41</f>
        <v>46</v>
      </c>
      <c r="K97" s="45">
        <f>SUM(T94:T96)</f>
        <v>414.22</v>
      </c>
    </row>
    <row r="98" spans="1:29" ht="14.25" x14ac:dyDescent="0.2">
      <c r="A98" s="48"/>
      <c r="B98" s="48"/>
      <c r="C98" s="48" t="s">
        <v>860</v>
      </c>
      <c r="D98" s="49" t="s">
        <v>861</v>
      </c>
      <c r="E98" s="50">
        <f>Source!AQ40</f>
        <v>0.84</v>
      </c>
      <c r="F98" s="51"/>
      <c r="G98" s="52" t="s">
        <v>854</v>
      </c>
      <c r="H98" s="50">
        <f>Source!AV41</f>
        <v>1.0469999999999999</v>
      </c>
      <c r="I98" s="51">
        <f>Source!U40</f>
        <v>1.2664511999999999</v>
      </c>
      <c r="J98" s="50"/>
      <c r="K98" s="51"/>
    </row>
    <row r="99" spans="1:29" ht="15" x14ac:dyDescent="0.2">
      <c r="C99" s="53" t="s">
        <v>862</v>
      </c>
      <c r="H99" s="54">
        <f>I95+I96+I97+0-0-0</f>
        <v>37.71</v>
      </c>
      <c r="I99" s="54"/>
      <c r="J99" s="54">
        <f>K95+K96+K97+0-0-0</f>
        <v>2125.1099999999997</v>
      </c>
      <c r="K99" s="54"/>
    </row>
    <row r="100" spans="1:29" ht="15" hidden="1" x14ac:dyDescent="0.2">
      <c r="C100" s="53" t="s">
        <v>863</v>
      </c>
      <c r="H100" s="56">
        <f>0+0</f>
        <v>0</v>
      </c>
      <c r="I100" s="56"/>
      <c r="J100" s="56">
        <f>0+0</f>
        <v>0</v>
      </c>
      <c r="K100" s="56"/>
    </row>
    <row r="101" spans="1:29" ht="15" x14ac:dyDescent="0.2">
      <c r="C101" s="53" t="s">
        <v>864</v>
      </c>
      <c r="H101" s="56">
        <f>I95+I96+I97+0</f>
        <v>37.71</v>
      </c>
      <c r="I101" s="56"/>
      <c r="J101" s="56">
        <f>K95+K96+K97+0</f>
        <v>2125.1099999999997</v>
      </c>
      <c r="K101" s="56"/>
      <c r="O101" s="57">
        <f>I95+I96+I97+0</f>
        <v>37.71</v>
      </c>
      <c r="P101" s="57">
        <f>K95+K96+K97+0</f>
        <v>2125.1099999999997</v>
      </c>
    </row>
    <row r="103" spans="1:29" ht="57" x14ac:dyDescent="0.2">
      <c r="A103" s="41">
        <v>8</v>
      </c>
      <c r="B103" s="41" t="str">
        <f>Source!F42</f>
        <v>4.8-245-10</v>
      </c>
      <c r="C103" s="41" t="s">
        <v>66</v>
      </c>
      <c r="D103" s="43" t="str">
        <f>Source!H42</f>
        <v>100 шт.</v>
      </c>
      <c r="E103" s="42">
        <f>Source!I42</f>
        <v>0.12</v>
      </c>
      <c r="F103" s="45"/>
      <c r="G103" s="44"/>
      <c r="H103" s="42"/>
      <c r="I103" s="45"/>
      <c r="J103" s="42"/>
      <c r="K103" s="45"/>
      <c r="Q103">
        <f>Source!X42</f>
        <v>48.83</v>
      </c>
      <c r="R103">
        <f>Source!X43</f>
        <v>2751.56</v>
      </c>
      <c r="S103">
        <f>Source!Y42</f>
        <v>25.67</v>
      </c>
      <c r="T103">
        <f>Source!Y43</f>
        <v>1446.7</v>
      </c>
      <c r="U103">
        <f>ROUND((175/100)*ROUND(Source!R42, 2), 2)</f>
        <v>1.03</v>
      </c>
      <c r="V103">
        <f>ROUND((0/100)*ROUND(Source!R43, 2), 2)</f>
        <v>0</v>
      </c>
      <c r="AC103">
        <v>0</v>
      </c>
    </row>
    <row r="104" spans="1:29" x14ac:dyDescent="0.2">
      <c r="C104" s="58" t="str">
        <f>"Объем: "&amp;Source!I42&amp;"=(4+"&amp;"4+"&amp;"4)/"&amp;"100"</f>
        <v>Объем: 0,12=(4+4+4)/100</v>
      </c>
    </row>
    <row r="105" spans="1:29" ht="14.25" x14ac:dyDescent="0.2">
      <c r="A105" s="41"/>
      <c r="B105" s="41"/>
      <c r="C105" s="41" t="s">
        <v>853</v>
      </c>
      <c r="D105" s="43"/>
      <c r="E105" s="42"/>
      <c r="F105" s="45">
        <f>Source!AO42</f>
        <v>1099.8599999999999</v>
      </c>
      <c r="G105" s="46" t="s">
        <v>854</v>
      </c>
      <c r="H105" s="42">
        <f>Source!AV43</f>
        <v>1.0469999999999999</v>
      </c>
      <c r="I105" s="45">
        <f>Source!S42</f>
        <v>49.75</v>
      </c>
      <c r="J105" s="42">
        <f>IF(Source!BA43&lt;&gt; 0, Source!BA43, 1)</f>
        <v>56.35</v>
      </c>
      <c r="K105" s="45">
        <f>Source!S43</f>
        <v>2803.41</v>
      </c>
    </row>
    <row r="106" spans="1:29" ht="14.25" x14ac:dyDescent="0.2">
      <c r="A106" s="41"/>
      <c r="B106" s="41"/>
      <c r="C106" s="41" t="s">
        <v>855</v>
      </c>
      <c r="D106" s="43"/>
      <c r="E106" s="42"/>
      <c r="F106" s="45">
        <f>Source!AM42</f>
        <v>93.32</v>
      </c>
      <c r="G106" s="46" t="s">
        <v>854</v>
      </c>
      <c r="H106" s="42">
        <f>Source!AV43</f>
        <v>1.0469999999999999</v>
      </c>
      <c r="I106" s="45">
        <f>Source!Q42</f>
        <v>4.22</v>
      </c>
      <c r="J106" s="42">
        <f>IF(Source!BB43&lt;&gt; 0, Source!BB43, 1)</f>
        <v>16.420000000000002</v>
      </c>
      <c r="K106" s="45">
        <f>Source!Q43</f>
        <v>69.290000000000006</v>
      </c>
    </row>
    <row r="107" spans="1:29" ht="14.25" x14ac:dyDescent="0.2">
      <c r="A107" s="41"/>
      <c r="B107" s="41"/>
      <c r="C107" s="41" t="s">
        <v>856</v>
      </c>
      <c r="D107" s="43"/>
      <c r="E107" s="42"/>
      <c r="F107" s="45">
        <f>Source!AN42</f>
        <v>13</v>
      </c>
      <c r="G107" s="46" t="s">
        <v>854</v>
      </c>
      <c r="H107" s="42">
        <f>Source!AV43</f>
        <v>1.0469999999999999</v>
      </c>
      <c r="I107" s="47">
        <f>Source!R42</f>
        <v>0.59</v>
      </c>
      <c r="J107" s="42">
        <f>IF(Source!BS43&lt;&gt; 0, Source!BS43, 1)</f>
        <v>56.35</v>
      </c>
      <c r="K107" s="47">
        <f>Source!R43</f>
        <v>33.25</v>
      </c>
    </row>
    <row r="108" spans="1:29" ht="14.25" x14ac:dyDescent="0.2">
      <c r="A108" s="41"/>
      <c r="B108" s="41"/>
      <c r="C108" s="41" t="s">
        <v>857</v>
      </c>
      <c r="D108" s="43" t="s">
        <v>858</v>
      </c>
      <c r="E108" s="42">
        <f>Source!BZ43</f>
        <v>97</v>
      </c>
      <c r="F108" s="45"/>
      <c r="G108" s="44"/>
      <c r="H108" s="42"/>
      <c r="I108" s="45">
        <f>SUM(Q103:Q107)</f>
        <v>48.83</v>
      </c>
      <c r="J108" s="42">
        <f>Source!AT43</f>
        <v>97</v>
      </c>
      <c r="K108" s="45">
        <f>SUM(R103:R107)</f>
        <v>2751.56</v>
      </c>
    </row>
    <row r="109" spans="1:29" ht="14.25" x14ac:dyDescent="0.2">
      <c r="A109" s="41"/>
      <c r="B109" s="41"/>
      <c r="C109" s="41" t="s">
        <v>859</v>
      </c>
      <c r="D109" s="43" t="s">
        <v>858</v>
      </c>
      <c r="E109" s="42">
        <f>Source!CA43</f>
        <v>51</v>
      </c>
      <c r="F109" s="45"/>
      <c r="G109" s="44"/>
      <c r="H109" s="42"/>
      <c r="I109" s="45">
        <f>SUM(S103:S108)</f>
        <v>25.67</v>
      </c>
      <c r="J109" s="42">
        <f>Source!AU43</f>
        <v>51</v>
      </c>
      <c r="K109" s="45">
        <f>SUM(T103:T108)</f>
        <v>1446.7</v>
      </c>
    </row>
    <row r="110" spans="1:29" ht="14.25" x14ac:dyDescent="0.2">
      <c r="A110" s="48"/>
      <c r="B110" s="48"/>
      <c r="C110" s="48" t="s">
        <v>860</v>
      </c>
      <c r="D110" s="49" t="s">
        <v>861</v>
      </c>
      <c r="E110" s="50">
        <f>Source!AQ42</f>
        <v>84.67</v>
      </c>
      <c r="F110" s="51"/>
      <c r="G110" s="52" t="s">
        <v>854</v>
      </c>
      <c r="H110" s="50">
        <f>Source!AV43</f>
        <v>1.0469999999999999</v>
      </c>
      <c r="I110" s="51">
        <f>Source!U42</f>
        <v>3.8296579679999994</v>
      </c>
      <c r="J110" s="50"/>
      <c r="K110" s="51"/>
    </row>
    <row r="111" spans="1:29" ht="15" x14ac:dyDescent="0.2">
      <c r="C111" s="53" t="s">
        <v>862</v>
      </c>
      <c r="H111" s="54">
        <f>I105+I106+I108+I109+0-0-0</f>
        <v>128.47</v>
      </c>
      <c r="I111" s="54"/>
      <c r="J111" s="54">
        <f>K105+K106+K108+K109+0-0-0</f>
        <v>7070.96</v>
      </c>
      <c r="K111" s="54"/>
    </row>
    <row r="112" spans="1:29" ht="15" hidden="1" x14ac:dyDescent="0.2">
      <c r="C112" s="53" t="s">
        <v>863</v>
      </c>
      <c r="H112" s="56">
        <f>0+0</f>
        <v>0</v>
      </c>
      <c r="I112" s="56"/>
      <c r="J112" s="56">
        <f>0+0</f>
        <v>0</v>
      </c>
      <c r="K112" s="56"/>
    </row>
    <row r="113" spans="1:29" ht="15" x14ac:dyDescent="0.2">
      <c r="C113" s="53" t="s">
        <v>864</v>
      </c>
      <c r="H113" s="56">
        <f>I105+I106+I108+I109+0</f>
        <v>128.47</v>
      </c>
      <c r="I113" s="56"/>
      <c r="J113" s="56">
        <f>K105+K106+K108+K109+0</f>
        <v>7070.96</v>
      </c>
      <c r="K113" s="56"/>
      <c r="O113" s="57">
        <f>I105+I106+I108+I109+0</f>
        <v>128.47</v>
      </c>
      <c r="P113" s="57">
        <f>K105+K106+K108+K109+0</f>
        <v>7070.96</v>
      </c>
    </row>
    <row r="115" spans="1:29" ht="71.25" x14ac:dyDescent="0.2">
      <c r="A115" s="41">
        <v>9</v>
      </c>
      <c r="B115" s="41" t="str">
        <f>Source!F44</f>
        <v>4.10-81-2</v>
      </c>
      <c r="C115" s="41" t="s">
        <v>72</v>
      </c>
      <c r="D115" s="43" t="str">
        <f>Source!H44</f>
        <v>1  ШТ.</v>
      </c>
      <c r="E115" s="42">
        <f>Source!I44</f>
        <v>4</v>
      </c>
      <c r="F115" s="45"/>
      <c r="G115" s="44"/>
      <c r="H115" s="42"/>
      <c r="I115" s="45"/>
      <c r="J115" s="42"/>
      <c r="K115" s="45"/>
      <c r="Q115">
        <f>Source!X44</f>
        <v>28.78</v>
      </c>
      <c r="R115">
        <f>Source!X45</f>
        <v>1621.87</v>
      </c>
      <c r="S115">
        <f>Source!Y44</f>
        <v>14.71</v>
      </c>
      <c r="T115">
        <f>Source!Y45</f>
        <v>828.96</v>
      </c>
      <c r="U115">
        <f>ROUND((175/100)*ROUND(Source!R44, 2), 2)</f>
        <v>0.04</v>
      </c>
      <c r="V115">
        <f>ROUND((0/100)*ROUND(Source!R45, 2), 2)</f>
        <v>0</v>
      </c>
      <c r="AC115">
        <v>0</v>
      </c>
    </row>
    <row r="116" spans="1:29" ht="14.25" x14ac:dyDescent="0.2">
      <c r="A116" s="41"/>
      <c r="B116" s="41"/>
      <c r="C116" s="41" t="s">
        <v>853</v>
      </c>
      <c r="D116" s="43"/>
      <c r="E116" s="42"/>
      <c r="F116" s="45">
        <f>Source!AO44</f>
        <v>21.2</v>
      </c>
      <c r="G116" s="46" t="s">
        <v>854</v>
      </c>
      <c r="H116" s="42">
        <f>Source!AV45</f>
        <v>1.0469999999999999</v>
      </c>
      <c r="I116" s="45">
        <f>Source!S44</f>
        <v>31.96</v>
      </c>
      <c r="J116" s="42">
        <f>IF(Source!BA45&lt;&gt; 0, Source!BA45, 1)</f>
        <v>56.35</v>
      </c>
      <c r="K116" s="45">
        <f>Source!S45</f>
        <v>1800.95</v>
      </c>
    </row>
    <row r="117" spans="1:29" ht="14.25" x14ac:dyDescent="0.2">
      <c r="A117" s="41"/>
      <c r="B117" s="41"/>
      <c r="C117" s="41" t="s">
        <v>855</v>
      </c>
      <c r="D117" s="43"/>
      <c r="E117" s="42"/>
      <c r="F117" s="45">
        <f>Source!AM44</f>
        <v>0.06</v>
      </c>
      <c r="G117" s="46" t="s">
        <v>854</v>
      </c>
      <c r="H117" s="42">
        <f>Source!AV45</f>
        <v>1.0469999999999999</v>
      </c>
      <c r="I117" s="45">
        <f>Source!Q44</f>
        <v>0.09</v>
      </c>
      <c r="J117" s="42">
        <f>IF(Source!BB45&lt;&gt; 0, Source!BB45, 1)</f>
        <v>18.5</v>
      </c>
      <c r="K117" s="45">
        <f>Source!Q45</f>
        <v>1.67</v>
      </c>
    </row>
    <row r="118" spans="1:29" ht="14.25" x14ac:dyDescent="0.2">
      <c r="A118" s="41"/>
      <c r="B118" s="41"/>
      <c r="C118" s="41" t="s">
        <v>856</v>
      </c>
      <c r="D118" s="43"/>
      <c r="E118" s="42"/>
      <c r="F118" s="45">
        <f>Source!AN44</f>
        <v>0.01</v>
      </c>
      <c r="G118" s="46" t="s">
        <v>854</v>
      </c>
      <c r="H118" s="42">
        <f>Source!AV45</f>
        <v>1.0469999999999999</v>
      </c>
      <c r="I118" s="47">
        <f>Source!R44</f>
        <v>0.02</v>
      </c>
      <c r="J118" s="42">
        <f>IF(Source!BS45&lt;&gt; 0, Source!BS45, 1)</f>
        <v>56.35</v>
      </c>
      <c r="K118" s="47">
        <f>Source!R45</f>
        <v>1.1299999999999999</v>
      </c>
    </row>
    <row r="119" spans="1:29" ht="14.25" x14ac:dyDescent="0.2">
      <c r="A119" s="41"/>
      <c r="B119" s="41"/>
      <c r="C119" s="41" t="s">
        <v>857</v>
      </c>
      <c r="D119" s="43" t="s">
        <v>858</v>
      </c>
      <c r="E119" s="42">
        <f>Source!BZ45</f>
        <v>90</v>
      </c>
      <c r="F119" s="45"/>
      <c r="G119" s="44"/>
      <c r="H119" s="42"/>
      <c r="I119" s="45">
        <f>SUM(Q115:Q118)</f>
        <v>28.78</v>
      </c>
      <c r="J119" s="42">
        <f>Source!AT45</f>
        <v>90</v>
      </c>
      <c r="K119" s="45">
        <f>SUM(R115:R118)</f>
        <v>1621.87</v>
      </c>
    </row>
    <row r="120" spans="1:29" ht="14.25" x14ac:dyDescent="0.2">
      <c r="A120" s="41"/>
      <c r="B120" s="41"/>
      <c r="C120" s="41" t="s">
        <v>859</v>
      </c>
      <c r="D120" s="43" t="s">
        <v>858</v>
      </c>
      <c r="E120" s="42">
        <f>Source!CA45</f>
        <v>46</v>
      </c>
      <c r="F120" s="45"/>
      <c r="G120" s="44"/>
      <c r="H120" s="42"/>
      <c r="I120" s="45">
        <f>SUM(S115:S119)</f>
        <v>14.71</v>
      </c>
      <c r="J120" s="42">
        <f>Source!AU45</f>
        <v>46</v>
      </c>
      <c r="K120" s="45">
        <f>SUM(T115:T119)</f>
        <v>828.96</v>
      </c>
    </row>
    <row r="121" spans="1:29" ht="14.25" x14ac:dyDescent="0.2">
      <c r="A121" s="48"/>
      <c r="B121" s="48"/>
      <c r="C121" s="48" t="s">
        <v>860</v>
      </c>
      <c r="D121" s="49" t="s">
        <v>861</v>
      </c>
      <c r="E121" s="50">
        <f>Source!AQ44</f>
        <v>1.68</v>
      </c>
      <c r="F121" s="51"/>
      <c r="G121" s="52" t="s">
        <v>854</v>
      </c>
      <c r="H121" s="50">
        <f>Source!AV45</f>
        <v>1.0469999999999999</v>
      </c>
      <c r="I121" s="51">
        <f>Source!U44</f>
        <v>2.5329023999999998</v>
      </c>
      <c r="J121" s="50"/>
      <c r="K121" s="51"/>
    </row>
    <row r="122" spans="1:29" ht="15" x14ac:dyDescent="0.2">
      <c r="C122" s="53" t="s">
        <v>862</v>
      </c>
      <c r="H122" s="54">
        <f>I116+I117+I119+I120+0-0-0</f>
        <v>75.540000000000006</v>
      </c>
      <c r="I122" s="54"/>
      <c r="J122" s="54">
        <f>K116+K117+K119+K120+0-0-0</f>
        <v>4253.45</v>
      </c>
      <c r="K122" s="54"/>
    </row>
    <row r="123" spans="1:29" ht="15" hidden="1" x14ac:dyDescent="0.2">
      <c r="C123" s="53" t="s">
        <v>863</v>
      </c>
      <c r="H123" s="56">
        <f>0+0</f>
        <v>0</v>
      </c>
      <c r="I123" s="56"/>
      <c r="J123" s="56">
        <f>0+0</f>
        <v>0</v>
      </c>
      <c r="K123" s="56"/>
    </row>
    <row r="124" spans="1:29" ht="15" x14ac:dyDescent="0.2">
      <c r="C124" s="53" t="s">
        <v>864</v>
      </c>
      <c r="H124" s="56">
        <f>I116+I117+I119+I120+0</f>
        <v>75.540000000000006</v>
      </c>
      <c r="I124" s="56"/>
      <c r="J124" s="56">
        <f>K116+K117+K119+K120+0</f>
        <v>4253.45</v>
      </c>
      <c r="K124" s="56"/>
      <c r="O124" s="57">
        <f>I116+I117+I119+I120+0</f>
        <v>75.540000000000006</v>
      </c>
      <c r="P124" s="57">
        <f>K116+K117+K119+K120+0</f>
        <v>4253.45</v>
      </c>
    </row>
    <row r="126" spans="1:29" ht="71.25" x14ac:dyDescent="0.2">
      <c r="A126" s="41">
        <v>10</v>
      </c>
      <c r="B126" s="41" t="str">
        <f>Source!F46</f>
        <v>4.37-18-4</v>
      </c>
      <c r="C126" s="41" t="s">
        <v>75</v>
      </c>
      <c r="D126" s="43" t="str">
        <f>Source!H46</f>
        <v>1  ШТ.</v>
      </c>
      <c r="E126" s="42">
        <f>Source!I46</f>
        <v>9</v>
      </c>
      <c r="F126" s="45"/>
      <c r="G126" s="44"/>
      <c r="H126" s="42"/>
      <c r="I126" s="45"/>
      <c r="J126" s="42"/>
      <c r="K126" s="45"/>
      <c r="Q126">
        <f>Source!X46</f>
        <v>31.01</v>
      </c>
      <c r="R126">
        <f>Source!X47</f>
        <v>1747.6</v>
      </c>
      <c r="S126">
        <f>Source!Y46</f>
        <v>16.52</v>
      </c>
      <c r="T126">
        <f>Source!Y47</f>
        <v>930.78</v>
      </c>
      <c r="U126">
        <f>ROUND((175/100)*ROUND(Source!R46, 2), 2)</f>
        <v>0</v>
      </c>
      <c r="V126">
        <f>ROUND((0/100)*ROUND(Source!R47, 2), 2)</f>
        <v>0</v>
      </c>
      <c r="AC126">
        <v>0</v>
      </c>
    </row>
    <row r="127" spans="1:29" x14ac:dyDescent="0.2">
      <c r="C127" s="58" t="str">
        <f>"Объем: "&amp;Source!I46&amp;"=3+"&amp;"2+"&amp;"2+"&amp;"2"</f>
        <v>Объем: 9=3+2+2+2</v>
      </c>
    </row>
    <row r="128" spans="1:29" ht="14.25" x14ac:dyDescent="0.2">
      <c r="A128" s="41"/>
      <c r="B128" s="41"/>
      <c r="C128" s="41" t="s">
        <v>853</v>
      </c>
      <c r="D128" s="43"/>
      <c r="E128" s="42"/>
      <c r="F128" s="45">
        <f>Source!AO46</f>
        <v>9.75</v>
      </c>
      <c r="G128" s="46" t="s">
        <v>854</v>
      </c>
      <c r="H128" s="42">
        <f>Source!AV47</f>
        <v>1.0669999999999999</v>
      </c>
      <c r="I128" s="45">
        <f>Source!S46</f>
        <v>33.71</v>
      </c>
      <c r="J128" s="42">
        <f>IF(Source!BA47&lt;&gt; 0, Source!BA47, 1)</f>
        <v>56.35</v>
      </c>
      <c r="K128" s="45">
        <f>Source!S47</f>
        <v>1899.56</v>
      </c>
    </row>
    <row r="129" spans="1:29" ht="14.25" x14ac:dyDescent="0.2">
      <c r="A129" s="41"/>
      <c r="B129" s="41"/>
      <c r="C129" s="41" t="s">
        <v>855</v>
      </c>
      <c r="D129" s="43"/>
      <c r="E129" s="42"/>
      <c r="F129" s="45">
        <f>Source!AM46</f>
        <v>0.05</v>
      </c>
      <c r="G129" s="46" t="s">
        <v>854</v>
      </c>
      <c r="H129" s="42">
        <f>Source!AV47</f>
        <v>1.0669999999999999</v>
      </c>
      <c r="I129" s="45">
        <f>Source!Q46</f>
        <v>0.17</v>
      </c>
      <c r="J129" s="42">
        <f>IF(Source!BB47&lt;&gt; 0, Source!BB47, 1)</f>
        <v>8.8000000000000007</v>
      </c>
      <c r="K129" s="45">
        <f>Source!Q47</f>
        <v>1.5</v>
      </c>
    </row>
    <row r="130" spans="1:29" ht="14.25" x14ac:dyDescent="0.2">
      <c r="A130" s="41"/>
      <c r="B130" s="41"/>
      <c r="C130" s="41" t="s">
        <v>857</v>
      </c>
      <c r="D130" s="43" t="s">
        <v>858</v>
      </c>
      <c r="E130" s="42">
        <f>Source!BZ47</f>
        <v>92</v>
      </c>
      <c r="F130" s="45"/>
      <c r="G130" s="44"/>
      <c r="H130" s="42"/>
      <c r="I130" s="45">
        <f>SUM(Q126:Q129)</f>
        <v>31.01</v>
      </c>
      <c r="J130" s="42">
        <f>Source!AT47</f>
        <v>92</v>
      </c>
      <c r="K130" s="45">
        <f>SUM(R126:R129)</f>
        <v>1747.6</v>
      </c>
    </row>
    <row r="131" spans="1:29" ht="14.25" x14ac:dyDescent="0.2">
      <c r="A131" s="41"/>
      <c r="B131" s="41"/>
      <c r="C131" s="41" t="s">
        <v>859</v>
      </c>
      <c r="D131" s="43" t="s">
        <v>858</v>
      </c>
      <c r="E131" s="42">
        <f>Source!CA47</f>
        <v>49</v>
      </c>
      <c r="F131" s="45"/>
      <c r="G131" s="44"/>
      <c r="H131" s="42"/>
      <c r="I131" s="45">
        <f>SUM(S126:S130)</f>
        <v>16.52</v>
      </c>
      <c r="J131" s="42">
        <f>Source!AU47</f>
        <v>49</v>
      </c>
      <c r="K131" s="45">
        <f>SUM(T126:T130)</f>
        <v>930.78</v>
      </c>
    </row>
    <row r="132" spans="1:29" ht="14.25" x14ac:dyDescent="0.2">
      <c r="A132" s="48"/>
      <c r="B132" s="48"/>
      <c r="C132" s="48" t="s">
        <v>860</v>
      </c>
      <c r="D132" s="49" t="s">
        <v>861</v>
      </c>
      <c r="E132" s="50">
        <f>Source!AQ46</f>
        <v>0.6</v>
      </c>
      <c r="F132" s="51"/>
      <c r="G132" s="52" t="s">
        <v>854</v>
      </c>
      <c r="H132" s="50">
        <f>Source!AV47</f>
        <v>1.0669999999999999</v>
      </c>
      <c r="I132" s="51">
        <f>Source!U46</f>
        <v>2.0742479999999999</v>
      </c>
      <c r="J132" s="50"/>
      <c r="K132" s="51"/>
    </row>
    <row r="133" spans="1:29" ht="15" x14ac:dyDescent="0.2">
      <c r="C133" s="53" t="s">
        <v>862</v>
      </c>
      <c r="H133" s="54">
        <f>I128+I129+I130+I131+0-0-0</f>
        <v>81.41</v>
      </c>
      <c r="I133" s="54"/>
      <c r="J133" s="54">
        <f>K128+K129+K130+K131+0-0-0</f>
        <v>4579.4399999999996</v>
      </c>
      <c r="K133" s="54"/>
    </row>
    <row r="134" spans="1:29" ht="15" hidden="1" x14ac:dyDescent="0.2">
      <c r="C134" s="53" t="s">
        <v>863</v>
      </c>
      <c r="H134" s="56">
        <f>0+0</f>
        <v>0</v>
      </c>
      <c r="I134" s="56"/>
      <c r="J134" s="56">
        <f>0+0</f>
        <v>0</v>
      </c>
      <c r="K134" s="56"/>
    </row>
    <row r="135" spans="1:29" ht="15" x14ac:dyDescent="0.2">
      <c r="C135" s="53" t="s">
        <v>864</v>
      </c>
      <c r="H135" s="56">
        <f>I128+I129+I130+I131+0</f>
        <v>81.41</v>
      </c>
      <c r="I135" s="56"/>
      <c r="J135" s="56">
        <f>K128+K129+K130+K131+0</f>
        <v>4579.4399999999996</v>
      </c>
      <c r="K135" s="56"/>
      <c r="O135" s="57">
        <f>I128+I129+I130+I131+0</f>
        <v>81.41</v>
      </c>
      <c r="P135" s="57">
        <f>K128+K129+K130+K131+0</f>
        <v>4579.4399999999996</v>
      </c>
    </row>
    <row r="137" spans="1:29" ht="57" x14ac:dyDescent="0.2">
      <c r="A137" s="41">
        <v>11</v>
      </c>
      <c r="B137" s="41" t="str">
        <f>Source!F48</f>
        <v>3.9-74-1</v>
      </c>
      <c r="C137" s="41" t="s">
        <v>81</v>
      </c>
      <c r="D137" s="43" t="str">
        <f>Source!H48</f>
        <v>10 шт.</v>
      </c>
      <c r="E137" s="42">
        <f>Source!I48</f>
        <v>0.4</v>
      </c>
      <c r="F137" s="45"/>
      <c r="G137" s="44"/>
      <c r="H137" s="42"/>
      <c r="I137" s="45"/>
      <c r="J137" s="42"/>
      <c r="K137" s="45"/>
      <c r="Q137">
        <f>Source!X48</f>
        <v>64.94</v>
      </c>
      <c r="R137">
        <f>Source!X49</f>
        <v>3659.48</v>
      </c>
      <c r="S137">
        <f>Source!Y48</f>
        <v>43.29</v>
      </c>
      <c r="T137">
        <f>Source!Y49</f>
        <v>2439.65</v>
      </c>
      <c r="U137">
        <f>ROUND((175/100)*ROUND(Source!R48, 2), 2)</f>
        <v>9.4</v>
      </c>
      <c r="V137">
        <f>ROUND((0/100)*ROUND(Source!R49, 2), 2)</f>
        <v>0</v>
      </c>
      <c r="AC137">
        <v>0</v>
      </c>
    </row>
    <row r="138" spans="1:29" x14ac:dyDescent="0.2">
      <c r="C138" s="58" t="str">
        <f>"Объем: "&amp;Source!I48&amp;"=4/"&amp;"10"</f>
        <v>Объем: 0,4=4/10</v>
      </c>
    </row>
    <row r="139" spans="1:29" ht="14.25" x14ac:dyDescent="0.2">
      <c r="A139" s="41"/>
      <c r="B139" s="41"/>
      <c r="C139" s="41" t="s">
        <v>853</v>
      </c>
      <c r="D139" s="43"/>
      <c r="E139" s="42"/>
      <c r="F139" s="45">
        <f>Source!AO48</f>
        <v>205.89</v>
      </c>
      <c r="G139" s="46" t="s">
        <v>865</v>
      </c>
      <c r="H139" s="42">
        <f>Source!AV49</f>
        <v>1.087</v>
      </c>
      <c r="I139" s="45">
        <f>Source!S48</f>
        <v>64.459999999999994</v>
      </c>
      <c r="J139" s="42">
        <f>IF(Source!BA49&lt;&gt; 0, Source!BA49, 1)</f>
        <v>56.35</v>
      </c>
      <c r="K139" s="45">
        <f>Source!S49</f>
        <v>3632.32</v>
      </c>
    </row>
    <row r="140" spans="1:29" ht="14.25" x14ac:dyDescent="0.2">
      <c r="A140" s="41"/>
      <c r="B140" s="41"/>
      <c r="C140" s="41" t="s">
        <v>855</v>
      </c>
      <c r="D140" s="43"/>
      <c r="E140" s="42"/>
      <c r="F140" s="45">
        <f>Source!AM48</f>
        <v>113.73</v>
      </c>
      <c r="G140" s="46" t="s">
        <v>865</v>
      </c>
      <c r="H140" s="42">
        <f>Source!AV49</f>
        <v>1.087</v>
      </c>
      <c r="I140" s="45">
        <f>Source!Q48</f>
        <v>35.6</v>
      </c>
      <c r="J140" s="42">
        <f>IF(Source!BB49&lt;&gt; 0, Source!BB49, 1)</f>
        <v>17.02</v>
      </c>
      <c r="K140" s="45">
        <f>Source!Q49</f>
        <v>605.91</v>
      </c>
    </row>
    <row r="141" spans="1:29" ht="14.25" x14ac:dyDescent="0.2">
      <c r="A141" s="41"/>
      <c r="B141" s="41"/>
      <c r="C141" s="41" t="s">
        <v>856</v>
      </c>
      <c r="D141" s="43"/>
      <c r="E141" s="42"/>
      <c r="F141" s="45">
        <f>Source!AN48</f>
        <v>17.16</v>
      </c>
      <c r="G141" s="46" t="s">
        <v>865</v>
      </c>
      <c r="H141" s="42">
        <f>Source!AV49</f>
        <v>1.087</v>
      </c>
      <c r="I141" s="47">
        <f>Source!R48</f>
        <v>5.37</v>
      </c>
      <c r="J141" s="42">
        <f>IF(Source!BS49&lt;&gt; 0, Source!BS49, 1)</f>
        <v>56.35</v>
      </c>
      <c r="K141" s="47">
        <f>Source!R49</f>
        <v>302.60000000000002</v>
      </c>
    </row>
    <row r="142" spans="1:29" ht="14.25" x14ac:dyDescent="0.2">
      <c r="A142" s="41"/>
      <c r="B142" s="41"/>
      <c r="C142" s="41" t="s">
        <v>866</v>
      </c>
      <c r="D142" s="43"/>
      <c r="E142" s="42"/>
      <c r="F142" s="45">
        <f>Source!AL48</f>
        <v>487.88</v>
      </c>
      <c r="G142" s="46" t="s">
        <v>867</v>
      </c>
      <c r="H142" s="42">
        <f>Source!AW49</f>
        <v>1</v>
      </c>
      <c r="I142" s="45">
        <f>Source!P48</f>
        <v>117.09</v>
      </c>
      <c r="J142" s="42">
        <f>IF(Source!BC49&lt;&gt; 0, Source!BC49, 1)</f>
        <v>6.4</v>
      </c>
      <c r="K142" s="45">
        <f>Source!P49</f>
        <v>749.38</v>
      </c>
    </row>
    <row r="143" spans="1:29" ht="14.25" x14ac:dyDescent="0.2">
      <c r="A143" s="41"/>
      <c r="B143" s="41"/>
      <c r="C143" s="41" t="s">
        <v>857</v>
      </c>
      <c r="D143" s="43" t="s">
        <v>858</v>
      </c>
      <c r="E143" s="42">
        <f>Source!BZ49</f>
        <v>93</v>
      </c>
      <c r="F143" s="45"/>
      <c r="G143" s="44"/>
      <c r="H143" s="42"/>
      <c r="I143" s="45">
        <f>SUM(Q137:Q142)</f>
        <v>64.94</v>
      </c>
      <c r="J143" s="42">
        <f>Source!AT49</f>
        <v>93</v>
      </c>
      <c r="K143" s="45">
        <f>SUM(R137:R142)</f>
        <v>3659.48</v>
      </c>
    </row>
    <row r="144" spans="1:29" ht="14.25" x14ac:dyDescent="0.2">
      <c r="A144" s="41"/>
      <c r="B144" s="41"/>
      <c r="C144" s="41" t="s">
        <v>859</v>
      </c>
      <c r="D144" s="43" t="s">
        <v>858</v>
      </c>
      <c r="E144" s="42">
        <f>Source!CA49</f>
        <v>62</v>
      </c>
      <c r="F144" s="45"/>
      <c r="G144" s="44"/>
      <c r="H144" s="42"/>
      <c r="I144" s="45">
        <f>SUM(S137:S143)</f>
        <v>43.29</v>
      </c>
      <c r="J144" s="42">
        <f>Source!AU49</f>
        <v>62</v>
      </c>
      <c r="K144" s="45">
        <f>SUM(T137:T143)</f>
        <v>2439.65</v>
      </c>
    </row>
    <row r="145" spans="1:29" ht="14.25" x14ac:dyDescent="0.2">
      <c r="A145" s="48"/>
      <c r="B145" s="48"/>
      <c r="C145" s="48" t="s">
        <v>860</v>
      </c>
      <c r="D145" s="49" t="s">
        <v>861</v>
      </c>
      <c r="E145" s="50">
        <f>Source!AQ48</f>
        <v>18.38</v>
      </c>
      <c r="F145" s="51"/>
      <c r="G145" s="52" t="s">
        <v>865</v>
      </c>
      <c r="H145" s="50">
        <f>Source!AV49</f>
        <v>1.087</v>
      </c>
      <c r="I145" s="51">
        <f>Source!U48</f>
        <v>5.7539692799999989</v>
      </c>
      <c r="J145" s="50"/>
      <c r="K145" s="51"/>
    </row>
    <row r="146" spans="1:29" ht="15" x14ac:dyDescent="0.2">
      <c r="C146" s="53" t="s">
        <v>862</v>
      </c>
      <c r="H146" s="54">
        <f>I139+I140+I142+I143+I144+0-0-0</f>
        <v>325.38000000000005</v>
      </c>
      <c r="I146" s="54"/>
      <c r="J146" s="54">
        <f>K139+K140+K142+K143+K144+0-0-0</f>
        <v>11086.74</v>
      </c>
      <c r="K146" s="54"/>
    </row>
    <row r="147" spans="1:29" ht="15" hidden="1" x14ac:dyDescent="0.2">
      <c r="C147" s="53" t="s">
        <v>863</v>
      </c>
      <c r="H147" s="56">
        <f>0+0</f>
        <v>0</v>
      </c>
      <c r="I147" s="56"/>
      <c r="J147" s="56">
        <f>0+0</f>
        <v>0</v>
      </c>
      <c r="K147" s="56"/>
    </row>
    <row r="148" spans="1:29" ht="15" x14ac:dyDescent="0.2">
      <c r="C148" s="53" t="s">
        <v>864</v>
      </c>
      <c r="H148" s="56">
        <f>I139+I140+I142+I143+I144+0</f>
        <v>325.38000000000005</v>
      </c>
      <c r="I148" s="56"/>
      <c r="J148" s="56">
        <f>K139+K140+K142+K143+K144+0</f>
        <v>11086.74</v>
      </c>
      <c r="K148" s="56"/>
      <c r="O148" s="57">
        <f>I139+I140+I142+I143+I144+0</f>
        <v>325.38000000000005</v>
      </c>
      <c r="P148" s="57">
        <f>K139+K140+K142+K143+K144+0</f>
        <v>11086.74</v>
      </c>
    </row>
    <row r="150" spans="1:29" ht="42.75" x14ac:dyDescent="0.2">
      <c r="A150" s="41">
        <v>12</v>
      </c>
      <c r="B150" s="41" t="str">
        <f>Source!F50</f>
        <v>4.10-1-12</v>
      </c>
      <c r="C150" s="41" t="s">
        <v>92</v>
      </c>
      <c r="D150" s="43" t="str">
        <f>Source!H50</f>
        <v>1 рамка</v>
      </c>
      <c r="E150" s="42">
        <f>Source!I50</f>
        <v>8</v>
      </c>
      <c r="F150" s="45"/>
      <c r="G150" s="44"/>
      <c r="H150" s="42"/>
      <c r="I150" s="45"/>
      <c r="J150" s="42"/>
      <c r="K150" s="45"/>
      <c r="Q150">
        <f>Source!X50</f>
        <v>2.12</v>
      </c>
      <c r="R150">
        <f>Source!X51</f>
        <v>119.18</v>
      </c>
      <c r="S150">
        <f>Source!Y50</f>
        <v>1.08</v>
      </c>
      <c r="T150">
        <f>Source!Y51</f>
        <v>60.91</v>
      </c>
      <c r="U150">
        <f>ROUND((175/100)*ROUND(Source!R50, 2), 2)</f>
        <v>0</v>
      </c>
      <c r="V150">
        <f>ROUND((0/100)*ROUND(Source!R51, 2), 2)</f>
        <v>0</v>
      </c>
      <c r="AC150">
        <v>0</v>
      </c>
    </row>
    <row r="151" spans="1:29" x14ac:dyDescent="0.2">
      <c r="C151" s="58" t="str">
        <f>"Объем: "&amp;Source!I50&amp;"=4*"&amp;"2"</f>
        <v>Объем: 8=4*2</v>
      </c>
    </row>
    <row r="152" spans="1:29" ht="14.25" x14ac:dyDescent="0.2">
      <c r="A152" s="41"/>
      <c r="B152" s="41"/>
      <c r="C152" s="41" t="s">
        <v>853</v>
      </c>
      <c r="D152" s="43"/>
      <c r="E152" s="42"/>
      <c r="F152" s="45">
        <f>Source!AO50</f>
        <v>0.78</v>
      </c>
      <c r="G152" s="46" t="s">
        <v>854</v>
      </c>
      <c r="H152" s="42">
        <f>Source!AV51</f>
        <v>1.0469999999999999</v>
      </c>
      <c r="I152" s="45">
        <f>Source!S50</f>
        <v>2.35</v>
      </c>
      <c r="J152" s="42">
        <f>IF(Source!BA51&lt;&gt; 0, Source!BA51, 1)</f>
        <v>56.35</v>
      </c>
      <c r="K152" s="45">
        <f>Source!S51</f>
        <v>132.41999999999999</v>
      </c>
    </row>
    <row r="153" spans="1:29" ht="14.25" x14ac:dyDescent="0.2">
      <c r="A153" s="41"/>
      <c r="B153" s="41"/>
      <c r="C153" s="41" t="s">
        <v>857</v>
      </c>
      <c r="D153" s="43" t="s">
        <v>858</v>
      </c>
      <c r="E153" s="42">
        <f>Source!BZ51</f>
        <v>90</v>
      </c>
      <c r="F153" s="45"/>
      <c r="G153" s="44"/>
      <c r="H153" s="42"/>
      <c r="I153" s="45">
        <f>SUM(Q150:Q152)</f>
        <v>2.12</v>
      </c>
      <c r="J153" s="42">
        <f>Source!AT51</f>
        <v>90</v>
      </c>
      <c r="K153" s="45">
        <f>SUM(R150:R152)</f>
        <v>119.18</v>
      </c>
    </row>
    <row r="154" spans="1:29" ht="14.25" x14ac:dyDescent="0.2">
      <c r="A154" s="41"/>
      <c r="B154" s="41"/>
      <c r="C154" s="41" t="s">
        <v>859</v>
      </c>
      <c r="D154" s="43" t="s">
        <v>858</v>
      </c>
      <c r="E154" s="42">
        <f>Source!CA51</f>
        <v>46</v>
      </c>
      <c r="F154" s="45"/>
      <c r="G154" s="44"/>
      <c r="H154" s="42"/>
      <c r="I154" s="45">
        <f>SUM(S150:S153)</f>
        <v>1.08</v>
      </c>
      <c r="J154" s="42">
        <f>Source!AU51</f>
        <v>46</v>
      </c>
      <c r="K154" s="45">
        <f>SUM(T150:T153)</f>
        <v>60.91</v>
      </c>
    </row>
    <row r="155" spans="1:29" ht="14.25" x14ac:dyDescent="0.2">
      <c r="A155" s="48"/>
      <c r="B155" s="48"/>
      <c r="C155" s="48" t="s">
        <v>860</v>
      </c>
      <c r="D155" s="49" t="s">
        <v>861</v>
      </c>
      <c r="E155" s="50">
        <f>Source!AQ50</f>
        <v>7.0000000000000007E-2</v>
      </c>
      <c r="F155" s="51"/>
      <c r="G155" s="52" t="s">
        <v>854</v>
      </c>
      <c r="H155" s="50">
        <f>Source!AV51</f>
        <v>1.0469999999999999</v>
      </c>
      <c r="I155" s="51">
        <f>Source!U50</f>
        <v>0.21107519999999999</v>
      </c>
      <c r="J155" s="50"/>
      <c r="K155" s="51"/>
    </row>
    <row r="156" spans="1:29" ht="15" x14ac:dyDescent="0.2">
      <c r="C156" s="53" t="s">
        <v>862</v>
      </c>
      <c r="H156" s="54">
        <f>I152+I153+I154+0-0-0</f>
        <v>5.5500000000000007</v>
      </c>
      <c r="I156" s="54"/>
      <c r="J156" s="54">
        <f>K152+K153+K154+0-0-0</f>
        <v>312.51</v>
      </c>
      <c r="K156" s="54"/>
    </row>
    <row r="157" spans="1:29" ht="15" hidden="1" x14ac:dyDescent="0.2">
      <c r="C157" s="53" t="s">
        <v>863</v>
      </c>
      <c r="H157" s="56">
        <f>0+0</f>
        <v>0</v>
      </c>
      <c r="I157" s="56"/>
      <c r="J157" s="56">
        <f>0+0</f>
        <v>0</v>
      </c>
      <c r="K157" s="56"/>
    </row>
    <row r="158" spans="1:29" ht="15" x14ac:dyDescent="0.2">
      <c r="C158" s="53" t="s">
        <v>864</v>
      </c>
      <c r="H158" s="56">
        <f>I152+I153+I154+0</f>
        <v>5.5500000000000007</v>
      </c>
      <c r="I158" s="56"/>
      <c r="J158" s="56">
        <f>K152+K153+K154+0</f>
        <v>312.51</v>
      </c>
      <c r="K158" s="56"/>
      <c r="O158" s="57">
        <f>I152+I153+I154+0</f>
        <v>5.5500000000000007</v>
      </c>
      <c r="P158" s="57">
        <f>K152+K153+K154+0</f>
        <v>312.51</v>
      </c>
    </row>
    <row r="160" spans="1:29" ht="57" x14ac:dyDescent="0.2">
      <c r="A160" s="41">
        <v>13</v>
      </c>
      <c r="B160" s="41" t="str">
        <f>Source!F52</f>
        <v>3.70-434-1</v>
      </c>
      <c r="C160" s="41" t="s">
        <v>97</v>
      </c>
      <c r="D160" s="43" t="str">
        <f>Source!H52</f>
        <v>100 шт.</v>
      </c>
      <c r="E160" s="42">
        <f>Source!I52</f>
        <v>0.04</v>
      </c>
      <c r="F160" s="45"/>
      <c r="G160" s="44"/>
      <c r="H160" s="42"/>
      <c r="I160" s="45"/>
      <c r="J160" s="42"/>
      <c r="K160" s="45"/>
      <c r="Q160">
        <f>Source!X52</f>
        <v>5.69</v>
      </c>
      <c r="R160">
        <f>Source!X53</f>
        <v>320.72000000000003</v>
      </c>
      <c r="S160">
        <f>Source!Y52</f>
        <v>3.79</v>
      </c>
      <c r="T160">
        <f>Source!Y53</f>
        <v>213.81</v>
      </c>
      <c r="U160">
        <f>ROUND((175/100)*ROUND(Source!R52, 2), 2)</f>
        <v>0.12</v>
      </c>
      <c r="V160">
        <f>ROUND((0/100)*ROUND(Source!R53, 2), 2)</f>
        <v>0</v>
      </c>
      <c r="AC160">
        <v>0</v>
      </c>
    </row>
    <row r="161" spans="1:29" x14ac:dyDescent="0.2">
      <c r="C161" s="58" t="str">
        <f>"Объем: "&amp;Source!I52&amp;"=4/"&amp;"100"</f>
        <v>Объем: 0,04=4/100</v>
      </c>
    </row>
    <row r="162" spans="1:29" ht="14.25" x14ac:dyDescent="0.2">
      <c r="A162" s="41"/>
      <c r="B162" s="41"/>
      <c r="C162" s="41" t="s">
        <v>853</v>
      </c>
      <c r="D162" s="43"/>
      <c r="E162" s="42"/>
      <c r="F162" s="45">
        <f>Source!AO52</f>
        <v>193.13</v>
      </c>
      <c r="G162" s="46" t="s">
        <v>865</v>
      </c>
      <c r="H162" s="42">
        <f>Source!AV53</f>
        <v>1.087</v>
      </c>
      <c r="I162" s="45">
        <f>Source!S52</f>
        <v>6.05</v>
      </c>
      <c r="J162" s="42">
        <f>IF(Source!BA53&lt;&gt; 0, Source!BA53, 1)</f>
        <v>56.35</v>
      </c>
      <c r="K162" s="45">
        <f>Source!S53</f>
        <v>340.92</v>
      </c>
    </row>
    <row r="163" spans="1:29" ht="14.25" x14ac:dyDescent="0.2">
      <c r="A163" s="41"/>
      <c r="B163" s="41"/>
      <c r="C163" s="41" t="s">
        <v>855</v>
      </c>
      <c r="D163" s="43"/>
      <c r="E163" s="42"/>
      <c r="F163" s="45">
        <f>Source!AM52</f>
        <v>18.690000000000001</v>
      </c>
      <c r="G163" s="46" t="s">
        <v>865</v>
      </c>
      <c r="H163" s="42">
        <f>Source!AV53</f>
        <v>1.087</v>
      </c>
      <c r="I163" s="45">
        <f>Source!Q52</f>
        <v>0.59</v>
      </c>
      <c r="J163" s="42">
        <f>IF(Source!BB53&lt;&gt; 0, Source!BB53, 1)</f>
        <v>15.58</v>
      </c>
      <c r="K163" s="45">
        <f>Source!Q53</f>
        <v>9.19</v>
      </c>
    </row>
    <row r="164" spans="1:29" ht="14.25" x14ac:dyDescent="0.2">
      <c r="A164" s="41"/>
      <c r="B164" s="41"/>
      <c r="C164" s="41" t="s">
        <v>856</v>
      </c>
      <c r="D164" s="43"/>
      <c r="E164" s="42"/>
      <c r="F164" s="45">
        <f>Source!AN52</f>
        <v>2.27</v>
      </c>
      <c r="G164" s="46" t="s">
        <v>865</v>
      </c>
      <c r="H164" s="42">
        <f>Source!AV53</f>
        <v>1.087</v>
      </c>
      <c r="I164" s="47">
        <f>Source!R52</f>
        <v>7.0000000000000007E-2</v>
      </c>
      <c r="J164" s="42">
        <f>IF(Source!BS53&lt;&gt; 0, Source!BS53, 1)</f>
        <v>56.35</v>
      </c>
      <c r="K164" s="47">
        <f>Source!R53</f>
        <v>3.94</v>
      </c>
    </row>
    <row r="165" spans="1:29" ht="14.25" x14ac:dyDescent="0.2">
      <c r="A165" s="41"/>
      <c r="B165" s="41"/>
      <c r="C165" s="41" t="s">
        <v>866</v>
      </c>
      <c r="D165" s="43"/>
      <c r="E165" s="42"/>
      <c r="F165" s="45">
        <f>Source!AL52</f>
        <v>132.34</v>
      </c>
      <c r="G165" s="46" t="s">
        <v>867</v>
      </c>
      <c r="H165" s="42">
        <f>Source!AW53</f>
        <v>1</v>
      </c>
      <c r="I165" s="45">
        <f>Source!P52</f>
        <v>3.18</v>
      </c>
      <c r="J165" s="42">
        <f>IF(Source!BC53&lt;&gt; 0, Source!BC53, 1)</f>
        <v>3.46</v>
      </c>
      <c r="K165" s="45">
        <f>Source!P53</f>
        <v>11</v>
      </c>
    </row>
    <row r="166" spans="1:29" ht="14.25" x14ac:dyDescent="0.2">
      <c r="A166" s="41"/>
      <c r="B166" s="41"/>
      <c r="C166" s="41" t="s">
        <v>857</v>
      </c>
      <c r="D166" s="43" t="s">
        <v>858</v>
      </c>
      <c r="E166" s="42">
        <f>Source!BZ53</f>
        <v>93</v>
      </c>
      <c r="F166" s="45"/>
      <c r="G166" s="44"/>
      <c r="H166" s="42"/>
      <c r="I166" s="45">
        <f>SUM(Q160:Q165)</f>
        <v>5.69</v>
      </c>
      <c r="J166" s="42">
        <f>Source!AT53</f>
        <v>93</v>
      </c>
      <c r="K166" s="45">
        <f>SUM(R160:R165)</f>
        <v>320.72000000000003</v>
      </c>
    </row>
    <row r="167" spans="1:29" ht="14.25" x14ac:dyDescent="0.2">
      <c r="A167" s="41"/>
      <c r="B167" s="41"/>
      <c r="C167" s="41" t="s">
        <v>859</v>
      </c>
      <c r="D167" s="43" t="s">
        <v>858</v>
      </c>
      <c r="E167" s="42">
        <f>Source!CA53</f>
        <v>62</v>
      </c>
      <c r="F167" s="45"/>
      <c r="G167" s="44"/>
      <c r="H167" s="42"/>
      <c r="I167" s="45">
        <f>SUM(S160:S166)</f>
        <v>3.79</v>
      </c>
      <c r="J167" s="42">
        <f>Source!AU53</f>
        <v>62</v>
      </c>
      <c r="K167" s="45">
        <f>SUM(T160:T166)</f>
        <v>213.81</v>
      </c>
    </row>
    <row r="168" spans="1:29" ht="14.25" x14ac:dyDescent="0.2">
      <c r="A168" s="48"/>
      <c r="B168" s="48"/>
      <c r="C168" s="48" t="s">
        <v>860</v>
      </c>
      <c r="D168" s="49" t="s">
        <v>861</v>
      </c>
      <c r="E168" s="50">
        <f>Source!AQ52</f>
        <v>11.57</v>
      </c>
      <c r="F168" s="51"/>
      <c r="G168" s="52" t="s">
        <v>865</v>
      </c>
      <c r="H168" s="50">
        <f>Source!AV53</f>
        <v>1.087</v>
      </c>
      <c r="I168" s="51">
        <f>Source!U52</f>
        <v>0.36220579199999997</v>
      </c>
      <c r="J168" s="50"/>
      <c r="K168" s="51"/>
    </row>
    <row r="169" spans="1:29" ht="15" x14ac:dyDescent="0.2">
      <c r="C169" s="53" t="s">
        <v>862</v>
      </c>
      <c r="H169" s="54">
        <f>I162+I163+I165+I166+I167+0-0-0</f>
        <v>19.3</v>
      </c>
      <c r="I169" s="54"/>
      <c r="J169" s="54">
        <f>K162+K163+K165+K166+K167+0-0-0</f>
        <v>895.6400000000001</v>
      </c>
      <c r="K169" s="54"/>
    </row>
    <row r="170" spans="1:29" ht="15" hidden="1" x14ac:dyDescent="0.2">
      <c r="C170" s="53" t="s">
        <v>863</v>
      </c>
      <c r="H170" s="56">
        <f>0+0</f>
        <v>0</v>
      </c>
      <c r="I170" s="56"/>
      <c r="J170" s="56">
        <f>0+0</f>
        <v>0</v>
      </c>
      <c r="K170" s="56"/>
    </row>
    <row r="171" spans="1:29" ht="15" x14ac:dyDescent="0.2">
      <c r="C171" s="53" t="s">
        <v>864</v>
      </c>
      <c r="H171" s="56">
        <f>I162+I163+I165+I166+I167+0</f>
        <v>19.3</v>
      </c>
      <c r="I171" s="56"/>
      <c r="J171" s="56">
        <f>K162+K163+K165+K166+K167+0</f>
        <v>895.6400000000001</v>
      </c>
      <c r="K171" s="56"/>
      <c r="O171" s="57">
        <f>I162+I163+I165+I166+I167+0</f>
        <v>19.3</v>
      </c>
      <c r="P171" s="57">
        <f>K162+K163+K165+K166+K167+0</f>
        <v>895.6400000000001</v>
      </c>
    </row>
    <row r="173" spans="1:29" ht="57" x14ac:dyDescent="0.2">
      <c r="A173" s="41">
        <v>14</v>
      </c>
      <c r="B173" s="41" t="str">
        <f>Source!F54</f>
        <v>3.20-11-1</v>
      </c>
      <c r="C173" s="41" t="s">
        <v>103</v>
      </c>
      <c r="D173" s="43" t="str">
        <f>Source!H54</f>
        <v>1 клапан</v>
      </c>
      <c r="E173" s="42">
        <f>Source!I54</f>
        <v>4</v>
      </c>
      <c r="F173" s="45"/>
      <c r="G173" s="44"/>
      <c r="H173" s="42"/>
      <c r="I173" s="45"/>
      <c r="J173" s="42"/>
      <c r="K173" s="45"/>
      <c r="Q173">
        <f>Source!X54</f>
        <v>44.95</v>
      </c>
      <c r="R173">
        <f>Source!X55</f>
        <v>2533.0100000000002</v>
      </c>
      <c r="S173">
        <f>Source!Y54</f>
        <v>26.75</v>
      </c>
      <c r="T173">
        <f>Source!Y55</f>
        <v>1507.25</v>
      </c>
      <c r="U173">
        <f>ROUND((175/100)*ROUND(Source!R54, 2), 2)</f>
        <v>0.7</v>
      </c>
      <c r="V173">
        <f>ROUND((0/100)*ROUND(Source!R55, 2), 2)</f>
        <v>0</v>
      </c>
      <c r="AC173">
        <v>0</v>
      </c>
    </row>
    <row r="174" spans="1:29" ht="14.25" x14ac:dyDescent="0.2">
      <c r="A174" s="41"/>
      <c r="B174" s="41"/>
      <c r="C174" s="41" t="s">
        <v>853</v>
      </c>
      <c r="D174" s="43"/>
      <c r="E174" s="42"/>
      <c r="F174" s="45">
        <f>Source!AO54</f>
        <v>11.96</v>
      </c>
      <c r="G174" s="46" t="s">
        <v>865</v>
      </c>
      <c r="H174" s="42">
        <f>Source!AV55</f>
        <v>1.0669999999999999</v>
      </c>
      <c r="I174" s="45">
        <f>Source!S54</f>
        <v>36.75</v>
      </c>
      <c r="J174" s="42">
        <f>IF(Source!BA55&lt;&gt; 0, Source!BA55, 1)</f>
        <v>56.35</v>
      </c>
      <c r="K174" s="45">
        <f>Source!S55</f>
        <v>2070.86</v>
      </c>
    </row>
    <row r="175" spans="1:29" ht="14.25" x14ac:dyDescent="0.2">
      <c r="A175" s="41"/>
      <c r="B175" s="41"/>
      <c r="C175" s="41" t="s">
        <v>855</v>
      </c>
      <c r="D175" s="43"/>
      <c r="E175" s="42"/>
      <c r="F175" s="45">
        <f>Source!AM54</f>
        <v>0.91</v>
      </c>
      <c r="G175" s="46" t="s">
        <v>865</v>
      </c>
      <c r="H175" s="42">
        <f>Source!AV55</f>
        <v>1.0669999999999999</v>
      </c>
      <c r="I175" s="45">
        <f>Source!Q54</f>
        <v>2.8</v>
      </c>
      <c r="J175" s="42">
        <f>IF(Source!BB55&lt;&gt; 0, Source!BB55, 1)</f>
        <v>16.43</v>
      </c>
      <c r="K175" s="45">
        <f>Source!Q55</f>
        <v>46</v>
      </c>
    </row>
    <row r="176" spans="1:29" ht="14.25" x14ac:dyDescent="0.2">
      <c r="A176" s="41"/>
      <c r="B176" s="41"/>
      <c r="C176" s="41" t="s">
        <v>856</v>
      </c>
      <c r="D176" s="43"/>
      <c r="E176" s="42"/>
      <c r="F176" s="45">
        <f>Source!AN54</f>
        <v>0.13</v>
      </c>
      <c r="G176" s="46" t="s">
        <v>865</v>
      </c>
      <c r="H176" s="42">
        <f>Source!AV55</f>
        <v>1.0669999999999999</v>
      </c>
      <c r="I176" s="47">
        <f>Source!R54</f>
        <v>0.4</v>
      </c>
      <c r="J176" s="42">
        <f>IF(Source!BS55&lt;&gt; 0, Source!BS55, 1)</f>
        <v>56.35</v>
      </c>
      <c r="K176" s="47">
        <f>Source!R55</f>
        <v>22.54</v>
      </c>
    </row>
    <row r="177" spans="1:29" ht="14.25" x14ac:dyDescent="0.2">
      <c r="A177" s="41"/>
      <c r="B177" s="41"/>
      <c r="C177" s="41" t="s">
        <v>866</v>
      </c>
      <c r="D177" s="43"/>
      <c r="E177" s="42"/>
      <c r="F177" s="45">
        <f>Source!AL54</f>
        <v>3.76</v>
      </c>
      <c r="G177" s="46" t="s">
        <v>867</v>
      </c>
      <c r="H177" s="42">
        <f>Source!AW55</f>
        <v>1</v>
      </c>
      <c r="I177" s="45">
        <f>Source!P54</f>
        <v>9.02</v>
      </c>
      <c r="J177" s="42">
        <f>IF(Source!BC55&lt;&gt; 0, Source!BC55, 1)</f>
        <v>6.54</v>
      </c>
      <c r="K177" s="45">
        <f>Source!P55</f>
        <v>58.99</v>
      </c>
    </row>
    <row r="178" spans="1:29" ht="14.25" x14ac:dyDescent="0.2">
      <c r="A178" s="41"/>
      <c r="B178" s="41"/>
      <c r="C178" s="41" t="s">
        <v>857</v>
      </c>
      <c r="D178" s="43" t="s">
        <v>858</v>
      </c>
      <c r="E178" s="42">
        <f>Source!BZ55</f>
        <v>121</v>
      </c>
      <c r="F178" s="45"/>
      <c r="G178" s="44"/>
      <c r="H178" s="42"/>
      <c r="I178" s="45">
        <f>SUM(Q173:Q177)</f>
        <v>44.95</v>
      </c>
      <c r="J178" s="42">
        <f>Source!AT55</f>
        <v>121</v>
      </c>
      <c r="K178" s="45">
        <f>SUM(R173:R177)</f>
        <v>2533.0100000000002</v>
      </c>
    </row>
    <row r="179" spans="1:29" ht="14.25" x14ac:dyDescent="0.2">
      <c r="A179" s="41"/>
      <c r="B179" s="41"/>
      <c r="C179" s="41" t="s">
        <v>859</v>
      </c>
      <c r="D179" s="43" t="s">
        <v>858</v>
      </c>
      <c r="E179" s="42">
        <f>Source!CA55</f>
        <v>72</v>
      </c>
      <c r="F179" s="45"/>
      <c r="G179" s="44"/>
      <c r="H179" s="42"/>
      <c r="I179" s="45">
        <f>SUM(S173:S178)</f>
        <v>26.75</v>
      </c>
      <c r="J179" s="42">
        <f>Source!AU55</f>
        <v>72</v>
      </c>
      <c r="K179" s="45">
        <f>SUM(T173:T178)</f>
        <v>1507.25</v>
      </c>
    </row>
    <row r="180" spans="1:29" ht="14.25" x14ac:dyDescent="0.2">
      <c r="A180" s="48"/>
      <c r="B180" s="48"/>
      <c r="C180" s="48" t="s">
        <v>860</v>
      </c>
      <c r="D180" s="49" t="s">
        <v>861</v>
      </c>
      <c r="E180" s="50">
        <f>Source!AQ54</f>
        <v>1.03</v>
      </c>
      <c r="F180" s="51"/>
      <c r="G180" s="52" t="s">
        <v>865</v>
      </c>
      <c r="H180" s="50">
        <f>Source!AV55</f>
        <v>1.0669999999999999</v>
      </c>
      <c r="I180" s="51">
        <f>Source!U54</f>
        <v>3.1651487999999994</v>
      </c>
      <c r="J180" s="50"/>
      <c r="K180" s="51"/>
    </row>
    <row r="181" spans="1:29" ht="15" x14ac:dyDescent="0.2">
      <c r="C181" s="53" t="s">
        <v>862</v>
      </c>
      <c r="H181" s="54">
        <f>I174+I175+I177+I178+I179+0-0-0</f>
        <v>120.27</v>
      </c>
      <c r="I181" s="54"/>
      <c r="J181" s="54">
        <f>K174+K175+K177+K178+K179+0-0-0</f>
        <v>6216.1100000000006</v>
      </c>
      <c r="K181" s="54"/>
    </row>
    <row r="182" spans="1:29" ht="15" hidden="1" x14ac:dyDescent="0.2">
      <c r="C182" s="53" t="s">
        <v>863</v>
      </c>
      <c r="H182" s="56">
        <f>0+0</f>
        <v>0</v>
      </c>
      <c r="I182" s="56"/>
      <c r="J182" s="56">
        <f>0+0</f>
        <v>0</v>
      </c>
      <c r="K182" s="56"/>
    </row>
    <row r="183" spans="1:29" ht="15" x14ac:dyDescent="0.2">
      <c r="C183" s="53" t="s">
        <v>864</v>
      </c>
      <c r="H183" s="56">
        <f>I174+I175+I177+I178+I179+0</f>
        <v>120.27</v>
      </c>
      <c r="I183" s="56"/>
      <c r="J183" s="56">
        <f>K174+K175+K177+K178+K179+0</f>
        <v>6216.1100000000006</v>
      </c>
      <c r="K183" s="56"/>
      <c r="O183" s="57">
        <f>I174+I175+I177+I178+I179+0</f>
        <v>120.27</v>
      </c>
      <c r="P183" s="57">
        <f>K174+K175+K177+K178+K179+0</f>
        <v>6216.1100000000006</v>
      </c>
    </row>
    <row r="185" spans="1:29" ht="42.75" x14ac:dyDescent="0.2">
      <c r="A185" s="41">
        <v>15</v>
      </c>
      <c r="B185" s="41" t="str">
        <f>Source!F56</f>
        <v>3.17-12-1</v>
      </c>
      <c r="C185" s="41" t="s">
        <v>110</v>
      </c>
      <c r="D185" s="43" t="str">
        <f>Source!H56</f>
        <v>100 шт.</v>
      </c>
      <c r="E185" s="42">
        <f>Source!I56</f>
        <v>0.04</v>
      </c>
      <c r="F185" s="45"/>
      <c r="G185" s="44"/>
      <c r="H185" s="42"/>
      <c r="I185" s="45"/>
      <c r="J185" s="42"/>
      <c r="K185" s="45"/>
      <c r="Q185">
        <f>Source!X56</f>
        <v>10.32</v>
      </c>
      <c r="R185">
        <f>Source!X57</f>
        <v>581.6</v>
      </c>
      <c r="S185">
        <f>Source!Y56</f>
        <v>6.14</v>
      </c>
      <c r="T185">
        <f>Source!Y57</f>
        <v>346.08</v>
      </c>
      <c r="U185">
        <f>ROUND((175/100)*ROUND(Source!R56, 2), 2)</f>
        <v>0.02</v>
      </c>
      <c r="V185">
        <f>ROUND((0/100)*ROUND(Source!R57, 2), 2)</f>
        <v>0</v>
      </c>
      <c r="AC185">
        <v>0</v>
      </c>
    </row>
    <row r="186" spans="1:29" x14ac:dyDescent="0.2">
      <c r="C186" s="58" t="str">
        <f>"Объем: "&amp;Source!I56&amp;"=4/"&amp;"100"</f>
        <v>Объем: 0,04=4/100</v>
      </c>
    </row>
    <row r="187" spans="1:29" ht="14.25" x14ac:dyDescent="0.2">
      <c r="A187" s="41"/>
      <c r="B187" s="41"/>
      <c r="C187" s="41" t="s">
        <v>853</v>
      </c>
      <c r="D187" s="43"/>
      <c r="E187" s="42"/>
      <c r="F187" s="45">
        <f>Source!AO56</f>
        <v>277.20999999999998</v>
      </c>
      <c r="G187" s="46" t="s">
        <v>865</v>
      </c>
      <c r="H187" s="42">
        <f>Source!AV57</f>
        <v>1.0669999999999999</v>
      </c>
      <c r="I187" s="45">
        <f>Source!S56</f>
        <v>8.52</v>
      </c>
      <c r="J187" s="42">
        <f>IF(Source!BA57&lt;&gt; 0, Source!BA57, 1)</f>
        <v>56.35</v>
      </c>
      <c r="K187" s="45">
        <f>Source!S57</f>
        <v>480.1</v>
      </c>
    </row>
    <row r="188" spans="1:29" ht="14.25" x14ac:dyDescent="0.2">
      <c r="A188" s="41"/>
      <c r="B188" s="41"/>
      <c r="C188" s="41" t="s">
        <v>855</v>
      </c>
      <c r="D188" s="43"/>
      <c r="E188" s="42"/>
      <c r="F188" s="45">
        <f>Source!AM56</f>
        <v>7.82</v>
      </c>
      <c r="G188" s="46" t="s">
        <v>865</v>
      </c>
      <c r="H188" s="42">
        <f>Source!AV57</f>
        <v>1.0669999999999999</v>
      </c>
      <c r="I188" s="45">
        <f>Source!Q56</f>
        <v>0.24</v>
      </c>
      <c r="J188" s="42">
        <f>IF(Source!BB57&lt;&gt; 0, Source!BB57, 1)</f>
        <v>11.16</v>
      </c>
      <c r="K188" s="45">
        <f>Source!Q57</f>
        <v>2.68</v>
      </c>
    </row>
    <row r="189" spans="1:29" ht="14.25" x14ac:dyDescent="0.2">
      <c r="A189" s="41"/>
      <c r="B189" s="41"/>
      <c r="C189" s="41" t="s">
        <v>856</v>
      </c>
      <c r="D189" s="43"/>
      <c r="E189" s="42"/>
      <c r="F189" s="45">
        <f>Source!AN56</f>
        <v>0.25</v>
      </c>
      <c r="G189" s="46" t="s">
        <v>865</v>
      </c>
      <c r="H189" s="42">
        <f>Source!AV57</f>
        <v>1.0669999999999999</v>
      </c>
      <c r="I189" s="47">
        <f>Source!R56</f>
        <v>0.01</v>
      </c>
      <c r="J189" s="42">
        <f>IF(Source!BS57&lt;&gt; 0, Source!BS57, 1)</f>
        <v>56.35</v>
      </c>
      <c r="K189" s="47">
        <f>Source!R57</f>
        <v>0.56000000000000005</v>
      </c>
    </row>
    <row r="190" spans="1:29" ht="14.25" x14ac:dyDescent="0.2">
      <c r="A190" s="41"/>
      <c r="B190" s="41"/>
      <c r="C190" s="41" t="s">
        <v>866</v>
      </c>
      <c r="D190" s="43"/>
      <c r="E190" s="42"/>
      <c r="F190" s="45">
        <f>Source!AL56</f>
        <v>356.04</v>
      </c>
      <c r="G190" s="46" t="s">
        <v>867</v>
      </c>
      <c r="H190" s="42">
        <f>Source!AW57</f>
        <v>1</v>
      </c>
      <c r="I190" s="45">
        <f>Source!P56</f>
        <v>8.5399999999999991</v>
      </c>
      <c r="J190" s="42">
        <f>IF(Source!BC57&lt;&gt; 0, Source!BC57, 1)</f>
        <v>3.42</v>
      </c>
      <c r="K190" s="45">
        <f>Source!P57</f>
        <v>29.21</v>
      </c>
    </row>
    <row r="191" spans="1:29" ht="14.25" x14ac:dyDescent="0.2">
      <c r="A191" s="41"/>
      <c r="B191" s="41"/>
      <c r="C191" s="41" t="s">
        <v>857</v>
      </c>
      <c r="D191" s="43" t="s">
        <v>858</v>
      </c>
      <c r="E191" s="42">
        <f>Source!BZ57</f>
        <v>121</v>
      </c>
      <c r="F191" s="45"/>
      <c r="G191" s="44"/>
      <c r="H191" s="42"/>
      <c r="I191" s="45">
        <f>SUM(Q185:Q190)</f>
        <v>10.32</v>
      </c>
      <c r="J191" s="42">
        <f>Source!AT57</f>
        <v>121</v>
      </c>
      <c r="K191" s="45">
        <f>SUM(R185:R190)</f>
        <v>581.6</v>
      </c>
    </row>
    <row r="192" spans="1:29" ht="14.25" x14ac:dyDescent="0.2">
      <c r="A192" s="41"/>
      <c r="B192" s="41"/>
      <c r="C192" s="41" t="s">
        <v>859</v>
      </c>
      <c r="D192" s="43" t="s">
        <v>858</v>
      </c>
      <c r="E192" s="42">
        <f>Source!CA57</f>
        <v>72</v>
      </c>
      <c r="F192" s="45"/>
      <c r="G192" s="44"/>
      <c r="H192" s="42"/>
      <c r="I192" s="45">
        <f>SUM(S185:S191)</f>
        <v>6.14</v>
      </c>
      <c r="J192" s="42">
        <f>Source!AU57</f>
        <v>72</v>
      </c>
      <c r="K192" s="45">
        <f>SUM(T185:T191)</f>
        <v>346.08</v>
      </c>
    </row>
    <row r="193" spans="1:29" ht="14.25" x14ac:dyDescent="0.2">
      <c r="A193" s="48"/>
      <c r="B193" s="48"/>
      <c r="C193" s="48" t="s">
        <v>860</v>
      </c>
      <c r="D193" s="49" t="s">
        <v>861</v>
      </c>
      <c r="E193" s="50">
        <f>Source!AQ56</f>
        <v>24.8</v>
      </c>
      <c r="F193" s="51"/>
      <c r="G193" s="52" t="s">
        <v>865</v>
      </c>
      <c r="H193" s="50">
        <f>Source!AV57</f>
        <v>1.0669999999999999</v>
      </c>
      <c r="I193" s="51">
        <f>Source!U56</f>
        <v>0.76209407999999979</v>
      </c>
      <c r="J193" s="50"/>
      <c r="K193" s="51"/>
    </row>
    <row r="194" spans="1:29" ht="15" x14ac:dyDescent="0.2">
      <c r="C194" s="53" t="s">
        <v>862</v>
      </c>
      <c r="H194" s="54">
        <f>I187+I188+I190+I191+I192+0-0-0</f>
        <v>33.76</v>
      </c>
      <c r="I194" s="54"/>
      <c r="J194" s="54">
        <f>K187+K188+K190+K191+K192+0-0-0</f>
        <v>1439.67</v>
      </c>
      <c r="K194" s="54"/>
    </row>
    <row r="195" spans="1:29" ht="15" hidden="1" x14ac:dyDescent="0.2">
      <c r="C195" s="53" t="s">
        <v>863</v>
      </c>
      <c r="H195" s="56">
        <f>0+0</f>
        <v>0</v>
      </c>
      <c r="I195" s="56"/>
      <c r="J195" s="56">
        <f>0+0</f>
        <v>0</v>
      </c>
      <c r="K195" s="56"/>
    </row>
    <row r="196" spans="1:29" ht="15" x14ac:dyDescent="0.2">
      <c r="C196" s="53" t="s">
        <v>864</v>
      </c>
      <c r="H196" s="56">
        <f>I187+I188+I190+I191+I192+0</f>
        <v>33.76</v>
      </c>
      <c r="I196" s="56"/>
      <c r="J196" s="56">
        <f>K187+K188+K190+K191+K192+0</f>
        <v>1439.67</v>
      </c>
      <c r="K196" s="56"/>
      <c r="O196" s="57">
        <f>I187+I188+I190+I191+I192+0</f>
        <v>33.76</v>
      </c>
      <c r="P196" s="57">
        <f>K187+K188+K190+K191+K192+0</f>
        <v>1439.67</v>
      </c>
    </row>
    <row r="198" spans="1:29" ht="14.25" x14ac:dyDescent="0.2">
      <c r="A198" s="41">
        <v>16</v>
      </c>
      <c r="B198" s="41" t="str">
        <f>Source!F58</f>
        <v>6.67-6-1</v>
      </c>
      <c r="C198" s="41" t="s">
        <v>116</v>
      </c>
      <c r="D198" s="43" t="str">
        <f>Source!H58</f>
        <v>100 м</v>
      </c>
      <c r="E198" s="42">
        <f>Source!I58</f>
        <v>0.92</v>
      </c>
      <c r="F198" s="45"/>
      <c r="G198" s="44"/>
      <c r="H198" s="42"/>
      <c r="I198" s="45"/>
      <c r="J198" s="42"/>
      <c r="K198" s="45"/>
      <c r="Q198">
        <f>Source!X58</f>
        <v>103.63</v>
      </c>
      <c r="R198">
        <f>Source!X59</f>
        <v>5839.6</v>
      </c>
      <c r="S198">
        <f>Source!Y58</f>
        <v>54.66</v>
      </c>
      <c r="T198">
        <f>Source!Y59</f>
        <v>3080.23</v>
      </c>
      <c r="U198">
        <f>ROUND((175/100)*ROUND(Source!R58, 2), 2)</f>
        <v>0</v>
      </c>
      <c r="V198">
        <f>ROUND((0/100)*ROUND(Source!R59, 2), 2)</f>
        <v>0</v>
      </c>
      <c r="AC198">
        <v>0</v>
      </c>
    </row>
    <row r="199" spans="1:29" x14ac:dyDescent="0.2">
      <c r="C199" s="58" t="str">
        <f>"Объем: "&amp;Source!I58&amp;"=92/"&amp;"100"</f>
        <v>Объем: 0,92=92/100</v>
      </c>
    </row>
    <row r="200" spans="1:29" ht="14.25" x14ac:dyDescent="0.2">
      <c r="A200" s="41"/>
      <c r="B200" s="41"/>
      <c r="C200" s="41" t="s">
        <v>853</v>
      </c>
      <c r="D200" s="43"/>
      <c r="E200" s="42"/>
      <c r="F200" s="45">
        <f>Source!AO58</f>
        <v>98.52</v>
      </c>
      <c r="G200" s="46" t="s">
        <v>196</v>
      </c>
      <c r="H200" s="42">
        <f>Source!AV59</f>
        <v>1.0469999999999999</v>
      </c>
      <c r="I200" s="45">
        <f>Source!S58</f>
        <v>113.88</v>
      </c>
      <c r="J200" s="42">
        <f>IF(Source!BA59&lt;&gt; 0, Source!BA59, 1)</f>
        <v>56.35</v>
      </c>
      <c r="K200" s="45">
        <f>Source!S59</f>
        <v>6417.14</v>
      </c>
    </row>
    <row r="201" spans="1:29" ht="14.25" x14ac:dyDescent="0.2">
      <c r="A201" s="41"/>
      <c r="B201" s="41"/>
      <c r="C201" s="41" t="s">
        <v>857</v>
      </c>
      <c r="D201" s="43" t="s">
        <v>858</v>
      </c>
      <c r="E201" s="42">
        <f>Source!BZ59</f>
        <v>91</v>
      </c>
      <c r="F201" s="45"/>
      <c r="G201" s="44"/>
      <c r="H201" s="42"/>
      <c r="I201" s="45">
        <f>SUM(Q198:Q200)</f>
        <v>103.63</v>
      </c>
      <c r="J201" s="42">
        <f>Source!AT59</f>
        <v>91</v>
      </c>
      <c r="K201" s="45">
        <f>SUM(R198:R200)</f>
        <v>5839.6</v>
      </c>
    </row>
    <row r="202" spans="1:29" ht="14.25" x14ac:dyDescent="0.2">
      <c r="A202" s="41"/>
      <c r="B202" s="41"/>
      <c r="C202" s="41" t="s">
        <v>859</v>
      </c>
      <c r="D202" s="43" t="s">
        <v>858</v>
      </c>
      <c r="E202" s="42">
        <f>Source!CA59</f>
        <v>48</v>
      </c>
      <c r="F202" s="45"/>
      <c r="G202" s="44"/>
      <c r="H202" s="42"/>
      <c r="I202" s="45">
        <f>SUM(S198:S201)</f>
        <v>54.66</v>
      </c>
      <c r="J202" s="42">
        <f>Source!AU59</f>
        <v>48</v>
      </c>
      <c r="K202" s="45">
        <f>SUM(T198:T201)</f>
        <v>3080.23</v>
      </c>
    </row>
    <row r="203" spans="1:29" ht="14.25" x14ac:dyDescent="0.2">
      <c r="A203" s="48"/>
      <c r="B203" s="48"/>
      <c r="C203" s="48" t="s">
        <v>860</v>
      </c>
      <c r="D203" s="49" t="s">
        <v>861</v>
      </c>
      <c r="E203" s="50">
        <f>Source!AQ58</f>
        <v>9.64</v>
      </c>
      <c r="F203" s="51"/>
      <c r="G203" s="52" t="s">
        <v>196</v>
      </c>
      <c r="H203" s="50">
        <f>Source!AV59</f>
        <v>1.0469999999999999</v>
      </c>
      <c r="I203" s="51">
        <f>Source!U58</f>
        <v>11.142760319999999</v>
      </c>
      <c r="J203" s="50"/>
      <c r="K203" s="51"/>
    </row>
    <row r="204" spans="1:29" ht="15" x14ac:dyDescent="0.2">
      <c r="C204" s="53" t="s">
        <v>862</v>
      </c>
      <c r="H204" s="54">
        <f>I200+I201+I202+0-0-0</f>
        <v>272.16999999999996</v>
      </c>
      <c r="I204" s="54"/>
      <c r="J204" s="54">
        <f>K200+K201+K202+0-0-0</f>
        <v>15336.970000000001</v>
      </c>
      <c r="K204" s="54"/>
    </row>
    <row r="205" spans="1:29" ht="15" hidden="1" x14ac:dyDescent="0.2">
      <c r="C205" s="53" t="s">
        <v>863</v>
      </c>
      <c r="H205" s="56">
        <f>0+0</f>
        <v>0</v>
      </c>
      <c r="I205" s="56"/>
      <c r="J205" s="56">
        <f>0+0</f>
        <v>0</v>
      </c>
      <c r="K205" s="56"/>
    </row>
    <row r="206" spans="1:29" ht="15" x14ac:dyDescent="0.2">
      <c r="C206" s="53" t="s">
        <v>864</v>
      </c>
      <c r="H206" s="56">
        <f>I200+I201+I202+0</f>
        <v>272.16999999999996</v>
      </c>
      <c r="I206" s="56"/>
      <c r="J206" s="56">
        <f>K200+K201+K202+0</f>
        <v>15336.970000000001</v>
      </c>
      <c r="K206" s="56"/>
      <c r="O206" s="57">
        <f>I200+I201+I202+0</f>
        <v>272.16999999999996</v>
      </c>
      <c r="P206" s="57">
        <f>K200+K201+K202+0</f>
        <v>15336.970000000001</v>
      </c>
    </row>
    <row r="208" spans="1:29" ht="57" x14ac:dyDescent="0.2">
      <c r="A208" s="41">
        <v>17</v>
      </c>
      <c r="B208" s="41" t="str">
        <f>Source!F62</f>
        <v>4.10-185-3</v>
      </c>
      <c r="C208" s="41" t="s">
        <v>130</v>
      </c>
      <c r="D208" s="43" t="str">
        <f>Source!H62</f>
        <v>100 м</v>
      </c>
      <c r="E208" s="42">
        <f>Source!I62</f>
        <v>7.94</v>
      </c>
      <c r="F208" s="45"/>
      <c r="G208" s="44"/>
      <c r="H208" s="42"/>
      <c r="I208" s="45"/>
      <c r="J208" s="42"/>
      <c r="K208" s="45"/>
      <c r="Q208">
        <f>Source!X62</f>
        <v>792.45</v>
      </c>
      <c r="R208">
        <f>Source!X63</f>
        <v>44654.559999999998</v>
      </c>
      <c r="S208">
        <f>Source!Y62</f>
        <v>405.03</v>
      </c>
      <c r="T208">
        <f>Source!Y63</f>
        <v>22823.439999999999</v>
      </c>
      <c r="U208">
        <f>ROUND((175/100)*ROUND(Source!R62, 2), 2)</f>
        <v>0</v>
      </c>
      <c r="V208">
        <f>ROUND((0/100)*ROUND(Source!R63, 2), 2)</f>
        <v>0</v>
      </c>
      <c r="AC208">
        <v>0</v>
      </c>
    </row>
    <row r="209" spans="1:43" x14ac:dyDescent="0.2">
      <c r="C209" s="58" t="str">
        <f>"Объем: "&amp;Source!I62&amp;"=(642+"&amp;"150+"&amp;"2)/"&amp;"100"</f>
        <v>Объем: 7,94=(642+150+2)/100</v>
      </c>
    </row>
    <row r="210" spans="1:43" ht="14.25" x14ac:dyDescent="0.2">
      <c r="A210" s="41"/>
      <c r="B210" s="41"/>
      <c r="C210" s="41" t="s">
        <v>853</v>
      </c>
      <c r="D210" s="43"/>
      <c r="E210" s="42"/>
      <c r="F210" s="45">
        <f>Source!AO62</f>
        <v>294.20999999999998</v>
      </c>
      <c r="G210" s="46" t="s">
        <v>854</v>
      </c>
      <c r="H210" s="42">
        <f>Source!AV63</f>
        <v>1.0469999999999999</v>
      </c>
      <c r="I210" s="45">
        <f>Source!S62</f>
        <v>880.5</v>
      </c>
      <c r="J210" s="42">
        <f>IF(Source!BA63&lt;&gt; 0, Source!BA63, 1)</f>
        <v>56.35</v>
      </c>
      <c r="K210" s="45">
        <f>Source!S63</f>
        <v>49616.18</v>
      </c>
    </row>
    <row r="211" spans="1:43" ht="14.25" x14ac:dyDescent="0.2">
      <c r="A211" s="41"/>
      <c r="B211" s="41"/>
      <c r="C211" s="41" t="s">
        <v>855</v>
      </c>
      <c r="D211" s="43"/>
      <c r="E211" s="42"/>
      <c r="F211" s="45">
        <f>Source!AM62</f>
        <v>4.05</v>
      </c>
      <c r="G211" s="46" t="s">
        <v>854</v>
      </c>
      <c r="H211" s="42">
        <f>Source!AV63</f>
        <v>1.0469999999999999</v>
      </c>
      <c r="I211" s="45">
        <f>Source!Q62</f>
        <v>12.12</v>
      </c>
      <c r="J211" s="42">
        <f>IF(Source!BB63&lt;&gt; 0, Source!BB63, 1)</f>
        <v>9.6199999999999992</v>
      </c>
      <c r="K211" s="45">
        <f>Source!Q63</f>
        <v>116.59</v>
      </c>
    </row>
    <row r="212" spans="1:43" ht="14.25" x14ac:dyDescent="0.2">
      <c r="A212" s="41"/>
      <c r="B212" s="41"/>
      <c r="C212" s="41" t="s">
        <v>857</v>
      </c>
      <c r="D212" s="43" t="s">
        <v>858</v>
      </c>
      <c r="E212" s="42">
        <f>Source!BZ63</f>
        <v>90</v>
      </c>
      <c r="F212" s="45"/>
      <c r="G212" s="44"/>
      <c r="H212" s="42"/>
      <c r="I212" s="45">
        <f>SUM(Q208:Q211)</f>
        <v>792.45</v>
      </c>
      <c r="J212" s="42">
        <f>Source!AT63</f>
        <v>90</v>
      </c>
      <c r="K212" s="45">
        <f>SUM(R208:R211)</f>
        <v>44654.559999999998</v>
      </c>
    </row>
    <row r="213" spans="1:43" ht="14.25" x14ac:dyDescent="0.2">
      <c r="A213" s="41"/>
      <c r="B213" s="41"/>
      <c r="C213" s="41" t="s">
        <v>859</v>
      </c>
      <c r="D213" s="43" t="s">
        <v>858</v>
      </c>
      <c r="E213" s="42">
        <f>Source!CA63</f>
        <v>46</v>
      </c>
      <c r="F213" s="45"/>
      <c r="G213" s="44"/>
      <c r="H213" s="42"/>
      <c r="I213" s="45">
        <f>SUM(S208:S212)</f>
        <v>405.03</v>
      </c>
      <c r="J213" s="42">
        <f>Source!AU63</f>
        <v>46</v>
      </c>
      <c r="K213" s="45">
        <f>SUM(T208:T212)</f>
        <v>22823.439999999999</v>
      </c>
    </row>
    <row r="214" spans="1:43" ht="14.25" x14ac:dyDescent="0.2">
      <c r="A214" s="48"/>
      <c r="B214" s="48"/>
      <c r="C214" s="48" t="s">
        <v>860</v>
      </c>
      <c r="D214" s="49" t="s">
        <v>861</v>
      </c>
      <c r="E214" s="50">
        <f>Source!AQ62</f>
        <v>24.76</v>
      </c>
      <c r="F214" s="51"/>
      <c r="G214" s="52" t="s">
        <v>854</v>
      </c>
      <c r="H214" s="50">
        <f>Source!AV63</f>
        <v>1.0469999999999999</v>
      </c>
      <c r="I214" s="51">
        <f>Source!U62</f>
        <v>74.100361247999984</v>
      </c>
      <c r="J214" s="50"/>
      <c r="K214" s="51"/>
    </row>
    <row r="215" spans="1:43" ht="15" x14ac:dyDescent="0.2">
      <c r="C215" s="53" t="s">
        <v>862</v>
      </c>
      <c r="H215" s="54">
        <f>I210+I211+I212+I213+0-0-0</f>
        <v>2090.1000000000004</v>
      </c>
      <c r="I215" s="54"/>
      <c r="J215" s="54">
        <f>K210+K211+K212+K213+0-0-0</f>
        <v>117210.76999999999</v>
      </c>
      <c r="K215" s="54"/>
    </row>
    <row r="216" spans="1:43" ht="15" hidden="1" x14ac:dyDescent="0.2">
      <c r="C216" s="53" t="s">
        <v>863</v>
      </c>
      <c r="H216" s="56">
        <f>0+0</f>
        <v>0</v>
      </c>
      <c r="I216" s="56"/>
      <c r="J216" s="56">
        <f>0+0</f>
        <v>0</v>
      </c>
      <c r="K216" s="56"/>
    </row>
    <row r="217" spans="1:43" ht="15" x14ac:dyDescent="0.2">
      <c r="C217" s="53" t="s">
        <v>864</v>
      </c>
      <c r="H217" s="56">
        <f>I210+I211+I212+I213+0</f>
        <v>2090.1000000000004</v>
      </c>
      <c r="I217" s="56"/>
      <c r="J217" s="56">
        <f>K210+K211+K212+K213+0</f>
        <v>117210.76999999999</v>
      </c>
      <c r="K217" s="56"/>
      <c r="O217" s="57">
        <f>I210+I211+I212+I213+0</f>
        <v>2090.1000000000004</v>
      </c>
      <c r="P217" s="57">
        <f>K210+K211+K212+K213+0</f>
        <v>117210.76999999999</v>
      </c>
    </row>
    <row r="220" spans="1:43" ht="30" x14ac:dyDescent="0.25">
      <c r="A220" s="59" t="str">
        <f>CONCATENATE("Итого по разделу: ",IF(Source!G65&lt;&gt;"Новый раздел", Source!G65, ""))</f>
        <v>Итого по разделу: Демонтажные работы (Письмо от АНО «РГТ» об утверждении объёмов демонтажных работ)</v>
      </c>
      <c r="B220" s="59"/>
      <c r="C220" s="59"/>
      <c r="D220" s="59"/>
      <c r="E220" s="59"/>
      <c r="F220" s="59"/>
      <c r="G220" s="59"/>
      <c r="H220" s="56">
        <f>SUM(O31:O219)</f>
        <v>4028.2000000000007</v>
      </c>
      <c r="I220" s="55"/>
      <c r="J220" s="56">
        <f>SUM(P31:P219)</f>
        <v>217746.57</v>
      </c>
      <c r="K220" s="55"/>
      <c r="AQ220" s="60" t="str">
        <f>CONCATENATE("Итого по разделу: ",IF(Source!G65&lt;&gt;"Новый раздел", Source!G65, ""))</f>
        <v>Итого по разделу: Демонтажные работы (Письмо от АНО «РГТ» об утверждении объёмов демонтажных работ)</v>
      </c>
    </row>
    <row r="221" spans="1:43" hidden="1" x14ac:dyDescent="0.2">
      <c r="A221" t="s">
        <v>868</v>
      </c>
      <c r="I221">
        <f>SUM(W31:W220)</f>
        <v>0</v>
      </c>
      <c r="J221">
        <f>SUM(X31:X220)</f>
        <v>0</v>
      </c>
    </row>
    <row r="222" spans="1:43" hidden="1" x14ac:dyDescent="0.2">
      <c r="A222" t="s">
        <v>869</v>
      </c>
      <c r="I222">
        <f>SUM(Y31:Y221)</f>
        <v>0</v>
      </c>
      <c r="J222">
        <f>SUM(Z31:Z221)</f>
        <v>0</v>
      </c>
    </row>
    <row r="224" spans="1:43" ht="16.5" x14ac:dyDescent="0.2">
      <c r="A224" s="39" t="str">
        <f>CONCATENATE("Раздел: ",IF(Source!G95&lt;&gt;"Новый раздел", Source!G95, ""))</f>
        <v>Раздел: Оборудование</v>
      </c>
      <c r="B224" s="39"/>
      <c r="C224" s="39"/>
      <c r="D224" s="39"/>
      <c r="E224" s="39"/>
      <c r="F224" s="39"/>
      <c r="G224" s="39"/>
      <c r="H224" s="39"/>
      <c r="I224" s="39"/>
      <c r="J224" s="39"/>
      <c r="K224" s="39"/>
    </row>
    <row r="225" spans="1:29" ht="42.75" x14ac:dyDescent="0.2">
      <c r="A225" s="41">
        <v>18</v>
      </c>
      <c r="B225" s="41" t="str">
        <f>Source!F99</f>
        <v>4.10-80-5</v>
      </c>
      <c r="C225" s="41" t="s">
        <v>188</v>
      </c>
      <c r="D225" s="43" t="str">
        <f>Source!H99</f>
        <v>1  ШТ.</v>
      </c>
      <c r="E225" s="42">
        <f>Source!I99</f>
        <v>8</v>
      </c>
      <c r="F225" s="45"/>
      <c r="G225" s="44"/>
      <c r="H225" s="42"/>
      <c r="I225" s="45"/>
      <c r="J225" s="42"/>
      <c r="K225" s="45"/>
      <c r="Q225">
        <f>Source!X99</f>
        <v>208.51</v>
      </c>
      <c r="R225">
        <f>Source!X100</f>
        <v>11749.65</v>
      </c>
      <c r="S225">
        <f>Source!Y99</f>
        <v>106.57</v>
      </c>
      <c r="T225">
        <f>Source!Y100</f>
        <v>6005.38</v>
      </c>
      <c r="U225">
        <f>ROUND((175/100)*ROUND(Source!R99, 2), 2)</f>
        <v>0.18</v>
      </c>
      <c r="V225">
        <f>ROUND((0/100)*ROUND(Source!R100, 2), 2)</f>
        <v>0</v>
      </c>
      <c r="AC225">
        <v>0</v>
      </c>
    </row>
    <row r="226" spans="1:29" ht="14.25" x14ac:dyDescent="0.2">
      <c r="A226" s="41"/>
      <c r="B226" s="41"/>
      <c r="C226" s="41" t="s">
        <v>853</v>
      </c>
      <c r="D226" s="43"/>
      <c r="E226" s="42"/>
      <c r="F226" s="45">
        <f>Source!AO99</f>
        <v>23.04</v>
      </c>
      <c r="G226" s="46" t="s">
        <v>196</v>
      </c>
      <c r="H226" s="42">
        <f>Source!AV100</f>
        <v>1.0469999999999999</v>
      </c>
      <c r="I226" s="45">
        <f>Source!S99</f>
        <v>231.58</v>
      </c>
      <c r="J226" s="42">
        <f>IF(Source!BA100&lt;&gt; 0, Source!BA100, 1)</f>
        <v>56.35</v>
      </c>
      <c r="K226" s="45">
        <f>Source!S100</f>
        <v>13049.53</v>
      </c>
    </row>
    <row r="227" spans="1:29" ht="14.25" x14ac:dyDescent="0.2">
      <c r="A227" s="41"/>
      <c r="B227" s="41"/>
      <c r="C227" s="41" t="s">
        <v>855</v>
      </c>
      <c r="D227" s="43"/>
      <c r="E227" s="42"/>
      <c r="F227" s="45">
        <f>Source!AM99</f>
        <v>0.05</v>
      </c>
      <c r="G227" s="46" t="s">
        <v>196</v>
      </c>
      <c r="H227" s="42">
        <f>Source!AV100</f>
        <v>1.0469999999999999</v>
      </c>
      <c r="I227" s="45">
        <f>Source!Q99</f>
        <v>0.5</v>
      </c>
      <c r="J227" s="42">
        <f>IF(Source!BB100&lt;&gt; 0, Source!BB100, 1)</f>
        <v>20</v>
      </c>
      <c r="K227" s="45">
        <f>Source!Q100</f>
        <v>10</v>
      </c>
    </row>
    <row r="228" spans="1:29" ht="14.25" x14ac:dyDescent="0.2">
      <c r="A228" s="41"/>
      <c r="B228" s="41"/>
      <c r="C228" s="41" t="s">
        <v>856</v>
      </c>
      <c r="D228" s="43"/>
      <c r="E228" s="42"/>
      <c r="F228" s="45">
        <f>Source!AN99</f>
        <v>0.01</v>
      </c>
      <c r="G228" s="46" t="s">
        <v>196</v>
      </c>
      <c r="H228" s="42">
        <f>Source!AV100</f>
        <v>1.0469999999999999</v>
      </c>
      <c r="I228" s="47">
        <f>Source!R99</f>
        <v>0.1</v>
      </c>
      <c r="J228" s="42">
        <f>IF(Source!BS100&lt;&gt; 0, Source!BS100, 1)</f>
        <v>56.35</v>
      </c>
      <c r="K228" s="47">
        <f>Source!R100</f>
        <v>5.64</v>
      </c>
    </row>
    <row r="229" spans="1:29" ht="14.25" x14ac:dyDescent="0.2">
      <c r="A229" s="41"/>
      <c r="B229" s="41"/>
      <c r="C229" s="41" t="s">
        <v>866</v>
      </c>
      <c r="D229" s="43"/>
      <c r="E229" s="42"/>
      <c r="F229" s="45">
        <f>Source!AL99</f>
        <v>3.43</v>
      </c>
      <c r="G229" s="46" t="s">
        <v>3</v>
      </c>
      <c r="H229" s="42">
        <f>Source!AW100</f>
        <v>1</v>
      </c>
      <c r="I229" s="45">
        <f>Source!P99</f>
        <v>27.44</v>
      </c>
      <c r="J229" s="42">
        <f>IF(Source!BC100&lt;&gt; 0, Source!BC100, 1)</f>
        <v>9.84</v>
      </c>
      <c r="K229" s="45">
        <f>Source!P100</f>
        <v>270.01</v>
      </c>
    </row>
    <row r="230" spans="1:29" ht="14.25" x14ac:dyDescent="0.2">
      <c r="A230" s="41"/>
      <c r="B230" s="41"/>
      <c r="C230" s="41" t="s">
        <v>857</v>
      </c>
      <c r="D230" s="43" t="s">
        <v>858</v>
      </c>
      <c r="E230" s="42">
        <f>Source!BZ100</f>
        <v>90</v>
      </c>
      <c r="F230" s="45"/>
      <c r="G230" s="44"/>
      <c r="H230" s="42"/>
      <c r="I230" s="45">
        <f>SUM(Q225:Q229)</f>
        <v>208.51</v>
      </c>
      <c r="J230" s="42">
        <f>Source!AT100</f>
        <v>90</v>
      </c>
      <c r="K230" s="45">
        <f>SUM(R225:R229)</f>
        <v>11749.65</v>
      </c>
    </row>
    <row r="231" spans="1:29" ht="14.25" x14ac:dyDescent="0.2">
      <c r="A231" s="41"/>
      <c r="B231" s="41"/>
      <c r="C231" s="41" t="s">
        <v>859</v>
      </c>
      <c r="D231" s="43" t="s">
        <v>858</v>
      </c>
      <c r="E231" s="42">
        <f>Source!CA100</f>
        <v>46</v>
      </c>
      <c r="F231" s="45"/>
      <c r="G231" s="44"/>
      <c r="H231" s="42"/>
      <c r="I231" s="45">
        <f>SUM(S225:S230)</f>
        <v>106.57</v>
      </c>
      <c r="J231" s="42">
        <f>Source!AU100</f>
        <v>46</v>
      </c>
      <c r="K231" s="45">
        <f>SUM(T225:T230)</f>
        <v>6005.38</v>
      </c>
    </row>
    <row r="232" spans="1:29" ht="14.25" x14ac:dyDescent="0.2">
      <c r="A232" s="48"/>
      <c r="B232" s="48"/>
      <c r="C232" s="48" t="s">
        <v>860</v>
      </c>
      <c r="D232" s="49" t="s">
        <v>861</v>
      </c>
      <c r="E232" s="50">
        <f>Source!AQ99</f>
        <v>1.8</v>
      </c>
      <c r="F232" s="51"/>
      <c r="G232" s="52" t="s">
        <v>196</v>
      </c>
      <c r="H232" s="50">
        <f>Source!AV100</f>
        <v>1.0469999999999999</v>
      </c>
      <c r="I232" s="51">
        <f>Source!U99</f>
        <v>18.09216</v>
      </c>
      <c r="J232" s="50"/>
      <c r="K232" s="51"/>
    </row>
    <row r="233" spans="1:29" ht="15" x14ac:dyDescent="0.2">
      <c r="C233" s="53" t="s">
        <v>862</v>
      </c>
      <c r="H233" s="54">
        <f>I226+I227+I229+I230+I231+0-0-0</f>
        <v>574.6</v>
      </c>
      <c r="I233" s="54"/>
      <c r="J233" s="54">
        <f>K226+K227+K229+K230+K231+0-0-0</f>
        <v>31084.570000000003</v>
      </c>
      <c r="K233" s="54"/>
    </row>
    <row r="234" spans="1:29" ht="15" hidden="1" x14ac:dyDescent="0.2">
      <c r="C234" s="53" t="s">
        <v>863</v>
      </c>
      <c r="H234" s="56">
        <f>0+0</f>
        <v>0</v>
      </c>
      <c r="I234" s="56"/>
      <c r="J234" s="56">
        <f>0+0</f>
        <v>0</v>
      </c>
      <c r="K234" s="56"/>
    </row>
    <row r="235" spans="1:29" ht="15" x14ac:dyDescent="0.2">
      <c r="C235" s="53" t="s">
        <v>864</v>
      </c>
      <c r="H235" s="56">
        <f>I226+I227+I229+I230+I231+0</f>
        <v>574.6</v>
      </c>
      <c r="I235" s="56"/>
      <c r="J235" s="56">
        <f>K226+K227+K229+K230+K231+0</f>
        <v>31084.570000000003</v>
      </c>
      <c r="K235" s="56"/>
      <c r="O235" s="57">
        <f>I226+I227+I229+I230+I231+0</f>
        <v>574.6</v>
      </c>
      <c r="P235" s="57">
        <f>K226+K227+K229+K230+K231+0</f>
        <v>31084.570000000003</v>
      </c>
    </row>
    <row r="237" spans="1:29" ht="68.25" x14ac:dyDescent="0.2">
      <c r="A237" s="66">
        <v>19</v>
      </c>
      <c r="B237" s="66" t="str">
        <f>Source!F101</f>
        <v>КА, п.1</v>
      </c>
      <c r="C237" s="66" t="s">
        <v>870</v>
      </c>
      <c r="D237" s="67" t="str">
        <f>Source!H101</f>
        <v>ШТ</v>
      </c>
      <c r="E237" s="68">
        <f>Source!I101</f>
        <v>8</v>
      </c>
      <c r="F237" s="69">
        <f>Source!AL101</f>
        <v>834.54</v>
      </c>
      <c r="G237" s="70" t="s">
        <v>3</v>
      </c>
      <c r="H237" s="68">
        <f>Source!AW102</f>
        <v>1</v>
      </c>
      <c r="I237" s="69">
        <f>Source!P101</f>
        <v>6676.32</v>
      </c>
      <c r="J237" s="68">
        <f>IF(Source!BC102&lt;&gt; 0, Source!BC102, 1)</f>
        <v>7.57</v>
      </c>
      <c r="K237" s="69">
        <f>Source!P102</f>
        <v>50539.74</v>
      </c>
      <c r="Q237">
        <f>Source!X101</f>
        <v>0</v>
      </c>
      <c r="R237">
        <f>Source!X102</f>
        <v>0</v>
      </c>
      <c r="S237">
        <f>Source!Y101</f>
        <v>0</v>
      </c>
      <c r="T237">
        <f>Source!Y102</f>
        <v>0</v>
      </c>
      <c r="U237">
        <f>ROUND((175/100)*ROUND(Source!R101, 2), 2)</f>
        <v>0</v>
      </c>
      <c r="V237">
        <f>ROUND((0/100)*ROUND(Source!R102, 2), 2)</f>
        <v>0</v>
      </c>
      <c r="AC237">
        <v>5</v>
      </c>
    </row>
    <row r="238" spans="1:29" ht="15" x14ac:dyDescent="0.2">
      <c r="A238" s="71"/>
      <c r="B238" s="71"/>
      <c r="C238" s="72" t="s">
        <v>864</v>
      </c>
      <c r="D238" s="71"/>
      <c r="E238" s="71"/>
      <c r="F238" s="71"/>
      <c r="G238" s="71"/>
      <c r="H238" s="73">
        <f>I237+0</f>
        <v>6676.32</v>
      </c>
      <c r="I238" s="73"/>
      <c r="J238" s="73">
        <f>K237+0</f>
        <v>50539.74</v>
      </c>
      <c r="K238" s="73"/>
      <c r="O238" s="57">
        <f>I237+0</f>
        <v>6676.32</v>
      </c>
      <c r="P238" s="57">
        <f>K237+0</f>
        <v>50539.74</v>
      </c>
    </row>
    <row r="240" spans="1:29" ht="57" x14ac:dyDescent="0.2">
      <c r="A240" s="41">
        <v>20</v>
      </c>
      <c r="B240" s="41" t="str">
        <f>Source!F103</f>
        <v>4.10-80-1</v>
      </c>
      <c r="C240" s="41" t="s">
        <v>199</v>
      </c>
      <c r="D240" s="43" t="str">
        <f>Source!H103</f>
        <v>1  ШТ.</v>
      </c>
      <c r="E240" s="42">
        <f>Source!I103</f>
        <v>1</v>
      </c>
      <c r="F240" s="45"/>
      <c r="G240" s="44"/>
      <c r="H240" s="42"/>
      <c r="I240" s="45"/>
      <c r="J240" s="42"/>
      <c r="K240" s="45"/>
      <c r="Q240">
        <f>Source!X103</f>
        <v>89.57</v>
      </c>
      <c r="R240">
        <f>Source!X104</f>
        <v>5047.16</v>
      </c>
      <c r="S240">
        <f>Source!Y103</f>
        <v>45.78</v>
      </c>
      <c r="T240">
        <f>Source!Y104</f>
        <v>2579.66</v>
      </c>
      <c r="U240">
        <f>ROUND((175/100)*ROUND(Source!R103, 2), 2)</f>
        <v>0.02</v>
      </c>
      <c r="V240">
        <f>ROUND((0/100)*ROUND(Source!R104, 2), 2)</f>
        <v>0</v>
      </c>
      <c r="AC240">
        <v>0</v>
      </c>
    </row>
    <row r="241" spans="1:29" ht="14.25" x14ac:dyDescent="0.2">
      <c r="A241" s="41"/>
      <c r="B241" s="41"/>
      <c r="C241" s="41" t="s">
        <v>853</v>
      </c>
      <c r="D241" s="43"/>
      <c r="E241" s="42"/>
      <c r="F241" s="45">
        <f>Source!AO103</f>
        <v>95.04</v>
      </c>
      <c r="G241" s="46" t="s">
        <v>3</v>
      </c>
      <c r="H241" s="42">
        <f>Source!AV104</f>
        <v>1.0469999999999999</v>
      </c>
      <c r="I241" s="45">
        <f>Source!S103</f>
        <v>99.51</v>
      </c>
      <c r="J241" s="42">
        <f>IF(Source!BA104&lt;&gt; 0, Source!BA104, 1)</f>
        <v>56.35</v>
      </c>
      <c r="K241" s="45">
        <f>Source!S104</f>
        <v>5607.39</v>
      </c>
    </row>
    <row r="242" spans="1:29" ht="14.25" x14ac:dyDescent="0.2">
      <c r="A242" s="41"/>
      <c r="B242" s="41"/>
      <c r="C242" s="41" t="s">
        <v>855</v>
      </c>
      <c r="D242" s="43"/>
      <c r="E242" s="42"/>
      <c r="F242" s="45">
        <f>Source!AM103</f>
        <v>0.06</v>
      </c>
      <c r="G242" s="46" t="s">
        <v>3</v>
      </c>
      <c r="H242" s="42">
        <f>Source!AV104</f>
        <v>1.0469999999999999</v>
      </c>
      <c r="I242" s="45">
        <f>Source!Q103</f>
        <v>0.06</v>
      </c>
      <c r="J242" s="42">
        <f>IF(Source!BB104&lt;&gt; 0, Source!BB104, 1)</f>
        <v>18.5</v>
      </c>
      <c r="K242" s="45">
        <f>Source!Q104</f>
        <v>1.1100000000000001</v>
      </c>
    </row>
    <row r="243" spans="1:29" ht="14.25" x14ac:dyDescent="0.2">
      <c r="A243" s="41"/>
      <c r="B243" s="41"/>
      <c r="C243" s="41" t="s">
        <v>856</v>
      </c>
      <c r="D243" s="43"/>
      <c r="E243" s="42"/>
      <c r="F243" s="45">
        <f>Source!AN103</f>
        <v>0.01</v>
      </c>
      <c r="G243" s="46" t="s">
        <v>3</v>
      </c>
      <c r="H243" s="42">
        <f>Source!AV104</f>
        <v>1.0469999999999999</v>
      </c>
      <c r="I243" s="47">
        <f>Source!R103</f>
        <v>0.01</v>
      </c>
      <c r="J243" s="42">
        <f>IF(Source!BS104&lt;&gt; 0, Source!BS104, 1)</f>
        <v>56.35</v>
      </c>
      <c r="K243" s="47">
        <f>Source!R104</f>
        <v>0.56000000000000005</v>
      </c>
    </row>
    <row r="244" spans="1:29" ht="14.25" x14ac:dyDescent="0.2">
      <c r="A244" s="41"/>
      <c r="B244" s="41"/>
      <c r="C244" s="41" t="s">
        <v>866</v>
      </c>
      <c r="D244" s="43"/>
      <c r="E244" s="42"/>
      <c r="F244" s="45">
        <f>Source!AL103</f>
        <v>12.53</v>
      </c>
      <c r="G244" s="46" t="s">
        <v>3</v>
      </c>
      <c r="H244" s="42">
        <f>Source!AW104</f>
        <v>1</v>
      </c>
      <c r="I244" s="45">
        <f>Source!P103</f>
        <v>12.53</v>
      </c>
      <c r="J244" s="42">
        <f>IF(Source!BC104&lt;&gt; 0, Source!BC104, 1)</f>
        <v>9.84</v>
      </c>
      <c r="K244" s="45">
        <f>Source!P104</f>
        <v>123.3</v>
      </c>
    </row>
    <row r="245" spans="1:29" ht="14.25" x14ac:dyDescent="0.2">
      <c r="A245" s="41"/>
      <c r="B245" s="41"/>
      <c r="C245" s="41" t="s">
        <v>857</v>
      </c>
      <c r="D245" s="43" t="s">
        <v>858</v>
      </c>
      <c r="E245" s="42">
        <f>Source!BZ104</f>
        <v>90</v>
      </c>
      <c r="F245" s="45"/>
      <c r="G245" s="44"/>
      <c r="H245" s="42"/>
      <c r="I245" s="45">
        <f>SUM(Q240:Q244)</f>
        <v>89.57</v>
      </c>
      <c r="J245" s="42">
        <f>Source!AT104</f>
        <v>90</v>
      </c>
      <c r="K245" s="45">
        <f>SUM(R240:R244)</f>
        <v>5047.16</v>
      </c>
    </row>
    <row r="246" spans="1:29" ht="14.25" x14ac:dyDescent="0.2">
      <c r="A246" s="41"/>
      <c r="B246" s="41"/>
      <c r="C246" s="41" t="s">
        <v>859</v>
      </c>
      <c r="D246" s="43" t="s">
        <v>858</v>
      </c>
      <c r="E246" s="42">
        <f>Source!CA104</f>
        <v>46</v>
      </c>
      <c r="F246" s="45"/>
      <c r="G246" s="44"/>
      <c r="H246" s="42"/>
      <c r="I246" s="45">
        <f>SUM(S240:S245)</f>
        <v>45.78</v>
      </c>
      <c r="J246" s="42">
        <f>Source!AU104</f>
        <v>46</v>
      </c>
      <c r="K246" s="45">
        <f>SUM(T240:T245)</f>
        <v>2579.66</v>
      </c>
    </row>
    <row r="247" spans="1:29" ht="14.25" x14ac:dyDescent="0.2">
      <c r="A247" s="48"/>
      <c r="B247" s="48"/>
      <c r="C247" s="48" t="s">
        <v>860</v>
      </c>
      <c r="D247" s="49" t="s">
        <v>861</v>
      </c>
      <c r="E247" s="50">
        <f>Source!AQ103</f>
        <v>7.2</v>
      </c>
      <c r="F247" s="51"/>
      <c r="G247" s="52" t="s">
        <v>3</v>
      </c>
      <c r="H247" s="50">
        <f>Source!AV104</f>
        <v>1.0469999999999999</v>
      </c>
      <c r="I247" s="51">
        <f>Source!U103</f>
        <v>7.5383999999999993</v>
      </c>
      <c r="J247" s="50"/>
      <c r="K247" s="51"/>
    </row>
    <row r="248" spans="1:29" ht="15" x14ac:dyDescent="0.2">
      <c r="C248" s="53" t="s">
        <v>862</v>
      </c>
      <c r="H248" s="54">
        <f>I241+I242+I244+I245+I246+0-0-0</f>
        <v>247.45000000000002</v>
      </c>
      <c r="I248" s="54"/>
      <c r="J248" s="54">
        <f>K241+K242+K244+K245+K246+0-0-0</f>
        <v>13358.619999999999</v>
      </c>
      <c r="K248" s="54"/>
    </row>
    <row r="249" spans="1:29" ht="15" hidden="1" x14ac:dyDescent="0.2">
      <c r="C249" s="53" t="s">
        <v>863</v>
      </c>
      <c r="H249" s="56">
        <f>0+0</f>
        <v>0</v>
      </c>
      <c r="I249" s="56"/>
      <c r="J249" s="56">
        <f>0+0</f>
        <v>0</v>
      </c>
      <c r="K249" s="56"/>
    </row>
    <row r="250" spans="1:29" ht="15" x14ac:dyDescent="0.2">
      <c r="C250" s="53" t="s">
        <v>864</v>
      </c>
      <c r="H250" s="56">
        <f>I241+I242+I244+I245+I246+0</f>
        <v>247.45000000000002</v>
      </c>
      <c r="I250" s="56"/>
      <c r="J250" s="56">
        <f>K241+K242+K244+K245+K246+0</f>
        <v>13358.619999999999</v>
      </c>
      <c r="K250" s="56"/>
      <c r="O250" s="57">
        <f>I241+I242+I244+I245+I246+0</f>
        <v>247.45000000000002</v>
      </c>
      <c r="P250" s="57">
        <f>K241+K242+K244+K245+K246+0</f>
        <v>13358.619999999999</v>
      </c>
    </row>
    <row r="252" spans="1:29" ht="82.5" x14ac:dyDescent="0.2">
      <c r="A252" s="66">
        <v>21</v>
      </c>
      <c r="B252" s="66" t="str">
        <f>Source!F105</f>
        <v>КА, п.2</v>
      </c>
      <c r="C252" s="66" t="s">
        <v>871</v>
      </c>
      <c r="D252" s="67" t="str">
        <f>Source!H105</f>
        <v>ШТ</v>
      </c>
      <c r="E252" s="68">
        <f>Source!I105</f>
        <v>1</v>
      </c>
      <c r="F252" s="69">
        <f>Source!AL105</f>
        <v>4851.08</v>
      </c>
      <c r="G252" s="70" t="s">
        <v>3</v>
      </c>
      <c r="H252" s="68">
        <f>Source!AW106</f>
        <v>1</v>
      </c>
      <c r="I252" s="69">
        <f>Source!P105</f>
        <v>4851.08</v>
      </c>
      <c r="J252" s="68">
        <f>IF(Source!BC106&lt;&gt; 0, Source!BC106, 1)</f>
        <v>7.57</v>
      </c>
      <c r="K252" s="69">
        <f>Source!P106</f>
        <v>36722.68</v>
      </c>
      <c r="Q252">
        <f>Source!X105</f>
        <v>0</v>
      </c>
      <c r="R252">
        <f>Source!X106</f>
        <v>0</v>
      </c>
      <c r="S252">
        <f>Source!Y105</f>
        <v>0</v>
      </c>
      <c r="T252">
        <f>Source!Y106</f>
        <v>0</v>
      </c>
      <c r="U252">
        <f>ROUND((175/100)*ROUND(Source!R105, 2), 2)</f>
        <v>0</v>
      </c>
      <c r="V252">
        <f>ROUND((0/100)*ROUND(Source!R106, 2), 2)</f>
        <v>0</v>
      </c>
      <c r="AC252">
        <v>5</v>
      </c>
    </row>
    <row r="253" spans="1:29" ht="15" x14ac:dyDescent="0.2">
      <c r="A253" s="71"/>
      <c r="B253" s="71"/>
      <c r="C253" s="72" t="s">
        <v>864</v>
      </c>
      <c r="D253" s="71"/>
      <c r="E253" s="71"/>
      <c r="F253" s="71"/>
      <c r="G253" s="71"/>
      <c r="H253" s="73">
        <f>I252+0</f>
        <v>4851.08</v>
      </c>
      <c r="I253" s="73"/>
      <c r="J253" s="73">
        <f>K252+0</f>
        <v>36722.68</v>
      </c>
      <c r="K253" s="73"/>
      <c r="O253" s="57">
        <f>I252+0</f>
        <v>4851.08</v>
      </c>
      <c r="P253" s="57">
        <f>K252+0</f>
        <v>36722.68</v>
      </c>
    </row>
    <row r="255" spans="1:29" ht="42.75" x14ac:dyDescent="0.2">
      <c r="A255" s="41">
        <v>22</v>
      </c>
      <c r="B255" s="41" t="str">
        <f>Source!F107</f>
        <v>4.10-163-2</v>
      </c>
      <c r="C255" s="41" t="s">
        <v>206</v>
      </c>
      <c r="D255" s="43" t="str">
        <f>Source!H107</f>
        <v>1 устройство</v>
      </c>
      <c r="E255" s="42">
        <f>Source!I107</f>
        <v>1</v>
      </c>
      <c r="F255" s="45"/>
      <c r="G255" s="44"/>
      <c r="H255" s="42"/>
      <c r="I255" s="45"/>
      <c r="J255" s="42"/>
      <c r="K255" s="45"/>
      <c r="Q255">
        <f>Source!X107</f>
        <v>90.84</v>
      </c>
      <c r="R255">
        <f>Source!X108</f>
        <v>5118.67</v>
      </c>
      <c r="S255">
        <f>Source!Y107</f>
        <v>46.43</v>
      </c>
      <c r="T255">
        <f>Source!Y108</f>
        <v>2616.21</v>
      </c>
      <c r="U255">
        <f>ROUND((175/100)*ROUND(Source!R107, 2), 2)</f>
        <v>0</v>
      </c>
      <c r="V255">
        <f>ROUND((0/100)*ROUND(Source!R108, 2), 2)</f>
        <v>0</v>
      </c>
      <c r="AC255">
        <v>0</v>
      </c>
    </row>
    <row r="256" spans="1:29" ht="14.25" x14ac:dyDescent="0.2">
      <c r="A256" s="41"/>
      <c r="B256" s="41"/>
      <c r="C256" s="41" t="s">
        <v>853</v>
      </c>
      <c r="D256" s="43"/>
      <c r="E256" s="42"/>
      <c r="F256" s="45">
        <f>Source!AO107</f>
        <v>80.33</v>
      </c>
      <c r="G256" s="46" t="s">
        <v>196</v>
      </c>
      <c r="H256" s="42">
        <f>Source!AV108</f>
        <v>1.0469999999999999</v>
      </c>
      <c r="I256" s="45">
        <f>Source!S107</f>
        <v>100.93</v>
      </c>
      <c r="J256" s="42">
        <f>IF(Source!BA108&lt;&gt; 0, Source!BA108, 1)</f>
        <v>56.35</v>
      </c>
      <c r="K256" s="45">
        <f>Source!S108</f>
        <v>5687.41</v>
      </c>
    </row>
    <row r="257" spans="1:29" ht="14.25" x14ac:dyDescent="0.2">
      <c r="A257" s="41"/>
      <c r="B257" s="41"/>
      <c r="C257" s="41" t="s">
        <v>855</v>
      </c>
      <c r="D257" s="43"/>
      <c r="E257" s="42"/>
      <c r="F257" s="45">
        <f>Source!AM107</f>
        <v>0.82</v>
      </c>
      <c r="G257" s="46" t="s">
        <v>196</v>
      </c>
      <c r="H257" s="42">
        <f>Source!AV108</f>
        <v>1.0469999999999999</v>
      </c>
      <c r="I257" s="45">
        <f>Source!Q107</f>
        <v>1.03</v>
      </c>
      <c r="J257" s="42">
        <f>IF(Source!BB108&lt;&gt; 0, Source!BB108, 1)</f>
        <v>9.52</v>
      </c>
      <c r="K257" s="45">
        <f>Source!Q108</f>
        <v>9.81</v>
      </c>
    </row>
    <row r="258" spans="1:29" ht="14.25" x14ac:dyDescent="0.2">
      <c r="A258" s="41"/>
      <c r="B258" s="41"/>
      <c r="C258" s="41" t="s">
        <v>866</v>
      </c>
      <c r="D258" s="43"/>
      <c r="E258" s="42"/>
      <c r="F258" s="45">
        <f>Source!AL107</f>
        <v>9.15</v>
      </c>
      <c r="G258" s="46" t="s">
        <v>3</v>
      </c>
      <c r="H258" s="42">
        <f>Source!AW108</f>
        <v>1</v>
      </c>
      <c r="I258" s="45">
        <f>Source!P107</f>
        <v>9.15</v>
      </c>
      <c r="J258" s="42">
        <f>IF(Source!BC108&lt;&gt; 0, Source!BC108, 1)</f>
        <v>6.42</v>
      </c>
      <c r="K258" s="45">
        <f>Source!P108</f>
        <v>58.74</v>
      </c>
    </row>
    <row r="259" spans="1:29" ht="68.25" x14ac:dyDescent="0.2">
      <c r="A259" s="61" t="s">
        <v>207</v>
      </c>
      <c r="B259" s="61" t="str">
        <f>Source!F109</f>
        <v>КА, п.3</v>
      </c>
      <c r="C259" s="61" t="s">
        <v>872</v>
      </c>
      <c r="D259" s="62" t="str">
        <f>Source!H109</f>
        <v>ШТ</v>
      </c>
      <c r="E259" s="63">
        <f>Source!I109</f>
        <v>1</v>
      </c>
      <c r="F259" s="64">
        <f>Source!AK109</f>
        <v>2385.0700000000002</v>
      </c>
      <c r="G259" s="65" t="s">
        <v>3</v>
      </c>
      <c r="H259" s="63">
        <f>Source!AW110</f>
        <v>1</v>
      </c>
      <c r="I259" s="64">
        <f>Source!O109</f>
        <v>2385.0700000000002</v>
      </c>
      <c r="J259" s="63">
        <f>IF(Source!BC110&lt;&gt; 0, Source!BC110, 1)</f>
        <v>7.57</v>
      </c>
      <c r="K259" s="64">
        <f>Source!O110</f>
        <v>18054.98</v>
      </c>
      <c r="Q259">
        <f>Source!X109</f>
        <v>0</v>
      </c>
      <c r="R259">
        <f>Source!X110</f>
        <v>0</v>
      </c>
      <c r="S259">
        <f>Source!Y109</f>
        <v>0</v>
      </c>
      <c r="T259">
        <f>Source!Y110</f>
        <v>0</v>
      </c>
      <c r="U259">
        <f>ROUND((175/100)*ROUND(Source!R109, 2), 2)</f>
        <v>0</v>
      </c>
      <c r="V259">
        <f>ROUND((0/100)*ROUND(Source!R110, 2), 2)</f>
        <v>0</v>
      </c>
      <c r="AC259">
        <v>5</v>
      </c>
    </row>
    <row r="260" spans="1:29" ht="14.25" x14ac:dyDescent="0.2">
      <c r="A260" s="41"/>
      <c r="B260" s="41"/>
      <c r="C260" s="41" t="s">
        <v>857</v>
      </c>
      <c r="D260" s="43" t="s">
        <v>858</v>
      </c>
      <c r="E260" s="42">
        <f>Source!BZ108</f>
        <v>90</v>
      </c>
      <c r="F260" s="45"/>
      <c r="G260" s="44"/>
      <c r="H260" s="42"/>
      <c r="I260" s="45">
        <f>SUM(Q255:Q259)</f>
        <v>90.84</v>
      </c>
      <c r="J260" s="42">
        <f>Source!AT108</f>
        <v>90</v>
      </c>
      <c r="K260" s="45">
        <f>SUM(R255:R259)</f>
        <v>5118.67</v>
      </c>
    </row>
    <row r="261" spans="1:29" ht="14.25" x14ac:dyDescent="0.2">
      <c r="A261" s="41"/>
      <c r="B261" s="41"/>
      <c r="C261" s="41" t="s">
        <v>859</v>
      </c>
      <c r="D261" s="43" t="s">
        <v>858</v>
      </c>
      <c r="E261" s="42">
        <f>Source!CA108</f>
        <v>46</v>
      </c>
      <c r="F261" s="45"/>
      <c r="G261" s="44"/>
      <c r="H261" s="42"/>
      <c r="I261" s="45">
        <f>SUM(S255:S260)</f>
        <v>46.43</v>
      </c>
      <c r="J261" s="42">
        <f>Source!AU108</f>
        <v>46</v>
      </c>
      <c r="K261" s="45">
        <f>SUM(T255:T260)</f>
        <v>2616.21</v>
      </c>
    </row>
    <row r="262" spans="1:29" ht="14.25" x14ac:dyDescent="0.2">
      <c r="A262" s="48"/>
      <c r="B262" s="48"/>
      <c r="C262" s="48" t="s">
        <v>860</v>
      </c>
      <c r="D262" s="49" t="s">
        <v>861</v>
      </c>
      <c r="E262" s="50">
        <f>Source!AQ107</f>
        <v>6.01</v>
      </c>
      <c r="F262" s="51"/>
      <c r="G262" s="52" t="s">
        <v>196</v>
      </c>
      <c r="H262" s="50">
        <f>Source!AV108</f>
        <v>1.0469999999999999</v>
      </c>
      <c r="I262" s="51">
        <f>Source!U107</f>
        <v>7.5509639999999996</v>
      </c>
      <c r="J262" s="50"/>
      <c r="K262" s="51"/>
    </row>
    <row r="263" spans="1:29" ht="15" x14ac:dyDescent="0.2">
      <c r="C263" s="53" t="s">
        <v>862</v>
      </c>
      <c r="H263" s="54">
        <f>I256+I257+I258+I260+I261+SUM(I259:I259)-SUMIF(AC259:AC259, 5, I259:I259)-SUMIF(AC259:AC259, 6, I259:I259)</f>
        <v>248.38000000000011</v>
      </c>
      <c r="I263" s="54"/>
      <c r="J263" s="54">
        <f>K256+K257+K258+K260+K261+SUM(K259:K259)-SUMIF(AC259:AC259, 5, K259:K259)-SUMIF(AC259:AC259, 6, K259:K259)</f>
        <v>13490.84</v>
      </c>
      <c r="K263" s="54"/>
    </row>
    <row r="264" spans="1:29" ht="15" x14ac:dyDescent="0.2">
      <c r="C264" s="53" t="s">
        <v>863</v>
      </c>
      <c r="H264" s="56">
        <f>SUMIF(AC259:AC259, 5, I259:I259)+SUMIF(AC259:AC259, 6, I259:I259)</f>
        <v>2385.0700000000002</v>
      </c>
      <c r="I264" s="56"/>
      <c r="J264" s="56">
        <f>SUMIF(AC259:AC259, 5, K259:K259)+SUMIF(AC259:AC259, 6, K259:K259)</f>
        <v>18054.98</v>
      </c>
      <c r="K264" s="56"/>
    </row>
    <row r="265" spans="1:29" ht="15" x14ac:dyDescent="0.2">
      <c r="C265" s="53" t="s">
        <v>864</v>
      </c>
      <c r="H265" s="56">
        <f>I256+I257+I258+I260+I261+SUM(I259:I259)</f>
        <v>2633.4500000000003</v>
      </c>
      <c r="I265" s="56"/>
      <c r="J265" s="56">
        <f>K256+K257+K258+K260+K261+SUM(K259:K259)</f>
        <v>31545.82</v>
      </c>
      <c r="K265" s="56"/>
      <c r="O265" s="57">
        <f>I256+I257+I258+I260+I261+SUM(I259:I259)</f>
        <v>2633.4500000000003</v>
      </c>
      <c r="P265" s="57">
        <f>K256+K257+K258+K260+K261+SUM(K259:K259)</f>
        <v>31545.82</v>
      </c>
    </row>
    <row r="267" spans="1:29" ht="28.5" x14ac:dyDescent="0.2">
      <c r="A267" s="41">
        <v>23</v>
      </c>
      <c r="B267" s="41" t="str">
        <f>Source!F111</f>
        <v>4.10-167-1</v>
      </c>
      <c r="C267" s="41" t="s">
        <v>212</v>
      </c>
      <c r="D267" s="43" t="str">
        <f>Source!H111</f>
        <v>1  ШТ.</v>
      </c>
      <c r="E267" s="42">
        <f>Source!I111</f>
        <v>6</v>
      </c>
      <c r="F267" s="45"/>
      <c r="G267" s="44"/>
      <c r="H267" s="42"/>
      <c r="I267" s="45"/>
      <c r="J267" s="42"/>
      <c r="K267" s="45"/>
      <c r="Q267">
        <f>Source!X111</f>
        <v>128.5</v>
      </c>
      <c r="R267">
        <f>Source!X112</f>
        <v>7241.09</v>
      </c>
      <c r="S267">
        <f>Source!Y111</f>
        <v>65.680000000000007</v>
      </c>
      <c r="T267">
        <f>Source!Y112</f>
        <v>3701</v>
      </c>
      <c r="U267">
        <f>ROUND((175/100)*ROUND(Source!R111, 2), 2)</f>
        <v>0</v>
      </c>
      <c r="V267">
        <f>ROUND((0/100)*ROUND(Source!R112, 2), 2)</f>
        <v>0</v>
      </c>
      <c r="AC267">
        <v>0</v>
      </c>
    </row>
    <row r="268" spans="1:29" x14ac:dyDescent="0.2">
      <c r="C268" s="58" t="str">
        <f>"Объем: "&amp;Source!I111&amp;"=4+"&amp;"1+"&amp;"1"</f>
        <v>Объем: 6=4+1+1</v>
      </c>
    </row>
    <row r="269" spans="1:29" ht="14.25" x14ac:dyDescent="0.2">
      <c r="A269" s="41"/>
      <c r="B269" s="41"/>
      <c r="C269" s="41" t="s">
        <v>853</v>
      </c>
      <c r="D269" s="43"/>
      <c r="E269" s="42"/>
      <c r="F269" s="45">
        <f>Source!AO111</f>
        <v>18.940000000000001</v>
      </c>
      <c r="G269" s="46" t="s">
        <v>196</v>
      </c>
      <c r="H269" s="42">
        <f>Source!AV112</f>
        <v>1.0469999999999999</v>
      </c>
      <c r="I269" s="45">
        <f>Source!S111</f>
        <v>142.78</v>
      </c>
      <c r="J269" s="42">
        <f>IF(Source!BA112&lt;&gt; 0, Source!BA112, 1)</f>
        <v>56.35</v>
      </c>
      <c r="K269" s="45">
        <f>Source!S112</f>
        <v>8045.65</v>
      </c>
    </row>
    <row r="270" spans="1:29" ht="14.25" x14ac:dyDescent="0.2">
      <c r="A270" s="41"/>
      <c r="B270" s="41"/>
      <c r="C270" s="41" t="s">
        <v>855</v>
      </c>
      <c r="D270" s="43"/>
      <c r="E270" s="42"/>
      <c r="F270" s="45">
        <f>Source!AM111</f>
        <v>0.02</v>
      </c>
      <c r="G270" s="46" t="s">
        <v>196</v>
      </c>
      <c r="H270" s="42">
        <f>Source!AV112</f>
        <v>1.0469999999999999</v>
      </c>
      <c r="I270" s="45">
        <f>Source!Q111</f>
        <v>0.15</v>
      </c>
      <c r="J270" s="42">
        <f>IF(Source!BB112&lt;&gt; 0, Source!BB112, 1)</f>
        <v>11</v>
      </c>
      <c r="K270" s="45">
        <f>Source!Q112</f>
        <v>1.65</v>
      </c>
    </row>
    <row r="271" spans="1:29" ht="14.25" x14ac:dyDescent="0.2">
      <c r="A271" s="41"/>
      <c r="B271" s="41"/>
      <c r="C271" s="41" t="s">
        <v>866</v>
      </c>
      <c r="D271" s="43"/>
      <c r="E271" s="42"/>
      <c r="F271" s="45">
        <f>Source!AL111</f>
        <v>2.34</v>
      </c>
      <c r="G271" s="46" t="s">
        <v>3</v>
      </c>
      <c r="H271" s="42">
        <f>Source!AW112</f>
        <v>1</v>
      </c>
      <c r="I271" s="45">
        <f>Source!P111</f>
        <v>14.04</v>
      </c>
      <c r="J271" s="42">
        <f>IF(Source!BC112&lt;&gt; 0, Source!BC112, 1)</f>
        <v>10.24</v>
      </c>
      <c r="K271" s="45">
        <f>Source!P112</f>
        <v>143.77000000000001</v>
      </c>
    </row>
    <row r="272" spans="1:29" ht="14.25" x14ac:dyDescent="0.2">
      <c r="A272" s="41"/>
      <c r="B272" s="41"/>
      <c r="C272" s="41" t="s">
        <v>857</v>
      </c>
      <c r="D272" s="43" t="s">
        <v>858</v>
      </c>
      <c r="E272" s="42">
        <f>Source!BZ112</f>
        <v>90</v>
      </c>
      <c r="F272" s="45"/>
      <c r="G272" s="44"/>
      <c r="H272" s="42"/>
      <c r="I272" s="45">
        <f>SUM(Q267:Q271)</f>
        <v>128.5</v>
      </c>
      <c r="J272" s="42">
        <f>Source!AT112</f>
        <v>90</v>
      </c>
      <c r="K272" s="45">
        <f>SUM(R267:R271)</f>
        <v>7241.09</v>
      </c>
    </row>
    <row r="273" spans="1:29" ht="14.25" x14ac:dyDescent="0.2">
      <c r="A273" s="41"/>
      <c r="B273" s="41"/>
      <c r="C273" s="41" t="s">
        <v>859</v>
      </c>
      <c r="D273" s="43" t="s">
        <v>858</v>
      </c>
      <c r="E273" s="42">
        <f>Source!CA112</f>
        <v>46</v>
      </c>
      <c r="F273" s="45"/>
      <c r="G273" s="44"/>
      <c r="H273" s="42"/>
      <c r="I273" s="45">
        <f>SUM(S267:S272)</f>
        <v>65.680000000000007</v>
      </c>
      <c r="J273" s="42">
        <f>Source!AU112</f>
        <v>46</v>
      </c>
      <c r="K273" s="45">
        <f>SUM(T267:T272)</f>
        <v>3701</v>
      </c>
    </row>
    <row r="274" spans="1:29" ht="14.25" x14ac:dyDescent="0.2">
      <c r="A274" s="48"/>
      <c r="B274" s="48"/>
      <c r="C274" s="48" t="s">
        <v>860</v>
      </c>
      <c r="D274" s="49" t="s">
        <v>861</v>
      </c>
      <c r="E274" s="50">
        <f>Source!AQ111</f>
        <v>1.36</v>
      </c>
      <c r="F274" s="51"/>
      <c r="G274" s="52" t="s">
        <v>196</v>
      </c>
      <c r="H274" s="50">
        <f>Source!AV112</f>
        <v>1.0469999999999999</v>
      </c>
      <c r="I274" s="51">
        <f>Source!U111</f>
        <v>10.252224</v>
      </c>
      <c r="J274" s="50"/>
      <c r="K274" s="51"/>
    </row>
    <row r="275" spans="1:29" ht="15" x14ac:dyDescent="0.2">
      <c r="C275" s="53" t="s">
        <v>862</v>
      </c>
      <c r="H275" s="54">
        <f>I269+I270+I271+I272+I273+0-0-0</f>
        <v>351.15000000000003</v>
      </c>
      <c r="I275" s="54"/>
      <c r="J275" s="54">
        <f>K269+K270+K271+K272+K273+0-0-0</f>
        <v>19133.16</v>
      </c>
      <c r="K275" s="54"/>
    </row>
    <row r="276" spans="1:29" ht="15" hidden="1" x14ac:dyDescent="0.2">
      <c r="C276" s="53" t="s">
        <v>863</v>
      </c>
      <c r="H276" s="56">
        <f>0+0</f>
        <v>0</v>
      </c>
      <c r="I276" s="56"/>
      <c r="J276" s="56">
        <f>0+0</f>
        <v>0</v>
      </c>
      <c r="K276" s="56"/>
    </row>
    <row r="277" spans="1:29" ht="15" x14ac:dyDescent="0.2">
      <c r="C277" s="53" t="s">
        <v>864</v>
      </c>
      <c r="H277" s="56">
        <f>I269+I270+I271+I272+I273+0</f>
        <v>351.15000000000003</v>
      </c>
      <c r="I277" s="56"/>
      <c r="J277" s="56">
        <f>K269+K270+K271+K272+K273+0</f>
        <v>19133.16</v>
      </c>
      <c r="K277" s="56"/>
      <c r="O277" s="57">
        <f>I269+I270+I271+I272+I273+0</f>
        <v>351.15000000000003</v>
      </c>
      <c r="P277" s="57">
        <f>K269+K270+K271+K272+K273+0</f>
        <v>19133.16</v>
      </c>
    </row>
    <row r="279" spans="1:29" ht="96.75" x14ac:dyDescent="0.2">
      <c r="A279" s="66">
        <v>24</v>
      </c>
      <c r="B279" s="66" t="str">
        <f>Source!F113</f>
        <v>КА, п.4</v>
      </c>
      <c r="C279" s="66" t="s">
        <v>873</v>
      </c>
      <c r="D279" s="67" t="str">
        <f>Source!H113</f>
        <v>ШТ</v>
      </c>
      <c r="E279" s="68">
        <f>Source!I113</f>
        <v>4</v>
      </c>
      <c r="F279" s="69">
        <f>Source!AL113</f>
        <v>727.07999999999993</v>
      </c>
      <c r="G279" s="70" t="s">
        <v>3</v>
      </c>
      <c r="H279" s="68">
        <f>Source!AW114</f>
        <v>1</v>
      </c>
      <c r="I279" s="69">
        <f>Source!P113</f>
        <v>2908.32</v>
      </c>
      <c r="J279" s="68">
        <f>IF(Source!BC114&lt;&gt; 0, Source!BC114, 1)</f>
        <v>7.57</v>
      </c>
      <c r="K279" s="69">
        <f>Source!P114</f>
        <v>22015.98</v>
      </c>
      <c r="Q279">
        <f>Source!X113</f>
        <v>0</v>
      </c>
      <c r="R279">
        <f>Source!X114</f>
        <v>0</v>
      </c>
      <c r="S279">
        <f>Source!Y113</f>
        <v>0</v>
      </c>
      <c r="T279">
        <f>Source!Y114</f>
        <v>0</v>
      </c>
      <c r="U279">
        <f>ROUND((175/100)*ROUND(Source!R113, 2), 2)</f>
        <v>0</v>
      </c>
      <c r="V279">
        <f>ROUND((0/100)*ROUND(Source!R114, 2), 2)</f>
        <v>0</v>
      </c>
      <c r="AC279">
        <v>5</v>
      </c>
    </row>
    <row r="280" spans="1:29" ht="15" x14ac:dyDescent="0.2">
      <c r="A280" s="71"/>
      <c r="B280" s="71"/>
      <c r="C280" s="72" t="s">
        <v>864</v>
      </c>
      <c r="D280" s="71"/>
      <c r="E280" s="71"/>
      <c r="F280" s="71"/>
      <c r="G280" s="71"/>
      <c r="H280" s="73">
        <f>I279+0</f>
        <v>2908.32</v>
      </c>
      <c r="I280" s="73"/>
      <c r="J280" s="73">
        <f>K279+0</f>
        <v>22015.98</v>
      </c>
      <c r="K280" s="73"/>
      <c r="O280" s="57">
        <f>I279+0</f>
        <v>2908.32</v>
      </c>
      <c r="P280" s="57">
        <f>K279+0</f>
        <v>22015.98</v>
      </c>
    </row>
    <row r="282" spans="1:29" ht="82.5" x14ac:dyDescent="0.2">
      <c r="A282" s="66">
        <v>25</v>
      </c>
      <c r="B282" s="66" t="str">
        <f>Source!F115</f>
        <v>КА, п.5</v>
      </c>
      <c r="C282" s="66" t="s">
        <v>874</v>
      </c>
      <c r="D282" s="67" t="str">
        <f>Source!H115</f>
        <v>ШТ</v>
      </c>
      <c r="E282" s="68">
        <f>Source!I115</f>
        <v>1</v>
      </c>
      <c r="F282" s="69">
        <f>Source!AL115</f>
        <v>803.15</v>
      </c>
      <c r="G282" s="70" t="s">
        <v>3</v>
      </c>
      <c r="H282" s="68">
        <f>Source!AW116</f>
        <v>1</v>
      </c>
      <c r="I282" s="69">
        <f>Source!P115</f>
        <v>803.15</v>
      </c>
      <c r="J282" s="68">
        <f>IF(Source!BC116&lt;&gt; 0, Source!BC116, 1)</f>
        <v>7.57</v>
      </c>
      <c r="K282" s="69">
        <f>Source!P116</f>
        <v>6079.85</v>
      </c>
      <c r="Q282">
        <f>Source!X115</f>
        <v>0</v>
      </c>
      <c r="R282">
        <f>Source!X116</f>
        <v>0</v>
      </c>
      <c r="S282">
        <f>Source!Y115</f>
        <v>0</v>
      </c>
      <c r="T282">
        <f>Source!Y116</f>
        <v>0</v>
      </c>
      <c r="U282">
        <f>ROUND((175/100)*ROUND(Source!R115, 2), 2)</f>
        <v>0</v>
      </c>
      <c r="V282">
        <f>ROUND((0/100)*ROUND(Source!R116, 2), 2)</f>
        <v>0</v>
      </c>
      <c r="AC282">
        <v>5</v>
      </c>
    </row>
    <row r="283" spans="1:29" ht="15" x14ac:dyDescent="0.2">
      <c r="A283" s="71"/>
      <c r="B283" s="71"/>
      <c r="C283" s="72" t="s">
        <v>864</v>
      </c>
      <c r="D283" s="71"/>
      <c r="E283" s="71"/>
      <c r="F283" s="71"/>
      <c r="G283" s="71"/>
      <c r="H283" s="73">
        <f>I282+0</f>
        <v>803.15</v>
      </c>
      <c r="I283" s="73"/>
      <c r="J283" s="73">
        <f>K282+0</f>
        <v>6079.85</v>
      </c>
      <c r="K283" s="73"/>
      <c r="O283" s="57">
        <f>I282+0</f>
        <v>803.15</v>
      </c>
      <c r="P283" s="57">
        <f>K282+0</f>
        <v>6079.85</v>
      </c>
    </row>
    <row r="285" spans="1:29" ht="82.5" x14ac:dyDescent="0.2">
      <c r="A285" s="66">
        <v>26</v>
      </c>
      <c r="B285" s="66" t="str">
        <f>Source!F117</f>
        <v>КА, п.6</v>
      </c>
      <c r="C285" s="66" t="s">
        <v>875</v>
      </c>
      <c r="D285" s="67" t="str">
        <f>Source!H117</f>
        <v>ШТ</v>
      </c>
      <c r="E285" s="68">
        <f>Source!I117</f>
        <v>1</v>
      </c>
      <c r="F285" s="69">
        <f>Source!AL117</f>
        <v>937.47</v>
      </c>
      <c r="G285" s="70" t="s">
        <v>3</v>
      </c>
      <c r="H285" s="68">
        <f>Source!AW118</f>
        <v>1</v>
      </c>
      <c r="I285" s="69">
        <f>Source!P117</f>
        <v>937.47</v>
      </c>
      <c r="J285" s="68">
        <f>IF(Source!BC118&lt;&gt; 0, Source!BC118, 1)</f>
        <v>7.57</v>
      </c>
      <c r="K285" s="69">
        <f>Source!P118</f>
        <v>7096.65</v>
      </c>
      <c r="Q285">
        <f>Source!X117</f>
        <v>0</v>
      </c>
      <c r="R285">
        <f>Source!X118</f>
        <v>0</v>
      </c>
      <c r="S285">
        <f>Source!Y117</f>
        <v>0</v>
      </c>
      <c r="T285">
        <f>Source!Y118</f>
        <v>0</v>
      </c>
      <c r="U285">
        <f>ROUND((175/100)*ROUND(Source!R117, 2), 2)</f>
        <v>0</v>
      </c>
      <c r="V285">
        <f>ROUND((0/100)*ROUND(Source!R118, 2), 2)</f>
        <v>0</v>
      </c>
      <c r="AC285">
        <v>5</v>
      </c>
    </row>
    <row r="286" spans="1:29" ht="15" x14ac:dyDescent="0.2">
      <c r="A286" s="71"/>
      <c r="B286" s="71"/>
      <c r="C286" s="72" t="s">
        <v>864</v>
      </c>
      <c r="D286" s="71"/>
      <c r="E286" s="71"/>
      <c r="F286" s="71"/>
      <c r="G286" s="71"/>
      <c r="H286" s="73">
        <f>I285+0</f>
        <v>937.47</v>
      </c>
      <c r="I286" s="73"/>
      <c r="J286" s="73">
        <f>K285+0</f>
        <v>7096.65</v>
      </c>
      <c r="K286" s="73"/>
      <c r="O286" s="57">
        <f>I285+0</f>
        <v>937.47</v>
      </c>
      <c r="P286" s="57">
        <f>K285+0</f>
        <v>7096.65</v>
      </c>
    </row>
    <row r="288" spans="1:29" ht="42.75" x14ac:dyDescent="0.2">
      <c r="A288" s="66">
        <v>27</v>
      </c>
      <c r="B288" s="66" t="str">
        <f>Source!F119</f>
        <v>13.1-1-20</v>
      </c>
      <c r="C288" s="66" t="s">
        <v>876</v>
      </c>
      <c r="D288" s="67" t="str">
        <f>Source!H119</f>
        <v>шт.</v>
      </c>
      <c r="E288" s="68">
        <f>Source!I119</f>
        <v>8</v>
      </c>
      <c r="F288" s="69">
        <f>Source!AL119</f>
        <v>89.39</v>
      </c>
      <c r="G288" s="70" t="s">
        <v>3</v>
      </c>
      <c r="H288" s="68">
        <f>Source!AW120</f>
        <v>1</v>
      </c>
      <c r="I288" s="69">
        <f>Source!P119</f>
        <v>715.12</v>
      </c>
      <c r="J288" s="68">
        <f>IF(Source!BC120&lt;&gt; 0, Source!BC120, 1)</f>
        <v>6.76</v>
      </c>
      <c r="K288" s="69">
        <f>Source!P120</f>
        <v>4834.21</v>
      </c>
      <c r="Q288">
        <f>Source!X119</f>
        <v>0</v>
      </c>
      <c r="R288">
        <f>Source!X120</f>
        <v>0</v>
      </c>
      <c r="S288">
        <f>Source!Y119</f>
        <v>0</v>
      </c>
      <c r="T288">
        <f>Source!Y120</f>
        <v>0</v>
      </c>
      <c r="U288">
        <f>ROUND((175/100)*ROUND(Source!R119, 2), 2)</f>
        <v>0</v>
      </c>
      <c r="V288">
        <f>ROUND((0/100)*ROUND(Source!R120, 2), 2)</f>
        <v>0</v>
      </c>
      <c r="AC288">
        <v>5</v>
      </c>
    </row>
    <row r="289" spans="1:29" ht="15" x14ac:dyDescent="0.2">
      <c r="A289" s="71"/>
      <c r="B289" s="71"/>
      <c r="C289" s="72" t="s">
        <v>864</v>
      </c>
      <c r="D289" s="71"/>
      <c r="E289" s="71"/>
      <c r="F289" s="71"/>
      <c r="G289" s="71"/>
      <c r="H289" s="73">
        <f>I288+0</f>
        <v>715.12</v>
      </c>
      <c r="I289" s="73"/>
      <c r="J289" s="73">
        <f>K288+0</f>
        <v>4834.21</v>
      </c>
      <c r="K289" s="73"/>
      <c r="O289" s="57">
        <f>I288+0</f>
        <v>715.12</v>
      </c>
      <c r="P289" s="57">
        <f>K288+0</f>
        <v>4834.21</v>
      </c>
    </row>
    <row r="291" spans="1:29" ht="42.75" x14ac:dyDescent="0.2">
      <c r="A291" s="66">
        <v>28</v>
      </c>
      <c r="B291" s="66" t="str">
        <f>Source!F121</f>
        <v>13.1-1-21</v>
      </c>
      <c r="C291" s="66" t="s">
        <v>877</v>
      </c>
      <c r="D291" s="67" t="str">
        <f>Source!H121</f>
        <v>шт.</v>
      </c>
      <c r="E291" s="68">
        <f>Source!I121</f>
        <v>2</v>
      </c>
      <c r="F291" s="69">
        <f>Source!AL121</f>
        <v>278.35000000000002</v>
      </c>
      <c r="G291" s="70" t="s">
        <v>3</v>
      </c>
      <c r="H291" s="68">
        <f>Source!AW122</f>
        <v>1</v>
      </c>
      <c r="I291" s="69">
        <f>Source!P121</f>
        <v>556.70000000000005</v>
      </c>
      <c r="J291" s="68">
        <f>IF(Source!BC122&lt;&gt; 0, Source!BC122, 1)</f>
        <v>6.99</v>
      </c>
      <c r="K291" s="69">
        <f>Source!P122</f>
        <v>3891.33</v>
      </c>
      <c r="Q291">
        <f>Source!X121</f>
        <v>0</v>
      </c>
      <c r="R291">
        <f>Source!X122</f>
        <v>0</v>
      </c>
      <c r="S291">
        <f>Source!Y121</f>
        <v>0</v>
      </c>
      <c r="T291">
        <f>Source!Y122</f>
        <v>0</v>
      </c>
      <c r="U291">
        <f>ROUND((175/100)*ROUND(Source!R121, 2), 2)</f>
        <v>0</v>
      </c>
      <c r="V291">
        <f>ROUND((0/100)*ROUND(Source!R122, 2), 2)</f>
        <v>0</v>
      </c>
      <c r="AC291">
        <v>5</v>
      </c>
    </row>
    <row r="292" spans="1:29" ht="15" x14ac:dyDescent="0.2">
      <c r="A292" s="71"/>
      <c r="B292" s="71"/>
      <c r="C292" s="72" t="s">
        <v>864</v>
      </c>
      <c r="D292" s="71"/>
      <c r="E292" s="71"/>
      <c r="F292" s="71"/>
      <c r="G292" s="71"/>
      <c r="H292" s="73">
        <f>I291+0</f>
        <v>556.70000000000005</v>
      </c>
      <c r="I292" s="73"/>
      <c r="J292" s="73">
        <f>K291+0</f>
        <v>3891.33</v>
      </c>
      <c r="K292" s="73"/>
      <c r="O292" s="57">
        <f>I291+0</f>
        <v>556.70000000000005</v>
      </c>
      <c r="P292" s="57">
        <f>K291+0</f>
        <v>3891.33</v>
      </c>
    </row>
    <row r="294" spans="1:29" ht="57" x14ac:dyDescent="0.2">
      <c r="A294" s="41">
        <v>29</v>
      </c>
      <c r="B294" s="41" t="str">
        <f>Source!F123</f>
        <v>4.10-81-2</v>
      </c>
      <c r="C294" s="41" t="s">
        <v>238</v>
      </c>
      <c r="D294" s="43" t="str">
        <f>Source!H123</f>
        <v>1  ШТ.</v>
      </c>
      <c r="E294" s="42">
        <f>Source!I123</f>
        <v>8</v>
      </c>
      <c r="F294" s="45"/>
      <c r="G294" s="44"/>
      <c r="H294" s="42"/>
      <c r="I294" s="45"/>
      <c r="J294" s="42"/>
      <c r="K294" s="45"/>
      <c r="Q294">
        <f>Source!X123</f>
        <v>191.87</v>
      </c>
      <c r="R294">
        <f>Source!X124</f>
        <v>10811.93</v>
      </c>
      <c r="S294">
        <f>Source!Y123</f>
        <v>98.07</v>
      </c>
      <c r="T294">
        <f>Source!Y124</f>
        <v>5526.1</v>
      </c>
      <c r="U294">
        <f>ROUND((175/100)*ROUND(Source!R123, 2), 2)</f>
        <v>0.18</v>
      </c>
      <c r="V294">
        <f>ROUND((0/100)*ROUND(Source!R124, 2), 2)</f>
        <v>0</v>
      </c>
      <c r="AC294">
        <v>0</v>
      </c>
    </row>
    <row r="295" spans="1:29" ht="14.25" x14ac:dyDescent="0.2">
      <c r="A295" s="41"/>
      <c r="B295" s="41"/>
      <c r="C295" s="41" t="s">
        <v>853</v>
      </c>
      <c r="D295" s="43"/>
      <c r="E295" s="42"/>
      <c r="F295" s="45">
        <f>Source!AO123</f>
        <v>21.2</v>
      </c>
      <c r="G295" s="46" t="s">
        <v>196</v>
      </c>
      <c r="H295" s="42">
        <f>Source!AV124</f>
        <v>1.0469999999999999</v>
      </c>
      <c r="I295" s="45">
        <f>Source!S123</f>
        <v>213.09</v>
      </c>
      <c r="J295" s="42">
        <f>IF(Source!BA124&lt;&gt; 0, Source!BA124, 1)</f>
        <v>56.35</v>
      </c>
      <c r="K295" s="45">
        <f>Source!S124</f>
        <v>12007.62</v>
      </c>
    </row>
    <row r="296" spans="1:29" ht="14.25" x14ac:dyDescent="0.2">
      <c r="A296" s="41"/>
      <c r="B296" s="41"/>
      <c r="C296" s="41" t="s">
        <v>855</v>
      </c>
      <c r="D296" s="43"/>
      <c r="E296" s="42"/>
      <c r="F296" s="45">
        <f>Source!AM123</f>
        <v>0.06</v>
      </c>
      <c r="G296" s="46" t="s">
        <v>196</v>
      </c>
      <c r="H296" s="42">
        <f>Source!AV124</f>
        <v>1.0469999999999999</v>
      </c>
      <c r="I296" s="45">
        <f>Source!Q123</f>
        <v>0.6</v>
      </c>
      <c r="J296" s="42">
        <f>IF(Source!BB124&lt;&gt; 0, Source!BB124, 1)</f>
        <v>18.5</v>
      </c>
      <c r="K296" s="45">
        <f>Source!Q124</f>
        <v>11.1</v>
      </c>
    </row>
    <row r="297" spans="1:29" ht="14.25" x14ac:dyDescent="0.2">
      <c r="A297" s="41"/>
      <c r="B297" s="41"/>
      <c r="C297" s="41" t="s">
        <v>856</v>
      </c>
      <c r="D297" s="43"/>
      <c r="E297" s="42"/>
      <c r="F297" s="45">
        <f>Source!AN123</f>
        <v>0.01</v>
      </c>
      <c r="G297" s="46" t="s">
        <v>196</v>
      </c>
      <c r="H297" s="42">
        <f>Source!AV124</f>
        <v>1.0469999999999999</v>
      </c>
      <c r="I297" s="47">
        <f>Source!R123</f>
        <v>0.1</v>
      </c>
      <c r="J297" s="42">
        <f>IF(Source!BS124&lt;&gt; 0, Source!BS124, 1)</f>
        <v>56.35</v>
      </c>
      <c r="K297" s="47">
        <f>Source!R124</f>
        <v>5.64</v>
      </c>
    </row>
    <row r="298" spans="1:29" ht="14.25" x14ac:dyDescent="0.2">
      <c r="A298" s="41"/>
      <c r="B298" s="41"/>
      <c r="C298" s="41" t="s">
        <v>866</v>
      </c>
      <c r="D298" s="43"/>
      <c r="E298" s="42"/>
      <c r="F298" s="45">
        <f>Source!AL123</f>
        <v>1.26</v>
      </c>
      <c r="G298" s="46" t="s">
        <v>3</v>
      </c>
      <c r="H298" s="42">
        <f>Source!AW124</f>
        <v>1</v>
      </c>
      <c r="I298" s="45">
        <f>Source!P123</f>
        <v>10.08</v>
      </c>
      <c r="J298" s="42">
        <f>IF(Source!BC124&lt;&gt; 0, Source!BC124, 1)</f>
        <v>9.84</v>
      </c>
      <c r="K298" s="45">
        <f>Source!P124</f>
        <v>99.19</v>
      </c>
    </row>
    <row r="299" spans="1:29" ht="14.25" x14ac:dyDescent="0.2">
      <c r="A299" s="41"/>
      <c r="B299" s="41"/>
      <c r="C299" s="41" t="s">
        <v>857</v>
      </c>
      <c r="D299" s="43" t="s">
        <v>858</v>
      </c>
      <c r="E299" s="42">
        <f>Source!BZ124</f>
        <v>90</v>
      </c>
      <c r="F299" s="45"/>
      <c r="G299" s="44"/>
      <c r="H299" s="42"/>
      <c r="I299" s="45">
        <f>SUM(Q294:Q298)</f>
        <v>191.87</v>
      </c>
      <c r="J299" s="42">
        <f>Source!AT124</f>
        <v>90</v>
      </c>
      <c r="K299" s="45">
        <f>SUM(R294:R298)</f>
        <v>10811.93</v>
      </c>
    </row>
    <row r="300" spans="1:29" ht="14.25" x14ac:dyDescent="0.2">
      <c r="A300" s="41"/>
      <c r="B300" s="41"/>
      <c r="C300" s="41" t="s">
        <v>859</v>
      </c>
      <c r="D300" s="43" t="s">
        <v>858</v>
      </c>
      <c r="E300" s="42">
        <f>Source!CA124</f>
        <v>46</v>
      </c>
      <c r="F300" s="45"/>
      <c r="G300" s="44"/>
      <c r="H300" s="42"/>
      <c r="I300" s="45">
        <f>SUM(S294:S299)</f>
        <v>98.07</v>
      </c>
      <c r="J300" s="42">
        <f>Source!AU124</f>
        <v>46</v>
      </c>
      <c r="K300" s="45">
        <f>SUM(T294:T299)</f>
        <v>5526.1</v>
      </c>
    </row>
    <row r="301" spans="1:29" ht="14.25" x14ac:dyDescent="0.2">
      <c r="A301" s="48"/>
      <c r="B301" s="48"/>
      <c r="C301" s="48" t="s">
        <v>860</v>
      </c>
      <c r="D301" s="49" t="s">
        <v>861</v>
      </c>
      <c r="E301" s="50">
        <f>Source!AQ123</f>
        <v>1.68</v>
      </c>
      <c r="F301" s="51"/>
      <c r="G301" s="52" t="s">
        <v>196</v>
      </c>
      <c r="H301" s="50">
        <f>Source!AV124</f>
        <v>1.0469999999999999</v>
      </c>
      <c r="I301" s="51">
        <f>Source!U123</f>
        <v>16.886015999999998</v>
      </c>
      <c r="J301" s="50"/>
      <c r="K301" s="51"/>
    </row>
    <row r="302" spans="1:29" ht="15" x14ac:dyDescent="0.2">
      <c r="C302" s="53" t="s">
        <v>862</v>
      </c>
      <c r="H302" s="54">
        <f>I295+I296+I298+I299+I300+0-0-0</f>
        <v>513.71</v>
      </c>
      <c r="I302" s="54"/>
      <c r="J302" s="54">
        <f>K295+K296+K298+K299+K300+0-0-0</f>
        <v>28455.940000000002</v>
      </c>
      <c r="K302" s="54"/>
    </row>
    <row r="303" spans="1:29" ht="15" hidden="1" x14ac:dyDescent="0.2">
      <c r="C303" s="53" t="s">
        <v>863</v>
      </c>
      <c r="H303" s="56">
        <f>0+0</f>
        <v>0</v>
      </c>
      <c r="I303" s="56"/>
      <c r="J303" s="56">
        <f>0+0</f>
        <v>0</v>
      </c>
      <c r="K303" s="56"/>
    </row>
    <row r="304" spans="1:29" ht="15" x14ac:dyDescent="0.2">
      <c r="C304" s="53" t="s">
        <v>864</v>
      </c>
      <c r="H304" s="56">
        <f>I295+I296+I298+I299+I300+0</f>
        <v>513.71</v>
      </c>
      <c r="I304" s="56"/>
      <c r="J304" s="56">
        <f>K295+K296+K298+K299+K300+0</f>
        <v>28455.940000000002</v>
      </c>
      <c r="K304" s="56"/>
      <c r="O304" s="57">
        <f>I295+I296+I298+I299+I300+0</f>
        <v>513.71</v>
      </c>
      <c r="P304" s="57">
        <f>K295+K296+K298+K299+K300+0</f>
        <v>28455.940000000002</v>
      </c>
    </row>
    <row r="306" spans="1:29" ht="82.5" x14ac:dyDescent="0.2">
      <c r="A306" s="66">
        <v>30</v>
      </c>
      <c r="B306" s="66" t="str">
        <f>Source!F125</f>
        <v>КА, п.7</v>
      </c>
      <c r="C306" s="66" t="s">
        <v>878</v>
      </c>
      <c r="D306" s="67" t="str">
        <f>Source!H125</f>
        <v>ШТ</v>
      </c>
      <c r="E306" s="68">
        <f>Source!I125</f>
        <v>8</v>
      </c>
      <c r="F306" s="69">
        <f>Source!AL125</f>
        <v>175.17000000000002</v>
      </c>
      <c r="G306" s="70" t="s">
        <v>3</v>
      </c>
      <c r="H306" s="68">
        <f>Source!AW126</f>
        <v>1</v>
      </c>
      <c r="I306" s="69">
        <f>Source!P125</f>
        <v>1401.36</v>
      </c>
      <c r="J306" s="68">
        <f>IF(Source!BC126&lt;&gt; 0, Source!BC126, 1)</f>
        <v>7.57</v>
      </c>
      <c r="K306" s="69">
        <f>Source!P126</f>
        <v>10608.3</v>
      </c>
      <c r="Q306">
        <f>Source!X125</f>
        <v>0</v>
      </c>
      <c r="R306">
        <f>Source!X126</f>
        <v>0</v>
      </c>
      <c r="S306">
        <f>Source!Y125</f>
        <v>0</v>
      </c>
      <c r="T306">
        <f>Source!Y126</f>
        <v>0</v>
      </c>
      <c r="U306">
        <f>ROUND((175/100)*ROUND(Source!R125, 2), 2)</f>
        <v>0</v>
      </c>
      <c r="V306">
        <f>ROUND((0/100)*ROUND(Source!R126, 2), 2)</f>
        <v>0</v>
      </c>
      <c r="AC306">
        <v>5</v>
      </c>
    </row>
    <row r="307" spans="1:29" ht="15" x14ac:dyDescent="0.2">
      <c r="A307" s="71"/>
      <c r="B307" s="71"/>
      <c r="C307" s="72" t="s">
        <v>864</v>
      </c>
      <c r="D307" s="71"/>
      <c r="E307" s="71"/>
      <c r="F307" s="71"/>
      <c r="G307" s="71"/>
      <c r="H307" s="73">
        <f>I306+0</f>
        <v>1401.36</v>
      </c>
      <c r="I307" s="73"/>
      <c r="J307" s="73">
        <f>K306+0</f>
        <v>10608.3</v>
      </c>
      <c r="K307" s="73"/>
      <c r="O307" s="57">
        <f>I306+0</f>
        <v>1401.36</v>
      </c>
      <c r="P307" s="57">
        <f>K306+0</f>
        <v>10608.3</v>
      </c>
    </row>
    <row r="309" spans="1:29" ht="14.25" x14ac:dyDescent="0.2">
      <c r="A309" s="41">
        <v>31</v>
      </c>
      <c r="B309" s="41" t="str">
        <f>Source!F127</f>
        <v>4.10-76-10</v>
      </c>
      <c r="C309" s="41" t="s">
        <v>56</v>
      </c>
      <c r="D309" s="43" t="str">
        <f>Source!H127</f>
        <v>1  ШТ.</v>
      </c>
      <c r="E309" s="42">
        <f>Source!I127</f>
        <v>4</v>
      </c>
      <c r="F309" s="45"/>
      <c r="G309" s="44"/>
      <c r="H309" s="42"/>
      <c r="I309" s="45"/>
      <c r="J309" s="42"/>
      <c r="K309" s="45"/>
      <c r="Q309">
        <f>Source!X127</f>
        <v>56.76</v>
      </c>
      <c r="R309">
        <f>Source!X128</f>
        <v>3198.56</v>
      </c>
      <c r="S309">
        <f>Source!Y127</f>
        <v>31.67</v>
      </c>
      <c r="T309">
        <f>Source!Y128</f>
        <v>1784.46</v>
      </c>
      <c r="U309">
        <f>ROUND((175/100)*ROUND(Source!R127, 2), 2)</f>
        <v>0</v>
      </c>
      <c r="V309">
        <f>ROUND((0/100)*ROUND(Source!R128, 2), 2)</f>
        <v>0</v>
      </c>
      <c r="AC309">
        <v>0</v>
      </c>
    </row>
    <row r="310" spans="1:29" ht="14.25" x14ac:dyDescent="0.2">
      <c r="A310" s="41"/>
      <c r="B310" s="41"/>
      <c r="C310" s="41" t="s">
        <v>853</v>
      </c>
      <c r="D310" s="43"/>
      <c r="E310" s="42"/>
      <c r="F310" s="45">
        <f>Source!AO127</f>
        <v>11.89</v>
      </c>
      <c r="G310" s="46" t="s">
        <v>196</v>
      </c>
      <c r="H310" s="42">
        <f>Source!AV128</f>
        <v>1.0469999999999999</v>
      </c>
      <c r="I310" s="45">
        <f>Source!S127</f>
        <v>59.75</v>
      </c>
      <c r="J310" s="42">
        <f>IF(Source!BA128&lt;&gt; 0, Source!BA128, 1)</f>
        <v>56.35</v>
      </c>
      <c r="K310" s="45">
        <f>Source!S128</f>
        <v>3366.91</v>
      </c>
    </row>
    <row r="311" spans="1:29" ht="14.25" x14ac:dyDescent="0.2">
      <c r="A311" s="41"/>
      <c r="B311" s="41"/>
      <c r="C311" s="41" t="s">
        <v>866</v>
      </c>
      <c r="D311" s="43"/>
      <c r="E311" s="42"/>
      <c r="F311" s="45">
        <f>Source!AL127</f>
        <v>1.67</v>
      </c>
      <c r="G311" s="46" t="s">
        <v>3</v>
      </c>
      <c r="H311" s="42">
        <f>Source!AW128</f>
        <v>1</v>
      </c>
      <c r="I311" s="45">
        <f>Source!P127</f>
        <v>6.68</v>
      </c>
      <c r="J311" s="42">
        <f>IF(Source!BC128&lt;&gt; 0, Source!BC128, 1)</f>
        <v>17.87</v>
      </c>
      <c r="K311" s="45">
        <f>Source!P128</f>
        <v>119.37</v>
      </c>
    </row>
    <row r="312" spans="1:29" ht="14.25" x14ac:dyDescent="0.2">
      <c r="A312" s="41"/>
      <c r="B312" s="41"/>
      <c r="C312" s="41" t="s">
        <v>857</v>
      </c>
      <c r="D312" s="43" t="s">
        <v>858</v>
      </c>
      <c r="E312" s="42">
        <f>Source!BZ128</f>
        <v>95</v>
      </c>
      <c r="F312" s="45"/>
      <c r="G312" s="44"/>
      <c r="H312" s="42"/>
      <c r="I312" s="45">
        <f>SUM(Q309:Q311)</f>
        <v>56.76</v>
      </c>
      <c r="J312" s="42">
        <f>Source!AT128</f>
        <v>95</v>
      </c>
      <c r="K312" s="45">
        <f>SUM(R309:R311)</f>
        <v>3198.56</v>
      </c>
    </row>
    <row r="313" spans="1:29" ht="14.25" x14ac:dyDescent="0.2">
      <c r="A313" s="41"/>
      <c r="B313" s="41"/>
      <c r="C313" s="41" t="s">
        <v>859</v>
      </c>
      <c r="D313" s="43" t="s">
        <v>858</v>
      </c>
      <c r="E313" s="42">
        <f>Source!CA128</f>
        <v>53</v>
      </c>
      <c r="F313" s="45"/>
      <c r="G313" s="44"/>
      <c r="H313" s="42"/>
      <c r="I313" s="45">
        <f>SUM(S309:S312)</f>
        <v>31.67</v>
      </c>
      <c r="J313" s="42">
        <f>Source!AU128</f>
        <v>53</v>
      </c>
      <c r="K313" s="45">
        <f>SUM(T309:T312)</f>
        <v>1784.46</v>
      </c>
    </row>
    <row r="314" spans="1:29" ht="14.25" x14ac:dyDescent="0.2">
      <c r="A314" s="48"/>
      <c r="B314" s="48"/>
      <c r="C314" s="48" t="s">
        <v>860</v>
      </c>
      <c r="D314" s="49" t="s">
        <v>861</v>
      </c>
      <c r="E314" s="50">
        <f>Source!AQ127</f>
        <v>1</v>
      </c>
      <c r="F314" s="51"/>
      <c r="G314" s="52" t="s">
        <v>196</v>
      </c>
      <c r="H314" s="50">
        <f>Source!AV128</f>
        <v>1.0469999999999999</v>
      </c>
      <c r="I314" s="51">
        <f>Source!U127</f>
        <v>5.0255999999999998</v>
      </c>
      <c r="J314" s="50"/>
      <c r="K314" s="51"/>
    </row>
    <row r="315" spans="1:29" ht="15" x14ac:dyDescent="0.2">
      <c r="C315" s="53" t="s">
        <v>862</v>
      </c>
      <c r="H315" s="54">
        <f>I310+I311+I312+I313+0-0-0</f>
        <v>154.86000000000001</v>
      </c>
      <c r="I315" s="54"/>
      <c r="J315" s="54">
        <f>K310+K311+K312+K313+0-0-0</f>
        <v>8469.2999999999993</v>
      </c>
      <c r="K315" s="54"/>
    </row>
    <row r="316" spans="1:29" ht="15" hidden="1" x14ac:dyDescent="0.2">
      <c r="C316" s="53" t="s">
        <v>863</v>
      </c>
      <c r="H316" s="56">
        <f>0+0</f>
        <v>0</v>
      </c>
      <c r="I316" s="56"/>
      <c r="J316" s="56">
        <f>0+0</f>
        <v>0</v>
      </c>
      <c r="K316" s="56"/>
    </row>
    <row r="317" spans="1:29" ht="15" x14ac:dyDescent="0.2">
      <c r="C317" s="53" t="s">
        <v>864</v>
      </c>
      <c r="H317" s="56">
        <f>I310+I311+I312+I313+0</f>
        <v>154.86000000000001</v>
      </c>
      <c r="I317" s="56"/>
      <c r="J317" s="56">
        <f>K310+K311+K312+K313+0</f>
        <v>8469.2999999999993</v>
      </c>
      <c r="K317" s="56"/>
      <c r="O317" s="57">
        <f>I310+I311+I312+I313+0</f>
        <v>154.86000000000001</v>
      </c>
      <c r="P317" s="57">
        <f>K310+K311+K312+K313+0</f>
        <v>8469.2999999999993</v>
      </c>
    </row>
    <row r="319" spans="1:29" ht="82.5" x14ac:dyDescent="0.2">
      <c r="A319" s="66">
        <v>32</v>
      </c>
      <c r="B319" s="66" t="str">
        <f>Source!F129</f>
        <v>КА, п.8</v>
      </c>
      <c r="C319" s="66" t="s">
        <v>879</v>
      </c>
      <c r="D319" s="67" t="str">
        <f>Source!H129</f>
        <v>ШТ</v>
      </c>
      <c r="E319" s="68">
        <f>Source!I129</f>
        <v>4</v>
      </c>
      <c r="F319" s="69">
        <f>Source!AL129</f>
        <v>146.27000000000001</v>
      </c>
      <c r="G319" s="70" t="s">
        <v>3</v>
      </c>
      <c r="H319" s="68">
        <f>Source!AW130</f>
        <v>1</v>
      </c>
      <c r="I319" s="69">
        <f>Source!P129</f>
        <v>585.08000000000004</v>
      </c>
      <c r="J319" s="68">
        <f>IF(Source!BC130&lt;&gt; 0, Source!BC130, 1)</f>
        <v>7.57</v>
      </c>
      <c r="K319" s="69">
        <f>Source!P130</f>
        <v>4429.0600000000004</v>
      </c>
      <c r="Q319">
        <f>Source!X129</f>
        <v>0</v>
      </c>
      <c r="R319">
        <f>Source!X130</f>
        <v>0</v>
      </c>
      <c r="S319">
        <f>Source!Y129</f>
        <v>0</v>
      </c>
      <c r="T319">
        <f>Source!Y130</f>
        <v>0</v>
      </c>
      <c r="U319">
        <f>ROUND((175/100)*ROUND(Source!R129, 2), 2)</f>
        <v>0</v>
      </c>
      <c r="V319">
        <f>ROUND((0/100)*ROUND(Source!R130, 2), 2)</f>
        <v>0</v>
      </c>
      <c r="AC319">
        <v>5</v>
      </c>
    </row>
    <row r="320" spans="1:29" ht="15" x14ac:dyDescent="0.2">
      <c r="A320" s="71"/>
      <c r="B320" s="71"/>
      <c r="C320" s="72" t="s">
        <v>864</v>
      </c>
      <c r="D320" s="71"/>
      <c r="E320" s="71"/>
      <c r="F320" s="71"/>
      <c r="G320" s="71"/>
      <c r="H320" s="73">
        <f>I319+0</f>
        <v>585.08000000000004</v>
      </c>
      <c r="I320" s="73"/>
      <c r="J320" s="73">
        <f>K319+0</f>
        <v>4429.0600000000004</v>
      </c>
      <c r="K320" s="73"/>
      <c r="O320" s="57">
        <f>I319+0</f>
        <v>585.08000000000004</v>
      </c>
      <c r="P320" s="57">
        <f>K319+0</f>
        <v>4429.0600000000004</v>
      </c>
    </row>
    <row r="322" spans="1:29" ht="42.75" x14ac:dyDescent="0.2">
      <c r="A322" s="41">
        <v>33</v>
      </c>
      <c r="B322" s="41" t="str">
        <f>Source!F131</f>
        <v>4.10-81-4</v>
      </c>
      <c r="C322" s="41" t="s">
        <v>249</v>
      </c>
      <c r="D322" s="43" t="str">
        <f>Source!H131</f>
        <v>1  ШТ.</v>
      </c>
      <c r="E322" s="42">
        <f>Source!I131</f>
        <v>4</v>
      </c>
      <c r="F322" s="45"/>
      <c r="G322" s="44"/>
      <c r="H322" s="42"/>
      <c r="I322" s="45"/>
      <c r="J322" s="42"/>
      <c r="K322" s="45"/>
      <c r="Q322">
        <f>Source!X131</f>
        <v>47.94</v>
      </c>
      <c r="R322">
        <f>Source!X132</f>
        <v>2701.58</v>
      </c>
      <c r="S322">
        <f>Source!Y131</f>
        <v>24.5</v>
      </c>
      <c r="T322">
        <f>Source!Y132</f>
        <v>1380.81</v>
      </c>
      <c r="U322">
        <f>ROUND((175/100)*ROUND(Source!R131, 2), 2)</f>
        <v>0</v>
      </c>
      <c r="V322">
        <f>ROUND((0/100)*ROUND(Source!R132, 2), 2)</f>
        <v>0</v>
      </c>
      <c r="AC322">
        <v>0</v>
      </c>
    </row>
    <row r="323" spans="1:29" ht="14.25" x14ac:dyDescent="0.2">
      <c r="A323" s="41"/>
      <c r="B323" s="41"/>
      <c r="C323" s="41" t="s">
        <v>853</v>
      </c>
      <c r="D323" s="43"/>
      <c r="E323" s="42"/>
      <c r="F323" s="45">
        <f>Source!AO131</f>
        <v>10.6</v>
      </c>
      <c r="G323" s="46" t="s">
        <v>196</v>
      </c>
      <c r="H323" s="42">
        <f>Source!AV132</f>
        <v>1.0469999999999999</v>
      </c>
      <c r="I323" s="45">
        <f>Source!S131</f>
        <v>53.27</v>
      </c>
      <c r="J323" s="42">
        <f>IF(Source!BA132&lt;&gt; 0, Source!BA132, 1)</f>
        <v>56.35</v>
      </c>
      <c r="K323" s="45">
        <f>Source!S132</f>
        <v>3001.76</v>
      </c>
    </row>
    <row r="324" spans="1:29" ht="14.25" x14ac:dyDescent="0.2">
      <c r="A324" s="41"/>
      <c r="B324" s="41"/>
      <c r="C324" s="41" t="s">
        <v>866</v>
      </c>
      <c r="D324" s="43"/>
      <c r="E324" s="42"/>
      <c r="F324" s="45">
        <f>Source!AL131</f>
        <v>1.05</v>
      </c>
      <c r="G324" s="46" t="s">
        <v>3</v>
      </c>
      <c r="H324" s="42">
        <f>Source!AW132</f>
        <v>1</v>
      </c>
      <c r="I324" s="45">
        <f>Source!P131</f>
        <v>4.2</v>
      </c>
      <c r="J324" s="42">
        <f>IF(Source!BC132&lt;&gt; 0, Source!BC132, 1)</f>
        <v>9.84</v>
      </c>
      <c r="K324" s="45">
        <f>Source!P132</f>
        <v>41.33</v>
      </c>
    </row>
    <row r="325" spans="1:29" ht="14.25" x14ac:dyDescent="0.2">
      <c r="A325" s="41"/>
      <c r="B325" s="41"/>
      <c r="C325" s="41" t="s">
        <v>857</v>
      </c>
      <c r="D325" s="43" t="s">
        <v>858</v>
      </c>
      <c r="E325" s="42">
        <f>Source!BZ132</f>
        <v>90</v>
      </c>
      <c r="F325" s="45"/>
      <c r="G325" s="44"/>
      <c r="H325" s="42"/>
      <c r="I325" s="45">
        <f>SUM(Q322:Q324)</f>
        <v>47.94</v>
      </c>
      <c r="J325" s="42">
        <f>Source!AT132</f>
        <v>90</v>
      </c>
      <c r="K325" s="45">
        <f>SUM(R322:R324)</f>
        <v>2701.58</v>
      </c>
    </row>
    <row r="326" spans="1:29" ht="14.25" x14ac:dyDescent="0.2">
      <c r="A326" s="41"/>
      <c r="B326" s="41"/>
      <c r="C326" s="41" t="s">
        <v>859</v>
      </c>
      <c r="D326" s="43" t="s">
        <v>858</v>
      </c>
      <c r="E326" s="42">
        <f>Source!CA132</f>
        <v>46</v>
      </c>
      <c r="F326" s="45"/>
      <c r="G326" s="44"/>
      <c r="H326" s="42"/>
      <c r="I326" s="45">
        <f>SUM(S322:S325)</f>
        <v>24.5</v>
      </c>
      <c r="J326" s="42">
        <f>Source!AU132</f>
        <v>46</v>
      </c>
      <c r="K326" s="45">
        <f>SUM(T322:T325)</f>
        <v>1380.81</v>
      </c>
    </row>
    <row r="327" spans="1:29" ht="14.25" x14ac:dyDescent="0.2">
      <c r="A327" s="48"/>
      <c r="B327" s="48"/>
      <c r="C327" s="48" t="s">
        <v>860</v>
      </c>
      <c r="D327" s="49" t="s">
        <v>861</v>
      </c>
      <c r="E327" s="50">
        <f>Source!AQ131</f>
        <v>0.84</v>
      </c>
      <c r="F327" s="51"/>
      <c r="G327" s="52" t="s">
        <v>196</v>
      </c>
      <c r="H327" s="50">
        <f>Source!AV132</f>
        <v>1.0469999999999999</v>
      </c>
      <c r="I327" s="51">
        <f>Source!U131</f>
        <v>4.2215039999999995</v>
      </c>
      <c r="J327" s="50"/>
      <c r="K327" s="51"/>
    </row>
    <row r="328" spans="1:29" ht="15" x14ac:dyDescent="0.2">
      <c r="C328" s="53" t="s">
        <v>862</v>
      </c>
      <c r="H328" s="54">
        <f>I323+I324+I325+I326+0-0-0</f>
        <v>129.91</v>
      </c>
      <c r="I328" s="54"/>
      <c r="J328" s="54">
        <f>K323+K324+K325+K326+0-0-0</f>
        <v>7125.48</v>
      </c>
      <c r="K328" s="54"/>
    </row>
    <row r="329" spans="1:29" ht="15" hidden="1" x14ac:dyDescent="0.2">
      <c r="C329" s="53" t="s">
        <v>863</v>
      </c>
      <c r="H329" s="56">
        <f>0+0</f>
        <v>0</v>
      </c>
      <c r="I329" s="56"/>
      <c r="J329" s="56">
        <f>0+0</f>
        <v>0</v>
      </c>
      <c r="K329" s="56"/>
    </row>
    <row r="330" spans="1:29" ht="15" x14ac:dyDescent="0.2">
      <c r="C330" s="53" t="s">
        <v>864</v>
      </c>
      <c r="H330" s="56">
        <f>I323+I324+I325+I326+0</f>
        <v>129.91</v>
      </c>
      <c r="I330" s="56"/>
      <c r="J330" s="56">
        <f>K323+K324+K325+K326+0</f>
        <v>7125.48</v>
      </c>
      <c r="K330" s="56"/>
      <c r="O330" s="57">
        <f>I323+I324+I325+I326+0</f>
        <v>129.91</v>
      </c>
      <c r="P330" s="57">
        <f>K323+K324+K325+K326+0</f>
        <v>7125.48</v>
      </c>
    </row>
    <row r="332" spans="1:29" ht="185.25" x14ac:dyDescent="0.2">
      <c r="A332" s="66">
        <v>34</v>
      </c>
      <c r="B332" s="66" t="str">
        <f>Source!F133</f>
        <v>13.1-2-141</v>
      </c>
      <c r="C332" s="66" t="s">
        <v>880</v>
      </c>
      <c r="D332" s="67" t="str">
        <f>Source!H133</f>
        <v>шт.</v>
      </c>
      <c r="E332" s="68">
        <f>Source!I133</f>
        <v>4</v>
      </c>
      <c r="F332" s="69">
        <f>Source!AL133</f>
        <v>34.94</v>
      </c>
      <c r="G332" s="70" t="s">
        <v>3</v>
      </c>
      <c r="H332" s="68">
        <f>Source!AW134</f>
        <v>1</v>
      </c>
      <c r="I332" s="69">
        <f>Source!P133</f>
        <v>139.76</v>
      </c>
      <c r="J332" s="68">
        <f>IF(Source!BC134&lt;&gt; 0, Source!BC134, 1)</f>
        <v>4.24</v>
      </c>
      <c r="K332" s="69">
        <f>Source!P134</f>
        <v>592.58000000000004</v>
      </c>
      <c r="Q332">
        <f>Source!X133</f>
        <v>0</v>
      </c>
      <c r="R332">
        <f>Source!X134</f>
        <v>0</v>
      </c>
      <c r="S332">
        <f>Source!Y133</f>
        <v>0</v>
      </c>
      <c r="T332">
        <f>Source!Y134</f>
        <v>0</v>
      </c>
      <c r="U332">
        <f>ROUND((175/100)*ROUND(Source!R133, 2), 2)</f>
        <v>0</v>
      </c>
      <c r="V332">
        <f>ROUND((0/100)*ROUND(Source!R134, 2), 2)</f>
        <v>0</v>
      </c>
      <c r="AC332">
        <v>5</v>
      </c>
    </row>
    <row r="333" spans="1:29" ht="15" x14ac:dyDescent="0.2">
      <c r="A333" s="71"/>
      <c r="B333" s="71"/>
      <c r="C333" s="72" t="s">
        <v>864</v>
      </c>
      <c r="D333" s="71"/>
      <c r="E333" s="71"/>
      <c r="F333" s="71"/>
      <c r="G333" s="71"/>
      <c r="H333" s="73">
        <f>I332+0</f>
        <v>139.76</v>
      </c>
      <c r="I333" s="73"/>
      <c r="J333" s="73">
        <f>K332+0</f>
        <v>592.58000000000004</v>
      </c>
      <c r="K333" s="73"/>
      <c r="O333" s="57">
        <f>I332+0</f>
        <v>139.76</v>
      </c>
      <c r="P333" s="57">
        <f>K332+0</f>
        <v>592.58000000000004</v>
      </c>
    </row>
    <row r="335" spans="1:29" ht="42.75" x14ac:dyDescent="0.2">
      <c r="A335" s="41">
        <v>35</v>
      </c>
      <c r="B335" s="41" t="str">
        <f>Source!F135</f>
        <v>4.8-245-10</v>
      </c>
      <c r="C335" s="41" t="s">
        <v>254</v>
      </c>
      <c r="D335" s="43" t="str">
        <f>Source!H135</f>
        <v>100 шт.</v>
      </c>
      <c r="E335" s="42">
        <f>Source!I135</f>
        <v>0.12</v>
      </c>
      <c r="F335" s="45"/>
      <c r="G335" s="44"/>
      <c r="H335" s="42"/>
      <c r="I335" s="45"/>
      <c r="J335" s="42"/>
      <c r="K335" s="45"/>
      <c r="Q335">
        <f>Source!X135</f>
        <v>162.75</v>
      </c>
      <c r="R335">
        <f>Source!X136</f>
        <v>9170.7800000000007</v>
      </c>
      <c r="S335">
        <f>Source!Y135</f>
        <v>85.57</v>
      </c>
      <c r="T335">
        <f>Source!Y136</f>
        <v>4821.75</v>
      </c>
      <c r="U335">
        <f>ROUND((175/100)*ROUND(Source!R135, 2), 2)</f>
        <v>3.43</v>
      </c>
      <c r="V335">
        <f>ROUND((0/100)*ROUND(Source!R136, 2), 2)</f>
        <v>0</v>
      </c>
      <c r="AC335">
        <v>0</v>
      </c>
    </row>
    <row r="336" spans="1:29" x14ac:dyDescent="0.2">
      <c r="C336" s="58" t="str">
        <f>"Объем: "&amp;Source!I135&amp;"=(4+"&amp;"4+"&amp;"4)/"&amp;"100"</f>
        <v>Объем: 0,12=(4+4+4)/100</v>
      </c>
    </row>
    <row r="337" spans="1:29" ht="14.25" x14ac:dyDescent="0.2">
      <c r="A337" s="41"/>
      <c r="B337" s="41"/>
      <c r="C337" s="41" t="s">
        <v>853</v>
      </c>
      <c r="D337" s="43"/>
      <c r="E337" s="42"/>
      <c r="F337" s="45">
        <f>Source!AO135</f>
        <v>1099.8599999999999</v>
      </c>
      <c r="G337" s="46" t="s">
        <v>196</v>
      </c>
      <c r="H337" s="42">
        <f>Source!AV136</f>
        <v>1.0469999999999999</v>
      </c>
      <c r="I337" s="45">
        <f>Source!S135</f>
        <v>165.82</v>
      </c>
      <c r="J337" s="42">
        <f>IF(Source!BA136&lt;&gt; 0, Source!BA136, 1)</f>
        <v>56.35</v>
      </c>
      <c r="K337" s="45">
        <f>Source!S136</f>
        <v>9343.9599999999991</v>
      </c>
    </row>
    <row r="338" spans="1:29" ht="14.25" x14ac:dyDescent="0.2">
      <c r="A338" s="41"/>
      <c r="B338" s="41"/>
      <c r="C338" s="41" t="s">
        <v>855</v>
      </c>
      <c r="D338" s="43"/>
      <c r="E338" s="42"/>
      <c r="F338" s="45">
        <f>Source!AM135</f>
        <v>93.32</v>
      </c>
      <c r="G338" s="46" t="s">
        <v>196</v>
      </c>
      <c r="H338" s="42">
        <f>Source!AV136</f>
        <v>1.0469999999999999</v>
      </c>
      <c r="I338" s="45">
        <f>Source!Q135</f>
        <v>14.07</v>
      </c>
      <c r="J338" s="42">
        <f>IF(Source!BB136&lt;&gt; 0, Source!BB136, 1)</f>
        <v>16.420000000000002</v>
      </c>
      <c r="K338" s="45">
        <f>Source!Q136</f>
        <v>231.03</v>
      </c>
    </row>
    <row r="339" spans="1:29" ht="14.25" x14ac:dyDescent="0.2">
      <c r="A339" s="41"/>
      <c r="B339" s="41"/>
      <c r="C339" s="41" t="s">
        <v>856</v>
      </c>
      <c r="D339" s="43"/>
      <c r="E339" s="42"/>
      <c r="F339" s="45">
        <f>Source!AN135</f>
        <v>13</v>
      </c>
      <c r="G339" s="46" t="s">
        <v>196</v>
      </c>
      <c r="H339" s="42">
        <f>Source!AV136</f>
        <v>1.0469999999999999</v>
      </c>
      <c r="I339" s="47">
        <f>Source!R135</f>
        <v>1.96</v>
      </c>
      <c r="J339" s="42">
        <f>IF(Source!BS136&lt;&gt; 0, Source!BS136, 1)</f>
        <v>56.35</v>
      </c>
      <c r="K339" s="47">
        <f>Source!R136</f>
        <v>110.45</v>
      </c>
    </row>
    <row r="340" spans="1:29" ht="14.25" x14ac:dyDescent="0.2">
      <c r="A340" s="41"/>
      <c r="B340" s="41"/>
      <c r="C340" s="41" t="s">
        <v>866</v>
      </c>
      <c r="D340" s="43"/>
      <c r="E340" s="42"/>
      <c r="F340" s="45">
        <f>Source!AL135</f>
        <v>81.36</v>
      </c>
      <c r="G340" s="46" t="s">
        <v>3</v>
      </c>
      <c r="H340" s="42">
        <f>Source!AW136</f>
        <v>1</v>
      </c>
      <c r="I340" s="45">
        <f>Source!P135</f>
        <v>9.76</v>
      </c>
      <c r="J340" s="42">
        <f>IF(Source!BC136&lt;&gt; 0, Source!BC136, 1)</f>
        <v>10.65</v>
      </c>
      <c r="K340" s="45">
        <f>Source!P136</f>
        <v>103.94</v>
      </c>
    </row>
    <row r="341" spans="1:29" ht="14.25" x14ac:dyDescent="0.2">
      <c r="A341" s="41"/>
      <c r="B341" s="41"/>
      <c r="C341" s="41" t="s">
        <v>857</v>
      </c>
      <c r="D341" s="43" t="s">
        <v>858</v>
      </c>
      <c r="E341" s="42">
        <f>Source!BZ136</f>
        <v>97</v>
      </c>
      <c r="F341" s="45"/>
      <c r="G341" s="44"/>
      <c r="H341" s="42"/>
      <c r="I341" s="45">
        <f>SUM(Q335:Q340)</f>
        <v>162.75</v>
      </c>
      <c r="J341" s="42">
        <f>Source!AT136</f>
        <v>97</v>
      </c>
      <c r="K341" s="45">
        <f>SUM(R335:R340)</f>
        <v>9170.7800000000007</v>
      </c>
    </row>
    <row r="342" spans="1:29" ht="14.25" x14ac:dyDescent="0.2">
      <c r="A342" s="41"/>
      <c r="B342" s="41"/>
      <c r="C342" s="41" t="s">
        <v>859</v>
      </c>
      <c r="D342" s="43" t="s">
        <v>858</v>
      </c>
      <c r="E342" s="42">
        <f>Source!CA136</f>
        <v>51</v>
      </c>
      <c r="F342" s="45"/>
      <c r="G342" s="44"/>
      <c r="H342" s="42"/>
      <c r="I342" s="45">
        <f>SUM(S335:S341)</f>
        <v>85.57</v>
      </c>
      <c r="J342" s="42">
        <f>Source!AU136</f>
        <v>51</v>
      </c>
      <c r="K342" s="45">
        <f>SUM(T335:T341)</f>
        <v>4821.75</v>
      </c>
    </row>
    <row r="343" spans="1:29" ht="14.25" x14ac:dyDescent="0.2">
      <c r="A343" s="48"/>
      <c r="B343" s="48"/>
      <c r="C343" s="48" t="s">
        <v>860</v>
      </c>
      <c r="D343" s="49" t="s">
        <v>861</v>
      </c>
      <c r="E343" s="50">
        <f>Source!AQ135</f>
        <v>84.67</v>
      </c>
      <c r="F343" s="51"/>
      <c r="G343" s="52" t="s">
        <v>196</v>
      </c>
      <c r="H343" s="50">
        <f>Source!AV136</f>
        <v>1.0469999999999999</v>
      </c>
      <c r="I343" s="51">
        <f>Source!U135</f>
        <v>12.765526559999998</v>
      </c>
      <c r="J343" s="50"/>
      <c r="K343" s="51"/>
    </row>
    <row r="344" spans="1:29" ht="15" x14ac:dyDescent="0.2">
      <c r="C344" s="53" t="s">
        <v>862</v>
      </c>
      <c r="H344" s="54">
        <f>I337+I338+I340+I341+I342+0-0-0</f>
        <v>437.96999999999997</v>
      </c>
      <c r="I344" s="54"/>
      <c r="J344" s="54">
        <f>K337+K338+K340+K341+K342+0-0-0</f>
        <v>23671.46</v>
      </c>
      <c r="K344" s="54"/>
    </row>
    <row r="345" spans="1:29" ht="15" hidden="1" x14ac:dyDescent="0.2">
      <c r="C345" s="53" t="s">
        <v>863</v>
      </c>
      <c r="H345" s="56">
        <f>0+0</f>
        <v>0</v>
      </c>
      <c r="I345" s="56"/>
      <c r="J345" s="56">
        <f>0+0</f>
        <v>0</v>
      </c>
      <c r="K345" s="56"/>
    </row>
    <row r="346" spans="1:29" ht="15" x14ac:dyDescent="0.2">
      <c r="C346" s="53" t="s">
        <v>864</v>
      </c>
      <c r="H346" s="56">
        <f>I337+I338+I340+I341+I342+0</f>
        <v>437.96999999999997</v>
      </c>
      <c r="I346" s="56"/>
      <c r="J346" s="56">
        <f>K337+K338+K340+K341+K342+0</f>
        <v>23671.46</v>
      </c>
      <c r="K346" s="56"/>
      <c r="O346" s="57">
        <f>I337+I338+I340+I341+I342+0</f>
        <v>437.96999999999997</v>
      </c>
      <c r="P346" s="57">
        <f>K337+K338+K340+K341+K342+0</f>
        <v>23671.46</v>
      </c>
    </row>
    <row r="348" spans="1:29" ht="156.75" x14ac:dyDescent="0.2">
      <c r="A348" s="66">
        <v>36</v>
      </c>
      <c r="B348" s="66" t="str">
        <f>Source!F137</f>
        <v>13.1-2-412</v>
      </c>
      <c r="C348" s="66" t="s">
        <v>881</v>
      </c>
      <c r="D348" s="67" t="str">
        <f>Source!H137</f>
        <v>шт.</v>
      </c>
      <c r="E348" s="68">
        <f>Source!I137</f>
        <v>12</v>
      </c>
      <c r="F348" s="69">
        <f>Source!AL137</f>
        <v>140.78</v>
      </c>
      <c r="G348" s="70" t="s">
        <v>3</v>
      </c>
      <c r="H348" s="68">
        <f>Source!AW138</f>
        <v>1</v>
      </c>
      <c r="I348" s="69">
        <f>Source!P137</f>
        <v>1689.36</v>
      </c>
      <c r="J348" s="68">
        <f>IF(Source!BC138&lt;&gt; 0, Source!BC138, 1)</f>
        <v>5.14</v>
      </c>
      <c r="K348" s="69">
        <f>Source!P138</f>
        <v>8683.31</v>
      </c>
      <c r="Q348">
        <f>Source!X137</f>
        <v>0</v>
      </c>
      <c r="R348">
        <f>Source!X138</f>
        <v>0</v>
      </c>
      <c r="S348">
        <f>Source!Y137</f>
        <v>0</v>
      </c>
      <c r="T348">
        <f>Source!Y138</f>
        <v>0</v>
      </c>
      <c r="U348">
        <f>ROUND((175/100)*ROUND(Source!R137, 2), 2)</f>
        <v>0</v>
      </c>
      <c r="V348">
        <f>ROUND((0/100)*ROUND(Source!R138, 2), 2)</f>
        <v>0</v>
      </c>
      <c r="AC348">
        <v>5</v>
      </c>
    </row>
    <row r="349" spans="1:29" ht="15" x14ac:dyDescent="0.2">
      <c r="A349" s="71"/>
      <c r="B349" s="71"/>
      <c r="C349" s="72" t="s">
        <v>864</v>
      </c>
      <c r="D349" s="71"/>
      <c r="E349" s="71"/>
      <c r="F349" s="71"/>
      <c r="G349" s="71"/>
      <c r="H349" s="73">
        <f>I348+0</f>
        <v>1689.36</v>
      </c>
      <c r="I349" s="73"/>
      <c r="J349" s="73">
        <f>K348+0</f>
        <v>8683.31</v>
      </c>
      <c r="K349" s="73"/>
      <c r="O349" s="57">
        <f>I348+0</f>
        <v>1689.36</v>
      </c>
      <c r="P349" s="57">
        <f>K348+0</f>
        <v>8683.31</v>
      </c>
    </row>
    <row r="351" spans="1:29" ht="57" x14ac:dyDescent="0.2">
      <c r="A351" s="41">
        <v>37</v>
      </c>
      <c r="B351" s="41" t="str">
        <f>Source!F139</f>
        <v>4.10-81-2</v>
      </c>
      <c r="C351" s="41" t="s">
        <v>238</v>
      </c>
      <c r="D351" s="43" t="str">
        <f>Source!H139</f>
        <v>1  ШТ.</v>
      </c>
      <c r="E351" s="42">
        <f>Source!I139</f>
        <v>4</v>
      </c>
      <c r="F351" s="45"/>
      <c r="G351" s="44"/>
      <c r="H351" s="42"/>
      <c r="I351" s="45"/>
      <c r="J351" s="42"/>
      <c r="K351" s="45"/>
      <c r="Q351">
        <f>Source!X139</f>
        <v>95.93</v>
      </c>
      <c r="R351">
        <f>Source!X140</f>
        <v>5405.72</v>
      </c>
      <c r="S351">
        <f>Source!Y139</f>
        <v>49.03</v>
      </c>
      <c r="T351">
        <f>Source!Y140</f>
        <v>2762.92</v>
      </c>
      <c r="U351">
        <f>ROUND((175/100)*ROUND(Source!R139, 2), 2)</f>
        <v>0.09</v>
      </c>
      <c r="V351">
        <f>ROUND((0/100)*ROUND(Source!R140, 2), 2)</f>
        <v>0</v>
      </c>
      <c r="AC351">
        <v>0</v>
      </c>
    </row>
    <row r="352" spans="1:29" ht="14.25" x14ac:dyDescent="0.2">
      <c r="A352" s="41"/>
      <c r="B352" s="41"/>
      <c r="C352" s="41" t="s">
        <v>853</v>
      </c>
      <c r="D352" s="43"/>
      <c r="E352" s="42"/>
      <c r="F352" s="45">
        <f>Source!AO139</f>
        <v>21.2</v>
      </c>
      <c r="G352" s="46" t="s">
        <v>196</v>
      </c>
      <c r="H352" s="42">
        <f>Source!AV140</f>
        <v>1.0469999999999999</v>
      </c>
      <c r="I352" s="45">
        <f>Source!S139</f>
        <v>106.54</v>
      </c>
      <c r="J352" s="42">
        <f>IF(Source!BA140&lt;&gt; 0, Source!BA140, 1)</f>
        <v>56.35</v>
      </c>
      <c r="K352" s="45">
        <f>Source!S140</f>
        <v>6003.53</v>
      </c>
    </row>
    <row r="353" spans="1:29" ht="14.25" x14ac:dyDescent="0.2">
      <c r="A353" s="41"/>
      <c r="B353" s="41"/>
      <c r="C353" s="41" t="s">
        <v>855</v>
      </c>
      <c r="D353" s="43"/>
      <c r="E353" s="42"/>
      <c r="F353" s="45">
        <f>Source!AM139</f>
        <v>0.06</v>
      </c>
      <c r="G353" s="46" t="s">
        <v>196</v>
      </c>
      <c r="H353" s="42">
        <f>Source!AV140</f>
        <v>1.0469999999999999</v>
      </c>
      <c r="I353" s="45">
        <f>Source!Q139</f>
        <v>0.3</v>
      </c>
      <c r="J353" s="42">
        <f>IF(Source!BB140&lt;&gt; 0, Source!BB140, 1)</f>
        <v>18.5</v>
      </c>
      <c r="K353" s="45">
        <f>Source!Q140</f>
        <v>5.55</v>
      </c>
    </row>
    <row r="354" spans="1:29" ht="14.25" x14ac:dyDescent="0.2">
      <c r="A354" s="41"/>
      <c r="B354" s="41"/>
      <c r="C354" s="41" t="s">
        <v>856</v>
      </c>
      <c r="D354" s="43"/>
      <c r="E354" s="42"/>
      <c r="F354" s="45">
        <f>Source!AN139</f>
        <v>0.01</v>
      </c>
      <c r="G354" s="46" t="s">
        <v>196</v>
      </c>
      <c r="H354" s="42">
        <f>Source!AV140</f>
        <v>1.0469999999999999</v>
      </c>
      <c r="I354" s="47">
        <f>Source!R139</f>
        <v>0.05</v>
      </c>
      <c r="J354" s="42">
        <f>IF(Source!BS140&lt;&gt; 0, Source!BS140, 1)</f>
        <v>56.35</v>
      </c>
      <c r="K354" s="47">
        <f>Source!R140</f>
        <v>2.82</v>
      </c>
    </row>
    <row r="355" spans="1:29" ht="14.25" x14ac:dyDescent="0.2">
      <c r="A355" s="41"/>
      <c r="B355" s="41"/>
      <c r="C355" s="41" t="s">
        <v>866</v>
      </c>
      <c r="D355" s="43"/>
      <c r="E355" s="42"/>
      <c r="F355" s="45">
        <f>Source!AL139</f>
        <v>1.26</v>
      </c>
      <c r="G355" s="46" t="s">
        <v>3</v>
      </c>
      <c r="H355" s="42">
        <f>Source!AW140</f>
        <v>1</v>
      </c>
      <c r="I355" s="45">
        <f>Source!P139</f>
        <v>5.04</v>
      </c>
      <c r="J355" s="42">
        <f>IF(Source!BC140&lt;&gt; 0, Source!BC140, 1)</f>
        <v>9.84</v>
      </c>
      <c r="K355" s="45">
        <f>Source!P140</f>
        <v>49.59</v>
      </c>
    </row>
    <row r="356" spans="1:29" ht="14.25" x14ac:dyDescent="0.2">
      <c r="A356" s="41"/>
      <c r="B356" s="41"/>
      <c r="C356" s="41" t="s">
        <v>857</v>
      </c>
      <c r="D356" s="43" t="s">
        <v>858</v>
      </c>
      <c r="E356" s="42">
        <f>Source!BZ140</f>
        <v>90</v>
      </c>
      <c r="F356" s="45"/>
      <c r="G356" s="44"/>
      <c r="H356" s="42"/>
      <c r="I356" s="45">
        <f>SUM(Q351:Q355)</f>
        <v>95.93</v>
      </c>
      <c r="J356" s="42">
        <f>Source!AT140</f>
        <v>90</v>
      </c>
      <c r="K356" s="45">
        <f>SUM(R351:R355)</f>
        <v>5405.72</v>
      </c>
    </row>
    <row r="357" spans="1:29" ht="14.25" x14ac:dyDescent="0.2">
      <c r="A357" s="41"/>
      <c r="B357" s="41"/>
      <c r="C357" s="41" t="s">
        <v>859</v>
      </c>
      <c r="D357" s="43" t="s">
        <v>858</v>
      </c>
      <c r="E357" s="42">
        <f>Source!CA140</f>
        <v>46</v>
      </c>
      <c r="F357" s="45"/>
      <c r="G357" s="44"/>
      <c r="H357" s="42"/>
      <c r="I357" s="45">
        <f>SUM(S351:S356)</f>
        <v>49.03</v>
      </c>
      <c r="J357" s="42">
        <f>Source!AU140</f>
        <v>46</v>
      </c>
      <c r="K357" s="45">
        <f>SUM(T351:T356)</f>
        <v>2762.92</v>
      </c>
    </row>
    <row r="358" spans="1:29" ht="14.25" x14ac:dyDescent="0.2">
      <c r="A358" s="48"/>
      <c r="B358" s="48"/>
      <c r="C358" s="48" t="s">
        <v>860</v>
      </c>
      <c r="D358" s="49" t="s">
        <v>861</v>
      </c>
      <c r="E358" s="50">
        <f>Source!AQ139</f>
        <v>1.68</v>
      </c>
      <c r="F358" s="51"/>
      <c r="G358" s="52" t="s">
        <v>196</v>
      </c>
      <c r="H358" s="50">
        <f>Source!AV140</f>
        <v>1.0469999999999999</v>
      </c>
      <c r="I358" s="51">
        <f>Source!U139</f>
        <v>8.443007999999999</v>
      </c>
      <c r="J358" s="50"/>
      <c r="K358" s="51"/>
    </row>
    <row r="359" spans="1:29" ht="15" x14ac:dyDescent="0.2">
      <c r="C359" s="53" t="s">
        <v>862</v>
      </c>
      <c r="H359" s="54">
        <f>I352+I353+I355+I356+I357+0-0-0</f>
        <v>256.84000000000003</v>
      </c>
      <c r="I359" s="54"/>
      <c r="J359" s="54">
        <f>K352+K353+K355+K356+K357+0-0-0</f>
        <v>14227.31</v>
      </c>
      <c r="K359" s="54"/>
    </row>
    <row r="360" spans="1:29" ht="15" hidden="1" x14ac:dyDescent="0.2">
      <c r="C360" s="53" t="s">
        <v>863</v>
      </c>
      <c r="H360" s="56">
        <f>0+0</f>
        <v>0</v>
      </c>
      <c r="I360" s="56"/>
      <c r="J360" s="56">
        <f>0+0</f>
        <v>0</v>
      </c>
      <c r="K360" s="56"/>
    </row>
    <row r="361" spans="1:29" ht="15" x14ac:dyDescent="0.2">
      <c r="C361" s="53" t="s">
        <v>864</v>
      </c>
      <c r="H361" s="56">
        <f>I352+I353+I355+I356+I357+0</f>
        <v>256.84000000000003</v>
      </c>
      <c r="I361" s="56"/>
      <c r="J361" s="56">
        <f>K352+K353+K355+K356+K357+0</f>
        <v>14227.31</v>
      </c>
      <c r="K361" s="56"/>
      <c r="O361" s="57">
        <f>I352+I353+I355+I356+I357+0</f>
        <v>256.84000000000003</v>
      </c>
      <c r="P361" s="57">
        <f>K352+K353+K355+K356+K357+0</f>
        <v>14227.31</v>
      </c>
    </row>
    <row r="363" spans="1:29" ht="82.5" x14ac:dyDescent="0.2">
      <c r="A363" s="66">
        <v>38</v>
      </c>
      <c r="B363" s="66" t="str">
        <f>Source!F141</f>
        <v>КА, п.9</v>
      </c>
      <c r="C363" s="66" t="s">
        <v>882</v>
      </c>
      <c r="D363" s="67" t="str">
        <f>Source!H141</f>
        <v>ШТ</v>
      </c>
      <c r="E363" s="68">
        <f>Source!I141</f>
        <v>4</v>
      </c>
      <c r="F363" s="69">
        <f>Source!AL141</f>
        <v>92.32</v>
      </c>
      <c r="G363" s="70" t="s">
        <v>3</v>
      </c>
      <c r="H363" s="68">
        <f>Source!AW142</f>
        <v>1</v>
      </c>
      <c r="I363" s="69">
        <f>Source!P141</f>
        <v>369.28</v>
      </c>
      <c r="J363" s="68">
        <f>IF(Source!BC142&lt;&gt; 0, Source!BC142, 1)</f>
        <v>7.57</v>
      </c>
      <c r="K363" s="69">
        <f>Source!P142</f>
        <v>2795.45</v>
      </c>
      <c r="Q363">
        <f>Source!X141</f>
        <v>0</v>
      </c>
      <c r="R363">
        <f>Source!X142</f>
        <v>0</v>
      </c>
      <c r="S363">
        <f>Source!Y141</f>
        <v>0</v>
      </c>
      <c r="T363">
        <f>Source!Y142</f>
        <v>0</v>
      </c>
      <c r="U363">
        <f>ROUND((175/100)*ROUND(Source!R141, 2), 2)</f>
        <v>0</v>
      </c>
      <c r="V363">
        <f>ROUND((0/100)*ROUND(Source!R142, 2), 2)</f>
        <v>0</v>
      </c>
      <c r="AC363">
        <v>5</v>
      </c>
    </row>
    <row r="364" spans="1:29" ht="15" x14ac:dyDescent="0.2">
      <c r="A364" s="71"/>
      <c r="B364" s="71"/>
      <c r="C364" s="72" t="s">
        <v>864</v>
      </c>
      <c r="D364" s="71"/>
      <c r="E364" s="71"/>
      <c r="F364" s="71"/>
      <c r="G364" s="71"/>
      <c r="H364" s="73">
        <f>I363+0</f>
        <v>369.28</v>
      </c>
      <c r="I364" s="73"/>
      <c r="J364" s="73">
        <f>K363+0</f>
        <v>2795.45</v>
      </c>
      <c r="K364" s="73"/>
      <c r="O364" s="57">
        <f>I363+0</f>
        <v>369.28</v>
      </c>
      <c r="P364" s="57">
        <f>K363+0</f>
        <v>2795.45</v>
      </c>
    </row>
    <row r="366" spans="1:29" ht="57" x14ac:dyDescent="0.2">
      <c r="A366" s="41">
        <v>39</v>
      </c>
      <c r="B366" s="41" t="str">
        <f>Source!F143</f>
        <v>4.37-18-4</v>
      </c>
      <c r="C366" s="41" t="s">
        <v>264</v>
      </c>
      <c r="D366" s="43" t="str">
        <f>Source!H143</f>
        <v>1  ШТ.</v>
      </c>
      <c r="E366" s="42">
        <f>Source!I143</f>
        <v>9</v>
      </c>
      <c r="F366" s="45"/>
      <c r="G366" s="44"/>
      <c r="H366" s="42"/>
      <c r="I366" s="45"/>
      <c r="J366" s="42"/>
      <c r="K366" s="45"/>
      <c r="Q366">
        <f>Source!X143</f>
        <v>103.37</v>
      </c>
      <c r="R366">
        <f>Source!X144</f>
        <v>5824.97</v>
      </c>
      <c r="S366">
        <f>Source!Y143</f>
        <v>55.06</v>
      </c>
      <c r="T366">
        <f>Source!Y144</f>
        <v>3102.43</v>
      </c>
      <c r="U366">
        <f>ROUND((175/100)*ROUND(Source!R143, 2), 2)</f>
        <v>0</v>
      </c>
      <c r="V366">
        <f>ROUND((0/100)*ROUND(Source!R144, 2), 2)</f>
        <v>0</v>
      </c>
      <c r="AC366">
        <v>0</v>
      </c>
    </row>
    <row r="367" spans="1:29" x14ac:dyDescent="0.2">
      <c r="C367" s="58" t="str">
        <f>"Объем: "&amp;Source!I143&amp;"=3+"&amp;"2+"&amp;"2+"&amp;"2"</f>
        <v>Объем: 9=3+2+2+2</v>
      </c>
    </row>
    <row r="368" spans="1:29" ht="14.25" x14ac:dyDescent="0.2">
      <c r="A368" s="41"/>
      <c r="B368" s="41"/>
      <c r="C368" s="41" t="s">
        <v>853</v>
      </c>
      <c r="D368" s="43"/>
      <c r="E368" s="42"/>
      <c r="F368" s="45">
        <f>Source!AO143</f>
        <v>9.75</v>
      </c>
      <c r="G368" s="46" t="s">
        <v>196</v>
      </c>
      <c r="H368" s="42">
        <f>Source!AV144</f>
        <v>1.0669999999999999</v>
      </c>
      <c r="I368" s="45">
        <f>Source!S143</f>
        <v>112.36</v>
      </c>
      <c r="J368" s="42">
        <f>IF(Source!BA144&lt;&gt; 0, Source!BA144, 1)</f>
        <v>56.35</v>
      </c>
      <c r="K368" s="45">
        <f>Source!S144</f>
        <v>6331.49</v>
      </c>
    </row>
    <row r="369" spans="1:29" ht="14.25" x14ac:dyDescent="0.2">
      <c r="A369" s="41"/>
      <c r="B369" s="41"/>
      <c r="C369" s="41" t="s">
        <v>855</v>
      </c>
      <c r="D369" s="43"/>
      <c r="E369" s="42"/>
      <c r="F369" s="45">
        <f>Source!AM143</f>
        <v>0.05</v>
      </c>
      <c r="G369" s="46" t="s">
        <v>196</v>
      </c>
      <c r="H369" s="42">
        <f>Source!AV144</f>
        <v>1.0669999999999999</v>
      </c>
      <c r="I369" s="45">
        <f>Source!Q143</f>
        <v>0.57999999999999996</v>
      </c>
      <c r="J369" s="42">
        <f>IF(Source!BB144&lt;&gt; 0, Source!BB144, 1)</f>
        <v>8.8000000000000007</v>
      </c>
      <c r="K369" s="45">
        <f>Source!Q144</f>
        <v>5.0999999999999996</v>
      </c>
    </row>
    <row r="370" spans="1:29" ht="14.25" x14ac:dyDescent="0.2">
      <c r="A370" s="41"/>
      <c r="B370" s="41"/>
      <c r="C370" s="41" t="s">
        <v>866</v>
      </c>
      <c r="D370" s="43"/>
      <c r="E370" s="42"/>
      <c r="F370" s="45">
        <f>Source!AL143</f>
        <v>1.31</v>
      </c>
      <c r="G370" s="46" t="s">
        <v>3</v>
      </c>
      <c r="H370" s="42">
        <f>Source!AW144</f>
        <v>1.028</v>
      </c>
      <c r="I370" s="45">
        <f>Source!P143</f>
        <v>12.12</v>
      </c>
      <c r="J370" s="42">
        <f>IF(Source!BC144&lt;&gt; 0, Source!BC144, 1)</f>
        <v>2.9</v>
      </c>
      <c r="K370" s="45">
        <f>Source!P144</f>
        <v>35.15</v>
      </c>
    </row>
    <row r="371" spans="1:29" ht="14.25" x14ac:dyDescent="0.2">
      <c r="A371" s="41"/>
      <c r="B371" s="41"/>
      <c r="C371" s="41" t="s">
        <v>857</v>
      </c>
      <c r="D371" s="43" t="s">
        <v>858</v>
      </c>
      <c r="E371" s="42">
        <f>Source!BZ144</f>
        <v>92</v>
      </c>
      <c r="F371" s="45"/>
      <c r="G371" s="44"/>
      <c r="H371" s="42"/>
      <c r="I371" s="45">
        <f>SUM(Q366:Q370)</f>
        <v>103.37</v>
      </c>
      <c r="J371" s="42">
        <f>Source!AT144</f>
        <v>92</v>
      </c>
      <c r="K371" s="45">
        <f>SUM(R366:R370)</f>
        <v>5824.97</v>
      </c>
    </row>
    <row r="372" spans="1:29" ht="14.25" x14ac:dyDescent="0.2">
      <c r="A372" s="41"/>
      <c r="B372" s="41"/>
      <c r="C372" s="41" t="s">
        <v>859</v>
      </c>
      <c r="D372" s="43" t="s">
        <v>858</v>
      </c>
      <c r="E372" s="42">
        <f>Source!CA144</f>
        <v>49</v>
      </c>
      <c r="F372" s="45"/>
      <c r="G372" s="44"/>
      <c r="H372" s="42"/>
      <c r="I372" s="45">
        <f>SUM(S366:S371)</f>
        <v>55.06</v>
      </c>
      <c r="J372" s="42">
        <f>Source!AU144</f>
        <v>49</v>
      </c>
      <c r="K372" s="45">
        <f>SUM(T366:T371)</f>
        <v>3102.43</v>
      </c>
    </row>
    <row r="373" spans="1:29" ht="14.25" x14ac:dyDescent="0.2">
      <c r="A373" s="48"/>
      <c r="B373" s="48"/>
      <c r="C373" s="48" t="s">
        <v>860</v>
      </c>
      <c r="D373" s="49" t="s">
        <v>861</v>
      </c>
      <c r="E373" s="50">
        <f>Source!AQ143</f>
        <v>0.6</v>
      </c>
      <c r="F373" s="51"/>
      <c r="G373" s="52" t="s">
        <v>196</v>
      </c>
      <c r="H373" s="50">
        <f>Source!AV144</f>
        <v>1.0669999999999999</v>
      </c>
      <c r="I373" s="51">
        <f>Source!U143</f>
        <v>6.914159999999999</v>
      </c>
      <c r="J373" s="50"/>
      <c r="K373" s="51"/>
    </row>
    <row r="374" spans="1:29" ht="15" x14ac:dyDescent="0.2">
      <c r="C374" s="53" t="s">
        <v>862</v>
      </c>
      <c r="H374" s="54">
        <f>I368+I369+I370+I371+I372+0-0-0</f>
        <v>283.49</v>
      </c>
      <c r="I374" s="54"/>
      <c r="J374" s="54">
        <f>K368+K369+K370+K371+K372+0-0-0</f>
        <v>15299.14</v>
      </c>
      <c r="K374" s="54"/>
    </row>
    <row r="375" spans="1:29" ht="15" hidden="1" x14ac:dyDescent="0.2">
      <c r="C375" s="53" t="s">
        <v>863</v>
      </c>
      <c r="H375" s="56">
        <f>0+0</f>
        <v>0</v>
      </c>
      <c r="I375" s="56"/>
      <c r="J375" s="56">
        <f>0+0</f>
        <v>0</v>
      </c>
      <c r="K375" s="56"/>
    </row>
    <row r="376" spans="1:29" ht="15" x14ac:dyDescent="0.2">
      <c r="C376" s="53" t="s">
        <v>864</v>
      </c>
      <c r="H376" s="56">
        <f>I368+I369+I370+I371+I372+0</f>
        <v>283.49</v>
      </c>
      <c r="I376" s="56"/>
      <c r="J376" s="56">
        <f>K368+K369+K370+K371+K372+0</f>
        <v>15299.14</v>
      </c>
      <c r="K376" s="56"/>
      <c r="O376" s="57">
        <f>I368+I369+I370+I371+I372+0</f>
        <v>283.49</v>
      </c>
      <c r="P376" s="57">
        <f>K368+K369+K370+K371+K372+0</f>
        <v>15299.14</v>
      </c>
    </row>
    <row r="378" spans="1:29" ht="111" x14ac:dyDescent="0.2">
      <c r="A378" s="66">
        <v>40</v>
      </c>
      <c r="B378" s="66" t="str">
        <f>Source!F145</f>
        <v>КА, п.10</v>
      </c>
      <c r="C378" s="66" t="s">
        <v>883</v>
      </c>
      <c r="D378" s="67" t="str">
        <f>Source!H145</f>
        <v>ШТ</v>
      </c>
      <c r="E378" s="68">
        <f>Source!I145</f>
        <v>3</v>
      </c>
      <c r="F378" s="69">
        <f>Source!AL145</f>
        <v>22090.409999999996</v>
      </c>
      <c r="G378" s="70" t="s">
        <v>3</v>
      </c>
      <c r="H378" s="68">
        <f>Source!AW146</f>
        <v>1</v>
      </c>
      <c r="I378" s="69">
        <f>Source!P145</f>
        <v>66271.23</v>
      </c>
      <c r="J378" s="68">
        <f>IF(Source!BC146&lt;&gt; 0, Source!BC146, 1)</f>
        <v>7.57</v>
      </c>
      <c r="K378" s="69">
        <f>Source!P146</f>
        <v>501673.21</v>
      </c>
      <c r="Q378">
        <f>Source!X145</f>
        <v>0</v>
      </c>
      <c r="R378">
        <f>Source!X146</f>
        <v>0</v>
      </c>
      <c r="S378">
        <f>Source!Y145</f>
        <v>0</v>
      </c>
      <c r="T378">
        <f>Source!Y146</f>
        <v>0</v>
      </c>
      <c r="U378">
        <f>ROUND((175/100)*ROUND(Source!R145, 2), 2)</f>
        <v>0</v>
      </c>
      <c r="V378">
        <f>ROUND((0/100)*ROUND(Source!R146, 2), 2)</f>
        <v>0</v>
      </c>
      <c r="AC378">
        <v>5</v>
      </c>
    </row>
    <row r="379" spans="1:29" ht="15" x14ac:dyDescent="0.2">
      <c r="A379" s="71"/>
      <c r="B379" s="71"/>
      <c r="C379" s="72" t="s">
        <v>864</v>
      </c>
      <c r="D379" s="71"/>
      <c r="E379" s="71"/>
      <c r="F379" s="71"/>
      <c r="G379" s="71"/>
      <c r="H379" s="73">
        <f>I378+0</f>
        <v>66271.23</v>
      </c>
      <c r="I379" s="73"/>
      <c r="J379" s="73">
        <f>K378+0</f>
        <v>501673.21</v>
      </c>
      <c r="K379" s="73"/>
      <c r="O379" s="57">
        <f>I378+0</f>
        <v>66271.23</v>
      </c>
      <c r="P379" s="57">
        <f>K378+0</f>
        <v>501673.21</v>
      </c>
    </row>
    <row r="381" spans="1:29" ht="111" x14ac:dyDescent="0.2">
      <c r="A381" s="66">
        <v>41</v>
      </c>
      <c r="B381" s="66" t="str">
        <f>Source!F147</f>
        <v>КА, п.11</v>
      </c>
      <c r="C381" s="66" t="s">
        <v>884</v>
      </c>
      <c r="D381" s="67" t="str">
        <f>Source!H147</f>
        <v>ШТ</v>
      </c>
      <c r="E381" s="68">
        <f>Source!I147</f>
        <v>2</v>
      </c>
      <c r="F381" s="69">
        <f>Source!AL147</f>
        <v>20088.25</v>
      </c>
      <c r="G381" s="70" t="s">
        <v>3</v>
      </c>
      <c r="H381" s="68">
        <f>Source!AW148</f>
        <v>1</v>
      </c>
      <c r="I381" s="69">
        <f>Source!P147</f>
        <v>40176.5</v>
      </c>
      <c r="J381" s="68">
        <f>IF(Source!BC148&lt;&gt; 0, Source!BC148, 1)</f>
        <v>7.57</v>
      </c>
      <c r="K381" s="69">
        <f>Source!P148</f>
        <v>304136.11</v>
      </c>
      <c r="Q381">
        <f>Source!X147</f>
        <v>0</v>
      </c>
      <c r="R381">
        <f>Source!X148</f>
        <v>0</v>
      </c>
      <c r="S381">
        <f>Source!Y147</f>
        <v>0</v>
      </c>
      <c r="T381">
        <f>Source!Y148</f>
        <v>0</v>
      </c>
      <c r="U381">
        <f>ROUND((175/100)*ROUND(Source!R147, 2), 2)</f>
        <v>0</v>
      </c>
      <c r="V381">
        <f>ROUND((0/100)*ROUND(Source!R148, 2), 2)</f>
        <v>0</v>
      </c>
      <c r="AC381">
        <v>5</v>
      </c>
    </row>
    <row r="382" spans="1:29" ht="15" x14ac:dyDescent="0.2">
      <c r="A382" s="71"/>
      <c r="B382" s="71"/>
      <c r="C382" s="72" t="s">
        <v>864</v>
      </c>
      <c r="D382" s="71"/>
      <c r="E382" s="71"/>
      <c r="F382" s="71"/>
      <c r="G382" s="71"/>
      <c r="H382" s="73">
        <f>I381+0</f>
        <v>40176.5</v>
      </c>
      <c r="I382" s="73"/>
      <c r="J382" s="73">
        <f>K381+0</f>
        <v>304136.11</v>
      </c>
      <c r="K382" s="73"/>
      <c r="O382" s="57">
        <f>I381+0</f>
        <v>40176.5</v>
      </c>
      <c r="P382" s="57">
        <f>K381+0</f>
        <v>304136.11</v>
      </c>
    </row>
    <row r="384" spans="1:29" ht="111" x14ac:dyDescent="0.2">
      <c r="A384" s="66">
        <v>42</v>
      </c>
      <c r="B384" s="66" t="str">
        <f>Source!F149</f>
        <v>КА, п.12</v>
      </c>
      <c r="C384" s="66" t="s">
        <v>885</v>
      </c>
      <c r="D384" s="67" t="str">
        <f>Source!H149</f>
        <v>ШТ</v>
      </c>
      <c r="E384" s="68">
        <f>Source!I149</f>
        <v>2</v>
      </c>
      <c r="F384" s="69">
        <f>Source!AL149</f>
        <v>24918.89</v>
      </c>
      <c r="G384" s="70" t="s">
        <v>3</v>
      </c>
      <c r="H384" s="68">
        <f>Source!AW150</f>
        <v>1</v>
      </c>
      <c r="I384" s="69">
        <f>Source!P149</f>
        <v>49837.78</v>
      </c>
      <c r="J384" s="68">
        <f>IF(Source!BC150&lt;&gt; 0, Source!BC150, 1)</f>
        <v>7.57</v>
      </c>
      <c r="K384" s="69">
        <f>Source!P150</f>
        <v>377271.99</v>
      </c>
      <c r="Q384">
        <f>Source!X149</f>
        <v>0</v>
      </c>
      <c r="R384">
        <f>Source!X150</f>
        <v>0</v>
      </c>
      <c r="S384">
        <f>Source!Y149</f>
        <v>0</v>
      </c>
      <c r="T384">
        <f>Source!Y150</f>
        <v>0</v>
      </c>
      <c r="U384">
        <f>ROUND((175/100)*ROUND(Source!R149, 2), 2)</f>
        <v>0</v>
      </c>
      <c r="V384">
        <f>ROUND((0/100)*ROUND(Source!R150, 2), 2)</f>
        <v>0</v>
      </c>
      <c r="AC384">
        <v>5</v>
      </c>
    </row>
    <row r="385" spans="1:29" ht="15" x14ac:dyDescent="0.2">
      <c r="A385" s="71"/>
      <c r="B385" s="71"/>
      <c r="C385" s="72" t="s">
        <v>864</v>
      </c>
      <c r="D385" s="71"/>
      <c r="E385" s="71"/>
      <c r="F385" s="71"/>
      <c r="G385" s="71"/>
      <c r="H385" s="73">
        <f>I384+0</f>
        <v>49837.78</v>
      </c>
      <c r="I385" s="73"/>
      <c r="J385" s="73">
        <f>K384+0</f>
        <v>377271.99</v>
      </c>
      <c r="K385" s="73"/>
      <c r="O385" s="57">
        <f>I384+0</f>
        <v>49837.78</v>
      </c>
      <c r="P385" s="57">
        <f>K384+0</f>
        <v>377271.99</v>
      </c>
    </row>
    <row r="387" spans="1:29" ht="111" x14ac:dyDescent="0.2">
      <c r="A387" s="66">
        <v>43</v>
      </c>
      <c r="B387" s="66" t="str">
        <f>Source!F151</f>
        <v>КА, п.13</v>
      </c>
      <c r="C387" s="66" t="s">
        <v>886</v>
      </c>
      <c r="D387" s="67" t="str">
        <f>Source!H151</f>
        <v>ШТ</v>
      </c>
      <c r="E387" s="68">
        <f>Source!I151</f>
        <v>2</v>
      </c>
      <c r="F387" s="69">
        <f>Source!AL151</f>
        <v>24147.25</v>
      </c>
      <c r="G387" s="70" t="s">
        <v>3</v>
      </c>
      <c r="H387" s="68">
        <f>Source!AW152</f>
        <v>1</v>
      </c>
      <c r="I387" s="69">
        <f>Source!P151</f>
        <v>48294.5</v>
      </c>
      <c r="J387" s="68">
        <f>IF(Source!BC152&lt;&gt; 0, Source!BC152, 1)</f>
        <v>7.57</v>
      </c>
      <c r="K387" s="69">
        <f>Source!P152</f>
        <v>365589.37</v>
      </c>
      <c r="Q387">
        <f>Source!X151</f>
        <v>0</v>
      </c>
      <c r="R387">
        <f>Source!X152</f>
        <v>0</v>
      </c>
      <c r="S387">
        <f>Source!Y151</f>
        <v>0</v>
      </c>
      <c r="T387">
        <f>Source!Y152</f>
        <v>0</v>
      </c>
      <c r="U387">
        <f>ROUND((175/100)*ROUND(Source!R151, 2), 2)</f>
        <v>0</v>
      </c>
      <c r="V387">
        <f>ROUND((0/100)*ROUND(Source!R152, 2), 2)</f>
        <v>0</v>
      </c>
      <c r="AC387">
        <v>5</v>
      </c>
    </row>
    <row r="388" spans="1:29" ht="15" x14ac:dyDescent="0.2">
      <c r="A388" s="71"/>
      <c r="B388" s="71"/>
      <c r="C388" s="72" t="s">
        <v>864</v>
      </c>
      <c r="D388" s="71"/>
      <c r="E388" s="71"/>
      <c r="F388" s="71"/>
      <c r="G388" s="71"/>
      <c r="H388" s="73">
        <f>I387+0</f>
        <v>48294.5</v>
      </c>
      <c r="I388" s="73"/>
      <c r="J388" s="73">
        <f>K387+0</f>
        <v>365589.37</v>
      </c>
      <c r="K388" s="73"/>
      <c r="O388" s="57">
        <f>I387+0</f>
        <v>48294.5</v>
      </c>
      <c r="P388" s="57">
        <f>K387+0</f>
        <v>365589.37</v>
      </c>
    </row>
    <row r="390" spans="1:29" ht="99.75" x14ac:dyDescent="0.2">
      <c r="A390" s="66">
        <v>44</v>
      </c>
      <c r="B390" s="66" t="str">
        <f>Source!F153</f>
        <v>13.3-9-178</v>
      </c>
      <c r="C390" s="66" t="s">
        <v>887</v>
      </c>
      <c r="D390" s="67" t="str">
        <f>Source!H153</f>
        <v>шт.</v>
      </c>
      <c r="E390" s="68">
        <f>Source!I153</f>
        <v>2</v>
      </c>
      <c r="F390" s="69">
        <f>Source!AL153</f>
        <v>1160.49</v>
      </c>
      <c r="G390" s="70" t="s">
        <v>3</v>
      </c>
      <c r="H390" s="68">
        <f>Source!AW154</f>
        <v>1</v>
      </c>
      <c r="I390" s="69">
        <f>Source!P153</f>
        <v>2320.98</v>
      </c>
      <c r="J390" s="68">
        <f>IF(Source!BC154&lt;&gt; 0, Source!BC154, 1)</f>
        <v>4.66</v>
      </c>
      <c r="K390" s="69">
        <f>Source!P154</f>
        <v>10815.77</v>
      </c>
      <c r="Q390">
        <f>Source!X153</f>
        <v>0</v>
      </c>
      <c r="R390">
        <f>Source!X154</f>
        <v>0</v>
      </c>
      <c r="S390">
        <f>Source!Y153</f>
        <v>0</v>
      </c>
      <c r="T390">
        <f>Source!Y154</f>
        <v>0</v>
      </c>
      <c r="U390">
        <f>ROUND((175/100)*ROUND(Source!R153, 2), 2)</f>
        <v>0</v>
      </c>
      <c r="V390">
        <f>ROUND((0/100)*ROUND(Source!R154, 2), 2)</f>
        <v>0</v>
      </c>
      <c r="AC390">
        <v>5</v>
      </c>
    </row>
    <row r="391" spans="1:29" ht="15" x14ac:dyDescent="0.2">
      <c r="A391" s="71"/>
      <c r="B391" s="71"/>
      <c r="C391" s="72" t="s">
        <v>864</v>
      </c>
      <c r="D391" s="71"/>
      <c r="E391" s="71"/>
      <c r="F391" s="71"/>
      <c r="G391" s="71"/>
      <c r="H391" s="73">
        <f>I390+0</f>
        <v>2320.98</v>
      </c>
      <c r="I391" s="73"/>
      <c r="J391" s="73">
        <f>K390+0</f>
        <v>10815.77</v>
      </c>
      <c r="K391" s="73"/>
      <c r="O391" s="57">
        <f>I390+0</f>
        <v>2320.98</v>
      </c>
      <c r="P391" s="57">
        <f>K390+0</f>
        <v>10815.77</v>
      </c>
    </row>
    <row r="393" spans="1:29" ht="68.25" x14ac:dyDescent="0.2">
      <c r="A393" s="66">
        <v>45</v>
      </c>
      <c r="B393" s="66" t="str">
        <f>Source!F155</f>
        <v>КА, п.14</v>
      </c>
      <c r="C393" s="66" t="s">
        <v>888</v>
      </c>
      <c r="D393" s="67" t="str">
        <f>Source!H155</f>
        <v>ШТ</v>
      </c>
      <c r="E393" s="68">
        <f>Source!I155</f>
        <v>1</v>
      </c>
      <c r="F393" s="69">
        <f>Source!AL155</f>
        <v>285.56</v>
      </c>
      <c r="G393" s="70" t="s">
        <v>3</v>
      </c>
      <c r="H393" s="68">
        <f>Source!AW156</f>
        <v>1</v>
      </c>
      <c r="I393" s="69">
        <f>Source!P155</f>
        <v>285.56</v>
      </c>
      <c r="J393" s="68">
        <f>IF(Source!BC156&lt;&gt; 0, Source!BC156, 1)</f>
        <v>7.57</v>
      </c>
      <c r="K393" s="69">
        <f>Source!P156</f>
        <v>2161.69</v>
      </c>
      <c r="Q393">
        <f>Source!X155</f>
        <v>0</v>
      </c>
      <c r="R393">
        <f>Source!X156</f>
        <v>0</v>
      </c>
      <c r="S393">
        <f>Source!Y155</f>
        <v>0</v>
      </c>
      <c r="T393">
        <f>Source!Y156</f>
        <v>0</v>
      </c>
      <c r="U393">
        <f>ROUND((175/100)*ROUND(Source!R155, 2), 2)</f>
        <v>0</v>
      </c>
      <c r="V393">
        <f>ROUND((0/100)*ROUND(Source!R156, 2), 2)</f>
        <v>0</v>
      </c>
      <c r="AC393">
        <v>5</v>
      </c>
    </row>
    <row r="394" spans="1:29" ht="15" x14ac:dyDescent="0.2">
      <c r="A394" s="71"/>
      <c r="B394" s="71"/>
      <c r="C394" s="72" t="s">
        <v>864</v>
      </c>
      <c r="D394" s="71"/>
      <c r="E394" s="71"/>
      <c r="F394" s="71"/>
      <c r="G394" s="71"/>
      <c r="H394" s="73">
        <f>I393+0</f>
        <v>285.56</v>
      </c>
      <c r="I394" s="73"/>
      <c r="J394" s="73">
        <f>K393+0</f>
        <v>2161.69</v>
      </c>
      <c r="K394" s="73"/>
      <c r="O394" s="57">
        <f>I393+0</f>
        <v>285.56</v>
      </c>
      <c r="P394" s="57">
        <f>K393+0</f>
        <v>2161.69</v>
      </c>
    </row>
    <row r="396" spans="1:29" ht="42.75" x14ac:dyDescent="0.2">
      <c r="A396" s="41">
        <v>46</v>
      </c>
      <c r="B396" s="41" t="str">
        <f>Source!F157</f>
        <v>3.9-74-1</v>
      </c>
      <c r="C396" s="41" t="s">
        <v>290</v>
      </c>
      <c r="D396" s="43" t="str">
        <f>Source!H157</f>
        <v>10 шт.</v>
      </c>
      <c r="E396" s="42">
        <f>Source!I157</f>
        <v>0.4</v>
      </c>
      <c r="F396" s="45"/>
      <c r="G396" s="44"/>
      <c r="H396" s="42"/>
      <c r="I396" s="45"/>
      <c r="J396" s="42"/>
      <c r="K396" s="45"/>
      <c r="Q396">
        <f>Source!X157</f>
        <v>125.3</v>
      </c>
      <c r="R396">
        <f>Source!X158</f>
        <v>7060.6</v>
      </c>
      <c r="S396">
        <f>Source!Y157</f>
        <v>83.53</v>
      </c>
      <c r="T396">
        <f>Source!Y158</f>
        <v>4707.0600000000004</v>
      </c>
      <c r="U396">
        <f>ROUND((175/100)*ROUND(Source!R157, 2), 2)</f>
        <v>19.579999999999998</v>
      </c>
      <c r="V396">
        <f>ROUND((0/100)*ROUND(Source!R158, 2), 2)</f>
        <v>0</v>
      </c>
      <c r="AC396">
        <v>0</v>
      </c>
    </row>
    <row r="397" spans="1:29" x14ac:dyDescent="0.2">
      <c r="C397" s="58" t="str">
        <f>"Объем: "&amp;Source!I157&amp;"=4/"&amp;"10"</f>
        <v>Объем: 0,4=4/10</v>
      </c>
    </row>
    <row r="398" spans="1:29" ht="14.25" x14ac:dyDescent="0.2">
      <c r="A398" s="41"/>
      <c r="B398" s="41"/>
      <c r="C398" s="41" t="s">
        <v>853</v>
      </c>
      <c r="D398" s="43"/>
      <c r="E398" s="42"/>
      <c r="F398" s="45">
        <f>Source!AO157</f>
        <v>205.89</v>
      </c>
      <c r="G398" s="46" t="s">
        <v>889</v>
      </c>
      <c r="H398" s="42">
        <f>Source!AV158</f>
        <v>1.087</v>
      </c>
      <c r="I398" s="45">
        <f>Source!S157</f>
        <v>123.54</v>
      </c>
      <c r="J398" s="42">
        <f>IF(Source!BA158&lt;&gt; 0, Source!BA158, 1)</f>
        <v>56.35</v>
      </c>
      <c r="K398" s="45">
        <f>Source!S158</f>
        <v>6961.48</v>
      </c>
    </row>
    <row r="399" spans="1:29" ht="14.25" x14ac:dyDescent="0.2">
      <c r="A399" s="41"/>
      <c r="B399" s="41"/>
      <c r="C399" s="41" t="s">
        <v>855</v>
      </c>
      <c r="D399" s="43"/>
      <c r="E399" s="42"/>
      <c r="F399" s="45">
        <f>Source!AM157</f>
        <v>113.73</v>
      </c>
      <c r="G399" s="46" t="s">
        <v>890</v>
      </c>
      <c r="H399" s="42">
        <f>Source!AV158</f>
        <v>1.087</v>
      </c>
      <c r="I399" s="45">
        <f>Source!Q157</f>
        <v>74.17</v>
      </c>
      <c r="J399" s="42">
        <f>IF(Source!BB158&lt;&gt; 0, Source!BB158, 1)</f>
        <v>17.02</v>
      </c>
      <c r="K399" s="45">
        <f>Source!Q158</f>
        <v>1262.3699999999999</v>
      </c>
    </row>
    <row r="400" spans="1:29" ht="14.25" x14ac:dyDescent="0.2">
      <c r="A400" s="41"/>
      <c r="B400" s="41"/>
      <c r="C400" s="41" t="s">
        <v>856</v>
      </c>
      <c r="D400" s="43"/>
      <c r="E400" s="42"/>
      <c r="F400" s="45">
        <f>Source!AN157</f>
        <v>17.16</v>
      </c>
      <c r="G400" s="46" t="s">
        <v>890</v>
      </c>
      <c r="H400" s="42">
        <f>Source!AV158</f>
        <v>1.087</v>
      </c>
      <c r="I400" s="47">
        <f>Source!R157</f>
        <v>11.19</v>
      </c>
      <c r="J400" s="42">
        <f>IF(Source!BS158&lt;&gt; 0, Source!BS158, 1)</f>
        <v>56.35</v>
      </c>
      <c r="K400" s="47">
        <f>Source!R158</f>
        <v>630.55999999999995</v>
      </c>
    </row>
    <row r="401" spans="1:29" ht="14.25" x14ac:dyDescent="0.2">
      <c r="A401" s="41"/>
      <c r="B401" s="41"/>
      <c r="C401" s="41" t="s">
        <v>866</v>
      </c>
      <c r="D401" s="43"/>
      <c r="E401" s="42"/>
      <c r="F401" s="45">
        <f>Source!AL157</f>
        <v>487.88</v>
      </c>
      <c r="G401" s="46" t="s">
        <v>3</v>
      </c>
      <c r="H401" s="42">
        <f>Source!AW158</f>
        <v>1</v>
      </c>
      <c r="I401" s="45">
        <f>Source!P157</f>
        <v>195.15</v>
      </c>
      <c r="J401" s="42">
        <f>IF(Source!BC158&lt;&gt; 0, Source!BC158, 1)</f>
        <v>6.4</v>
      </c>
      <c r="K401" s="45">
        <f>Source!P158</f>
        <v>1248.96</v>
      </c>
    </row>
    <row r="402" spans="1:29" ht="99.75" x14ac:dyDescent="0.2">
      <c r="A402" s="41" t="s">
        <v>295</v>
      </c>
      <c r="B402" s="41" t="str">
        <f>Source!F159</f>
        <v>1.7-2-94</v>
      </c>
      <c r="C402" s="41" t="s">
        <v>297</v>
      </c>
      <c r="D402" s="43" t="str">
        <f>Source!H159</f>
        <v>т</v>
      </c>
      <c r="E402" s="42">
        <f>Source!I159</f>
        <v>0.45079999999999992</v>
      </c>
      <c r="F402" s="45">
        <f>Source!AK159</f>
        <v>45481.31</v>
      </c>
      <c r="G402" s="46" t="s">
        <v>3</v>
      </c>
      <c r="H402" s="42">
        <f>Source!AW160</f>
        <v>1</v>
      </c>
      <c r="I402" s="45">
        <f>Source!O159</f>
        <v>20502.97</v>
      </c>
      <c r="J402" s="42">
        <f>IF(Source!BC160&lt;&gt; 0, Source!BC160, 1)</f>
        <v>2.54</v>
      </c>
      <c r="K402" s="45">
        <f>Source!O160</f>
        <v>52077.54</v>
      </c>
      <c r="Q402">
        <f>Source!X159</f>
        <v>0</v>
      </c>
      <c r="R402">
        <f>Source!X160</f>
        <v>0</v>
      </c>
      <c r="S402">
        <f>Source!Y159</f>
        <v>0</v>
      </c>
      <c r="T402">
        <f>Source!Y160</f>
        <v>0</v>
      </c>
      <c r="U402">
        <f>ROUND((175/100)*ROUND(Source!R159, 2), 2)</f>
        <v>0</v>
      </c>
      <c r="V402">
        <f>ROUND((0/100)*ROUND(Source!R160, 2), 2)</f>
        <v>0</v>
      </c>
      <c r="AC402">
        <v>3</v>
      </c>
    </row>
    <row r="403" spans="1:29" ht="14.25" x14ac:dyDescent="0.2">
      <c r="A403" s="41"/>
      <c r="B403" s="41"/>
      <c r="C403" s="41" t="s">
        <v>857</v>
      </c>
      <c r="D403" s="43" t="s">
        <v>858</v>
      </c>
      <c r="E403" s="42">
        <f>Source!BZ158</f>
        <v>93</v>
      </c>
      <c r="F403" s="45"/>
      <c r="G403" s="44"/>
      <c r="H403" s="42"/>
      <c r="I403" s="45">
        <f>SUM(Q396:Q402)</f>
        <v>125.3</v>
      </c>
      <c r="J403" s="42">
        <f>Source!AT158</f>
        <v>93</v>
      </c>
      <c r="K403" s="45">
        <f>SUM(R396:R402)</f>
        <v>7060.6</v>
      </c>
    </row>
    <row r="404" spans="1:29" ht="14.25" x14ac:dyDescent="0.2">
      <c r="A404" s="41"/>
      <c r="B404" s="41"/>
      <c r="C404" s="41" t="s">
        <v>859</v>
      </c>
      <c r="D404" s="43" t="s">
        <v>858</v>
      </c>
      <c r="E404" s="42">
        <f>Source!CA158</f>
        <v>62</v>
      </c>
      <c r="F404" s="45"/>
      <c r="G404" s="44"/>
      <c r="H404" s="42"/>
      <c r="I404" s="45">
        <f>SUM(S396:S403)</f>
        <v>83.53</v>
      </c>
      <c r="J404" s="42">
        <f>Source!AU158</f>
        <v>62</v>
      </c>
      <c r="K404" s="45">
        <f>SUM(T396:T403)</f>
        <v>4707.0600000000004</v>
      </c>
    </row>
    <row r="405" spans="1:29" ht="14.25" x14ac:dyDescent="0.2">
      <c r="A405" s="48"/>
      <c r="B405" s="48"/>
      <c r="C405" s="48" t="s">
        <v>860</v>
      </c>
      <c r="D405" s="49" t="s">
        <v>861</v>
      </c>
      <c r="E405" s="50">
        <f>Source!AQ157</f>
        <v>18.38</v>
      </c>
      <c r="F405" s="51"/>
      <c r="G405" s="52" t="s">
        <v>889</v>
      </c>
      <c r="H405" s="50">
        <f>Source!AV158</f>
        <v>1.087</v>
      </c>
      <c r="I405" s="51">
        <f>Source!U157</f>
        <v>11.028441119999998</v>
      </c>
      <c r="J405" s="50"/>
      <c r="K405" s="51"/>
    </row>
    <row r="406" spans="1:29" ht="15" x14ac:dyDescent="0.2">
      <c r="C406" s="53" t="s">
        <v>862</v>
      </c>
      <c r="H406" s="54">
        <f>I398+I399+I401+I403+I404+SUM(I402:I402)-SUMIF(AC402:AC402, 5, I402:I402)-SUMIF(AC402:AC402, 6, I402:I402)</f>
        <v>21104.66</v>
      </c>
      <c r="I406" s="54"/>
      <c r="J406" s="54">
        <f>K398+K399+K401+K403+K404+SUM(K402:K402)-SUMIF(AC402:AC402, 5, K402:K402)-SUMIF(AC402:AC402, 6, K402:K402)</f>
        <v>73318.009999999995</v>
      </c>
      <c r="K406" s="54"/>
    </row>
    <row r="407" spans="1:29" ht="15" hidden="1" x14ac:dyDescent="0.2">
      <c r="C407" s="53" t="s">
        <v>863</v>
      </c>
      <c r="H407" s="56">
        <f>SUMIF(AC402:AC402, 5, I402:I402)+SUMIF(AC402:AC402, 6, I402:I402)</f>
        <v>0</v>
      </c>
      <c r="I407" s="56"/>
      <c r="J407" s="56">
        <f>SUMIF(AC402:AC402, 5, K402:K402)+SUMIF(AC402:AC402, 6, K402:K402)</f>
        <v>0</v>
      </c>
      <c r="K407" s="56"/>
    </row>
    <row r="408" spans="1:29" ht="15" x14ac:dyDescent="0.2">
      <c r="C408" s="53" t="s">
        <v>864</v>
      </c>
      <c r="H408" s="56">
        <f>I398+I399+I401+I403+I404+SUM(I402:I402)</f>
        <v>21104.66</v>
      </c>
      <c r="I408" s="56"/>
      <c r="J408" s="56">
        <f>K398+K399+K401+K403+K404+SUM(K402:K402)</f>
        <v>73318.009999999995</v>
      </c>
      <c r="K408" s="56"/>
      <c r="O408" s="57">
        <f>I398+I399+I401+I403+I404+SUM(I402:I402)</f>
        <v>21104.66</v>
      </c>
      <c r="P408" s="57">
        <f>K398+K399+K401+K403+K404+SUM(K402:K402)</f>
        <v>73318.009999999995</v>
      </c>
    </row>
    <row r="410" spans="1:29" ht="42.75" x14ac:dyDescent="0.2">
      <c r="A410" s="41">
        <v>47</v>
      </c>
      <c r="B410" s="41" t="str">
        <f>Source!F165</f>
        <v>3.70-434-1</v>
      </c>
      <c r="C410" s="41" t="s">
        <v>306</v>
      </c>
      <c r="D410" s="43" t="str">
        <f>Source!H165</f>
        <v>100 шт.</v>
      </c>
      <c r="E410" s="42">
        <f>Source!I165</f>
        <v>0.04</v>
      </c>
      <c r="F410" s="45"/>
      <c r="G410" s="44"/>
      <c r="H410" s="42"/>
      <c r="I410" s="45"/>
      <c r="J410" s="42"/>
      <c r="K410" s="45"/>
      <c r="Q410">
        <f>Source!X165</f>
        <v>10.92</v>
      </c>
      <c r="R410">
        <f>Source!X166</f>
        <v>615.24</v>
      </c>
      <c r="S410">
        <f>Source!Y165</f>
        <v>7.28</v>
      </c>
      <c r="T410">
        <f>Source!Y166</f>
        <v>410.16</v>
      </c>
      <c r="U410">
        <f>ROUND((175/100)*ROUND(Source!R165, 2), 2)</f>
        <v>0.26</v>
      </c>
      <c r="V410">
        <f>ROUND((0/100)*ROUND(Source!R166, 2), 2)</f>
        <v>0</v>
      </c>
      <c r="AC410">
        <v>0</v>
      </c>
    </row>
    <row r="411" spans="1:29" x14ac:dyDescent="0.2">
      <c r="C411" s="58" t="str">
        <f>"Объем: "&amp;Source!I165&amp;"=4/"&amp;"100"</f>
        <v>Объем: 0,04=4/100</v>
      </c>
    </row>
    <row r="412" spans="1:29" ht="14.25" x14ac:dyDescent="0.2">
      <c r="A412" s="41"/>
      <c r="B412" s="41"/>
      <c r="C412" s="41" t="s">
        <v>853</v>
      </c>
      <c r="D412" s="43"/>
      <c r="E412" s="42"/>
      <c r="F412" s="45">
        <f>Source!AO165</f>
        <v>193.13</v>
      </c>
      <c r="G412" s="46" t="s">
        <v>889</v>
      </c>
      <c r="H412" s="42">
        <f>Source!AV166</f>
        <v>1.087</v>
      </c>
      <c r="I412" s="45">
        <f>Source!S165</f>
        <v>11.59</v>
      </c>
      <c r="J412" s="42">
        <f>IF(Source!BA166&lt;&gt; 0, Source!BA166, 1)</f>
        <v>56.35</v>
      </c>
      <c r="K412" s="45">
        <f>Source!S166</f>
        <v>653.1</v>
      </c>
    </row>
    <row r="413" spans="1:29" ht="14.25" x14ac:dyDescent="0.2">
      <c r="A413" s="41"/>
      <c r="B413" s="41"/>
      <c r="C413" s="41" t="s">
        <v>855</v>
      </c>
      <c r="D413" s="43"/>
      <c r="E413" s="42"/>
      <c r="F413" s="45">
        <f>Source!AM165</f>
        <v>18.690000000000001</v>
      </c>
      <c r="G413" s="46" t="s">
        <v>890</v>
      </c>
      <c r="H413" s="42">
        <f>Source!AV166</f>
        <v>1.087</v>
      </c>
      <c r="I413" s="45">
        <f>Source!Q165</f>
        <v>1.22</v>
      </c>
      <c r="J413" s="42">
        <f>IF(Source!BB166&lt;&gt; 0, Source!BB166, 1)</f>
        <v>15.58</v>
      </c>
      <c r="K413" s="45">
        <f>Source!Q166</f>
        <v>19.010000000000002</v>
      </c>
    </row>
    <row r="414" spans="1:29" ht="14.25" x14ac:dyDescent="0.2">
      <c r="A414" s="41"/>
      <c r="B414" s="41"/>
      <c r="C414" s="41" t="s">
        <v>856</v>
      </c>
      <c r="D414" s="43"/>
      <c r="E414" s="42"/>
      <c r="F414" s="45">
        <f>Source!AN165</f>
        <v>2.27</v>
      </c>
      <c r="G414" s="46" t="s">
        <v>890</v>
      </c>
      <c r="H414" s="42">
        <f>Source!AV166</f>
        <v>1.087</v>
      </c>
      <c r="I414" s="47">
        <f>Source!R165</f>
        <v>0.15</v>
      </c>
      <c r="J414" s="42">
        <f>IF(Source!BS166&lt;&gt; 0, Source!BS166, 1)</f>
        <v>56.35</v>
      </c>
      <c r="K414" s="47">
        <f>Source!R166</f>
        <v>8.4499999999999993</v>
      </c>
    </row>
    <row r="415" spans="1:29" ht="14.25" x14ac:dyDescent="0.2">
      <c r="A415" s="41"/>
      <c r="B415" s="41"/>
      <c r="C415" s="41" t="s">
        <v>866</v>
      </c>
      <c r="D415" s="43"/>
      <c r="E415" s="42"/>
      <c r="F415" s="45">
        <f>Source!AL165</f>
        <v>132.34</v>
      </c>
      <c r="G415" s="46" t="s">
        <v>3</v>
      </c>
      <c r="H415" s="42">
        <f>Source!AW166</f>
        <v>1</v>
      </c>
      <c r="I415" s="45">
        <f>Source!P165</f>
        <v>5.29</v>
      </c>
      <c r="J415" s="42">
        <f>IF(Source!BC166&lt;&gt; 0, Source!BC166, 1)</f>
        <v>3.46</v>
      </c>
      <c r="K415" s="45">
        <f>Source!P166</f>
        <v>18.3</v>
      </c>
    </row>
    <row r="416" spans="1:29" ht="28.5" x14ac:dyDescent="0.2">
      <c r="A416" s="41" t="s">
        <v>307</v>
      </c>
      <c r="B416" s="41" t="str">
        <f>Source!F167</f>
        <v>1.8-1-74</v>
      </c>
      <c r="C416" s="41" t="s">
        <v>309</v>
      </c>
      <c r="D416" s="43" t="str">
        <f>Source!H167</f>
        <v>шт.</v>
      </c>
      <c r="E416" s="42">
        <f>Source!I167</f>
        <v>4</v>
      </c>
      <c r="F416" s="45">
        <f>Source!AK167</f>
        <v>269.43</v>
      </c>
      <c r="G416" s="46" t="s">
        <v>3</v>
      </c>
      <c r="H416" s="42">
        <f>Source!AW168</f>
        <v>1</v>
      </c>
      <c r="I416" s="45">
        <f>Source!O167</f>
        <v>1077.72</v>
      </c>
      <c r="J416" s="42">
        <f>IF(Source!BC168&lt;&gt; 0, Source!BC168, 1)</f>
        <v>9.3000000000000007</v>
      </c>
      <c r="K416" s="45">
        <f>Source!O168</f>
        <v>10022.799999999999</v>
      </c>
      <c r="Q416">
        <f>Source!X167</f>
        <v>0</v>
      </c>
      <c r="R416">
        <f>Source!X168</f>
        <v>0</v>
      </c>
      <c r="S416">
        <f>Source!Y167</f>
        <v>0</v>
      </c>
      <c r="T416">
        <f>Source!Y168</f>
        <v>0</v>
      </c>
      <c r="U416">
        <f>ROUND((175/100)*ROUND(Source!R167, 2), 2)</f>
        <v>0</v>
      </c>
      <c r="V416">
        <f>ROUND((0/100)*ROUND(Source!R168, 2), 2)</f>
        <v>0</v>
      </c>
      <c r="AC416">
        <v>3</v>
      </c>
    </row>
    <row r="417" spans="1:29" ht="14.25" x14ac:dyDescent="0.2">
      <c r="A417" s="41"/>
      <c r="B417" s="41"/>
      <c r="C417" s="41" t="s">
        <v>857</v>
      </c>
      <c r="D417" s="43" t="s">
        <v>858</v>
      </c>
      <c r="E417" s="42">
        <f>Source!BZ166</f>
        <v>93</v>
      </c>
      <c r="F417" s="45"/>
      <c r="G417" s="44"/>
      <c r="H417" s="42"/>
      <c r="I417" s="45">
        <f>SUM(Q410:Q416)</f>
        <v>10.92</v>
      </c>
      <c r="J417" s="42">
        <f>Source!AT166</f>
        <v>93</v>
      </c>
      <c r="K417" s="45">
        <f>SUM(R410:R416)</f>
        <v>615.24</v>
      </c>
    </row>
    <row r="418" spans="1:29" ht="14.25" x14ac:dyDescent="0.2">
      <c r="A418" s="41"/>
      <c r="B418" s="41"/>
      <c r="C418" s="41" t="s">
        <v>859</v>
      </c>
      <c r="D418" s="43" t="s">
        <v>858</v>
      </c>
      <c r="E418" s="42">
        <f>Source!CA166</f>
        <v>62</v>
      </c>
      <c r="F418" s="45"/>
      <c r="G418" s="44"/>
      <c r="H418" s="42"/>
      <c r="I418" s="45">
        <f>SUM(S410:S417)</f>
        <v>7.28</v>
      </c>
      <c r="J418" s="42">
        <f>Source!AU166</f>
        <v>62</v>
      </c>
      <c r="K418" s="45">
        <f>SUM(T410:T417)</f>
        <v>410.16</v>
      </c>
    </row>
    <row r="419" spans="1:29" ht="14.25" x14ac:dyDescent="0.2">
      <c r="A419" s="48"/>
      <c r="B419" s="48"/>
      <c r="C419" s="48" t="s">
        <v>860</v>
      </c>
      <c r="D419" s="49" t="s">
        <v>861</v>
      </c>
      <c r="E419" s="50">
        <f>Source!AQ165</f>
        <v>11.57</v>
      </c>
      <c r="F419" s="51"/>
      <c r="G419" s="52" t="s">
        <v>889</v>
      </c>
      <c r="H419" s="50">
        <f>Source!AV166</f>
        <v>1.087</v>
      </c>
      <c r="I419" s="51">
        <f>Source!U165</f>
        <v>0.69422776799999997</v>
      </c>
      <c r="J419" s="50"/>
      <c r="K419" s="51"/>
    </row>
    <row r="420" spans="1:29" ht="15" x14ac:dyDescent="0.2">
      <c r="C420" s="53" t="s">
        <v>862</v>
      </c>
      <c r="H420" s="54">
        <f>I412+I413+I415+I417+I418+SUM(I416:I416)-SUMIF(AC416:AC416, 5, I416:I416)-SUMIF(AC416:AC416, 6, I416:I416)</f>
        <v>1114.02</v>
      </c>
      <c r="I420" s="54"/>
      <c r="J420" s="54">
        <f>K412+K413+K415+K417+K418+SUM(K416:K416)-SUMIF(AC416:AC416, 5, K416:K416)-SUMIF(AC416:AC416, 6, K416:K416)</f>
        <v>11738.609999999999</v>
      </c>
      <c r="K420" s="54"/>
    </row>
    <row r="421" spans="1:29" ht="15" hidden="1" x14ac:dyDescent="0.2">
      <c r="C421" s="53" t="s">
        <v>863</v>
      </c>
      <c r="H421" s="56">
        <f>SUMIF(AC416:AC416, 5, I416:I416)+SUMIF(AC416:AC416, 6, I416:I416)</f>
        <v>0</v>
      </c>
      <c r="I421" s="56"/>
      <c r="J421" s="56">
        <f>SUMIF(AC416:AC416, 5, K416:K416)+SUMIF(AC416:AC416, 6, K416:K416)</f>
        <v>0</v>
      </c>
      <c r="K421" s="56"/>
    </row>
    <row r="422" spans="1:29" ht="15" x14ac:dyDescent="0.2">
      <c r="C422" s="53" t="s">
        <v>864</v>
      </c>
      <c r="H422" s="56">
        <f>I412+I413+I415+I417+I418+SUM(I416:I416)</f>
        <v>1114.02</v>
      </c>
      <c r="I422" s="56"/>
      <c r="J422" s="56">
        <f>K412+K413+K415+K417+K418+SUM(K416:K416)</f>
        <v>11738.609999999999</v>
      </c>
      <c r="K422" s="56"/>
      <c r="O422" s="57">
        <f>I412+I413+I415+I417+I418+SUM(I416:I416)</f>
        <v>1114.02</v>
      </c>
      <c r="P422" s="57">
        <f>K412+K413+K415+K417+K418+SUM(K416:K416)</f>
        <v>11738.609999999999</v>
      </c>
    </row>
    <row r="424" spans="1:29" ht="82.5" x14ac:dyDescent="0.2">
      <c r="A424" s="66">
        <v>48</v>
      </c>
      <c r="B424" s="66" t="str">
        <f>Source!F169</f>
        <v>КА, п.21</v>
      </c>
      <c r="C424" s="66" t="s">
        <v>891</v>
      </c>
      <c r="D424" s="67" t="str">
        <f>Source!H169</f>
        <v>ШТ</v>
      </c>
      <c r="E424" s="68">
        <f>Source!I169</f>
        <v>1</v>
      </c>
      <c r="F424" s="69">
        <f>Source!AL169</f>
        <v>7652.2999999999993</v>
      </c>
      <c r="G424" s="70" t="s">
        <v>3</v>
      </c>
      <c r="H424" s="68">
        <f>Source!AW170</f>
        <v>1</v>
      </c>
      <c r="I424" s="69">
        <f>Source!P169</f>
        <v>7652.3</v>
      </c>
      <c r="J424" s="68">
        <f>IF(Source!BC170&lt;&gt; 0, Source!BC170, 1)</f>
        <v>7.57</v>
      </c>
      <c r="K424" s="69">
        <f>Source!P170</f>
        <v>57927.91</v>
      </c>
      <c r="Q424">
        <f>Source!X169</f>
        <v>0</v>
      </c>
      <c r="R424">
        <f>Source!X170</f>
        <v>0</v>
      </c>
      <c r="S424">
        <f>Source!Y169</f>
        <v>0</v>
      </c>
      <c r="T424">
        <f>Source!Y170</f>
        <v>0</v>
      </c>
      <c r="U424">
        <f>ROUND((175/100)*ROUND(Source!R169, 2), 2)</f>
        <v>0</v>
      </c>
      <c r="V424">
        <f>ROUND((0/100)*ROUND(Source!R170, 2), 2)</f>
        <v>0</v>
      </c>
      <c r="AC424">
        <v>5</v>
      </c>
    </row>
    <row r="425" spans="1:29" ht="15" x14ac:dyDescent="0.2">
      <c r="A425" s="71"/>
      <c r="B425" s="71"/>
      <c r="C425" s="72" t="s">
        <v>864</v>
      </c>
      <c r="D425" s="71"/>
      <c r="E425" s="71"/>
      <c r="F425" s="71"/>
      <c r="G425" s="71"/>
      <c r="H425" s="73">
        <f>I424+0</f>
        <v>7652.3</v>
      </c>
      <c r="I425" s="73"/>
      <c r="J425" s="73">
        <f>K424+0</f>
        <v>57927.91</v>
      </c>
      <c r="K425" s="73"/>
      <c r="O425" s="57">
        <f>I424+0</f>
        <v>7652.3</v>
      </c>
      <c r="P425" s="57">
        <f>K424+0</f>
        <v>57927.91</v>
      </c>
    </row>
    <row r="427" spans="1:29" ht="28.5" x14ac:dyDescent="0.2">
      <c r="A427" s="41">
        <v>49</v>
      </c>
      <c r="B427" s="41" t="str">
        <f>Source!F171</f>
        <v>3.20-11-1</v>
      </c>
      <c r="C427" s="41" t="s">
        <v>316</v>
      </c>
      <c r="D427" s="43" t="str">
        <f>Source!H171</f>
        <v>1 клапан</v>
      </c>
      <c r="E427" s="42">
        <f>Source!I171</f>
        <v>4</v>
      </c>
      <c r="F427" s="45"/>
      <c r="G427" s="44"/>
      <c r="H427" s="42"/>
      <c r="I427" s="45"/>
      <c r="J427" s="42"/>
      <c r="K427" s="45"/>
      <c r="Q427">
        <f>Source!X171</f>
        <v>86.24</v>
      </c>
      <c r="R427">
        <f>Source!X172</f>
        <v>4859.43</v>
      </c>
      <c r="S427">
        <f>Source!Y171</f>
        <v>51.31</v>
      </c>
      <c r="T427">
        <f>Source!Y172</f>
        <v>2891.56</v>
      </c>
      <c r="U427">
        <f>ROUND((175/100)*ROUND(Source!R171, 2), 2)</f>
        <v>1.45</v>
      </c>
      <c r="V427">
        <f>ROUND((0/100)*ROUND(Source!R172, 2), 2)</f>
        <v>0</v>
      </c>
      <c r="AC427">
        <v>0</v>
      </c>
    </row>
    <row r="428" spans="1:29" ht="14.25" x14ac:dyDescent="0.2">
      <c r="A428" s="41"/>
      <c r="B428" s="41"/>
      <c r="C428" s="41" t="s">
        <v>853</v>
      </c>
      <c r="D428" s="43"/>
      <c r="E428" s="42"/>
      <c r="F428" s="45">
        <f>Source!AO171</f>
        <v>11.96</v>
      </c>
      <c r="G428" s="46" t="s">
        <v>889</v>
      </c>
      <c r="H428" s="42">
        <f>Source!AV172</f>
        <v>1.0669999999999999</v>
      </c>
      <c r="I428" s="45">
        <f>Source!S171</f>
        <v>70.44</v>
      </c>
      <c r="J428" s="42">
        <f>IF(Source!BA172&lt;&gt; 0, Source!BA172, 1)</f>
        <v>56.35</v>
      </c>
      <c r="K428" s="45">
        <f>Source!S172</f>
        <v>3969.29</v>
      </c>
    </row>
    <row r="429" spans="1:29" ht="14.25" x14ac:dyDescent="0.2">
      <c r="A429" s="41"/>
      <c r="B429" s="41"/>
      <c r="C429" s="41" t="s">
        <v>855</v>
      </c>
      <c r="D429" s="43"/>
      <c r="E429" s="42"/>
      <c r="F429" s="45">
        <f>Source!AM171</f>
        <v>0.91</v>
      </c>
      <c r="G429" s="46" t="s">
        <v>890</v>
      </c>
      <c r="H429" s="42">
        <f>Source!AV172</f>
        <v>1.0669999999999999</v>
      </c>
      <c r="I429" s="45">
        <f>Source!Q171</f>
        <v>5.83</v>
      </c>
      <c r="J429" s="42">
        <f>IF(Source!BB172&lt;&gt; 0, Source!BB172, 1)</f>
        <v>16.43</v>
      </c>
      <c r="K429" s="45">
        <f>Source!Q172</f>
        <v>95.79</v>
      </c>
    </row>
    <row r="430" spans="1:29" ht="14.25" x14ac:dyDescent="0.2">
      <c r="A430" s="41"/>
      <c r="B430" s="41"/>
      <c r="C430" s="41" t="s">
        <v>856</v>
      </c>
      <c r="D430" s="43"/>
      <c r="E430" s="42"/>
      <c r="F430" s="45">
        <f>Source!AN171</f>
        <v>0.13</v>
      </c>
      <c r="G430" s="46" t="s">
        <v>890</v>
      </c>
      <c r="H430" s="42">
        <f>Source!AV172</f>
        <v>1.0669999999999999</v>
      </c>
      <c r="I430" s="47">
        <f>Source!R171</f>
        <v>0.83</v>
      </c>
      <c r="J430" s="42">
        <f>IF(Source!BS172&lt;&gt; 0, Source!BS172, 1)</f>
        <v>56.35</v>
      </c>
      <c r="K430" s="47">
        <f>Source!R172</f>
        <v>46.77</v>
      </c>
    </row>
    <row r="431" spans="1:29" ht="14.25" x14ac:dyDescent="0.2">
      <c r="A431" s="41"/>
      <c r="B431" s="41"/>
      <c r="C431" s="41" t="s">
        <v>866</v>
      </c>
      <c r="D431" s="43"/>
      <c r="E431" s="42"/>
      <c r="F431" s="45">
        <f>Source!AL171</f>
        <v>3.76</v>
      </c>
      <c r="G431" s="46" t="s">
        <v>3</v>
      </c>
      <c r="H431" s="42">
        <f>Source!AW172</f>
        <v>1</v>
      </c>
      <c r="I431" s="45">
        <f>Source!P171</f>
        <v>15.04</v>
      </c>
      <c r="J431" s="42">
        <f>IF(Source!BC172&lt;&gt; 0, Source!BC172, 1)</f>
        <v>6.54</v>
      </c>
      <c r="K431" s="45">
        <f>Source!P172</f>
        <v>98.36</v>
      </c>
    </row>
    <row r="432" spans="1:29" ht="57" x14ac:dyDescent="0.2">
      <c r="A432" s="41" t="s">
        <v>317</v>
      </c>
      <c r="B432" s="41" t="str">
        <f>Source!F173</f>
        <v>1.1-1-8146</v>
      </c>
      <c r="C432" s="41" t="s">
        <v>319</v>
      </c>
      <c r="D432" s="43" t="str">
        <f>Source!H173</f>
        <v>кг</v>
      </c>
      <c r="E432" s="42">
        <f>Source!I173</f>
        <v>0.8</v>
      </c>
      <c r="F432" s="45">
        <f>Source!AK173</f>
        <v>31.08</v>
      </c>
      <c r="G432" s="46" t="s">
        <v>3</v>
      </c>
      <c r="H432" s="42">
        <f>Source!AW174</f>
        <v>1</v>
      </c>
      <c r="I432" s="45">
        <f>Source!O173</f>
        <v>24.86</v>
      </c>
      <c r="J432" s="42">
        <f>IF(Source!BC174&lt;&gt; 0, Source!BC174, 1)</f>
        <v>3.59</v>
      </c>
      <c r="K432" s="45">
        <f>Source!O174</f>
        <v>89.25</v>
      </c>
      <c r="Q432">
        <f>Source!X173</f>
        <v>0</v>
      </c>
      <c r="R432">
        <f>Source!X174</f>
        <v>0</v>
      </c>
      <c r="S432">
        <f>Source!Y173</f>
        <v>0</v>
      </c>
      <c r="T432">
        <f>Source!Y174</f>
        <v>0</v>
      </c>
      <c r="U432">
        <f>ROUND((175/100)*ROUND(Source!R173, 2), 2)</f>
        <v>0</v>
      </c>
      <c r="V432">
        <f>ROUND((0/100)*ROUND(Source!R174, 2), 2)</f>
        <v>0</v>
      </c>
      <c r="AC432">
        <v>3</v>
      </c>
    </row>
    <row r="433" spans="1:29" ht="68.25" x14ac:dyDescent="0.2">
      <c r="A433" s="61" t="s">
        <v>322</v>
      </c>
      <c r="B433" s="61" t="str">
        <f>Source!F175</f>
        <v>КА, п.15</v>
      </c>
      <c r="C433" s="61" t="s">
        <v>892</v>
      </c>
      <c r="D433" s="62" t="str">
        <f>Source!H175</f>
        <v>ШТ</v>
      </c>
      <c r="E433" s="63">
        <f>Source!I175</f>
        <v>4</v>
      </c>
      <c r="F433" s="64">
        <f>Source!AK175</f>
        <v>1783.28</v>
      </c>
      <c r="G433" s="65" t="s">
        <v>3</v>
      </c>
      <c r="H433" s="63">
        <f>Source!AW176</f>
        <v>1</v>
      </c>
      <c r="I433" s="64">
        <f>Source!O175</f>
        <v>7133.12</v>
      </c>
      <c r="J433" s="63">
        <f>IF(Source!BC176&lt;&gt; 0, Source!BC176, 1)</f>
        <v>7.57</v>
      </c>
      <c r="K433" s="64">
        <f>Source!O176</f>
        <v>53997.72</v>
      </c>
      <c r="Q433">
        <f>Source!X175</f>
        <v>0</v>
      </c>
      <c r="R433">
        <f>Source!X176</f>
        <v>0</v>
      </c>
      <c r="S433">
        <f>Source!Y175</f>
        <v>0</v>
      </c>
      <c r="T433">
        <f>Source!Y176</f>
        <v>0</v>
      </c>
      <c r="U433">
        <f>ROUND((175/100)*ROUND(Source!R175, 2), 2)</f>
        <v>0</v>
      </c>
      <c r="V433">
        <f>ROUND((0/100)*ROUND(Source!R176, 2), 2)</f>
        <v>0</v>
      </c>
      <c r="AC433">
        <v>5</v>
      </c>
    </row>
    <row r="434" spans="1:29" ht="14.25" x14ac:dyDescent="0.2">
      <c r="A434" s="41"/>
      <c r="B434" s="41"/>
      <c r="C434" s="41" t="s">
        <v>857</v>
      </c>
      <c r="D434" s="43" t="s">
        <v>858</v>
      </c>
      <c r="E434" s="42">
        <f>Source!BZ172</f>
        <v>121</v>
      </c>
      <c r="F434" s="45"/>
      <c r="G434" s="44"/>
      <c r="H434" s="42"/>
      <c r="I434" s="45">
        <f>SUM(Q427:Q433)</f>
        <v>86.24</v>
      </c>
      <c r="J434" s="42">
        <f>Source!AT172</f>
        <v>121</v>
      </c>
      <c r="K434" s="45">
        <f>SUM(R427:R433)</f>
        <v>4859.43</v>
      </c>
    </row>
    <row r="435" spans="1:29" ht="14.25" x14ac:dyDescent="0.2">
      <c r="A435" s="41"/>
      <c r="B435" s="41"/>
      <c r="C435" s="41" t="s">
        <v>859</v>
      </c>
      <c r="D435" s="43" t="s">
        <v>858</v>
      </c>
      <c r="E435" s="42">
        <f>Source!CA172</f>
        <v>72</v>
      </c>
      <c r="F435" s="45"/>
      <c r="G435" s="44"/>
      <c r="H435" s="42"/>
      <c r="I435" s="45">
        <f>SUM(S427:S434)</f>
        <v>51.31</v>
      </c>
      <c r="J435" s="42">
        <f>Source!AU172</f>
        <v>72</v>
      </c>
      <c r="K435" s="45">
        <f>SUM(T427:T434)</f>
        <v>2891.56</v>
      </c>
    </row>
    <row r="436" spans="1:29" ht="14.25" x14ac:dyDescent="0.2">
      <c r="A436" s="48"/>
      <c r="B436" s="48"/>
      <c r="C436" s="48" t="s">
        <v>860</v>
      </c>
      <c r="D436" s="49" t="s">
        <v>861</v>
      </c>
      <c r="E436" s="50">
        <f>Source!AQ171</f>
        <v>1.03</v>
      </c>
      <c r="F436" s="51"/>
      <c r="G436" s="52" t="s">
        <v>889</v>
      </c>
      <c r="H436" s="50">
        <f>Source!AV172</f>
        <v>1.0669999999999999</v>
      </c>
      <c r="I436" s="51">
        <f>Source!U171</f>
        <v>6.0665351999999988</v>
      </c>
      <c r="J436" s="50"/>
      <c r="K436" s="51"/>
    </row>
    <row r="437" spans="1:29" ht="15" x14ac:dyDescent="0.2">
      <c r="C437" s="53" t="s">
        <v>862</v>
      </c>
      <c r="H437" s="54">
        <f>I428+I429+I431+I434+I435+SUM(I432:I433)-SUMIF(AC432:AC433, 5, I432:I433)-SUMIF(AC432:AC433, 6, I432:I433)</f>
        <v>253.71999999999935</v>
      </c>
      <c r="I437" s="54"/>
      <c r="J437" s="54">
        <f>K428+K429+K431+K434+K435+SUM(K432:K433)-SUMIF(AC432:AC433, 5, K432:K433)-SUMIF(AC432:AC433, 6, K432:K433)</f>
        <v>12003.679999999993</v>
      </c>
      <c r="K437" s="54"/>
    </row>
    <row r="438" spans="1:29" ht="15" x14ac:dyDescent="0.2">
      <c r="C438" s="53" t="s">
        <v>863</v>
      </c>
      <c r="H438" s="56">
        <f>SUMIF(AC432:AC433, 5, I432:I433)+SUMIF(AC432:AC433, 6, I432:I433)</f>
        <v>7133.12</v>
      </c>
      <c r="I438" s="56"/>
      <c r="J438" s="56">
        <f>SUMIF(AC432:AC433, 5, K432:K433)+SUMIF(AC432:AC433, 6, K432:K433)</f>
        <v>53997.72</v>
      </c>
      <c r="K438" s="56"/>
    </row>
    <row r="439" spans="1:29" ht="15" x14ac:dyDescent="0.2">
      <c r="C439" s="53" t="s">
        <v>864</v>
      </c>
      <c r="H439" s="56">
        <f>I428+I429+I431+I434+I435+SUM(I432:I433)</f>
        <v>7386.8399999999992</v>
      </c>
      <c r="I439" s="56"/>
      <c r="J439" s="56">
        <f>K428+K429+K431+K434+K435+SUM(K432:K433)</f>
        <v>66001.399999999994</v>
      </c>
      <c r="K439" s="56"/>
      <c r="O439" s="57">
        <f>I428+I429+I431+I434+I435+SUM(I432:I433)</f>
        <v>7386.8399999999992</v>
      </c>
      <c r="P439" s="57">
        <f>K428+K429+K431+K434+K435+SUM(K432:K433)</f>
        <v>66001.399999999994</v>
      </c>
    </row>
    <row r="441" spans="1:29" ht="28.5" x14ac:dyDescent="0.2">
      <c r="A441" s="41">
        <v>50</v>
      </c>
      <c r="B441" s="41" t="str">
        <f>Source!F177</f>
        <v>3.17-12-1</v>
      </c>
      <c r="C441" s="41" t="s">
        <v>327</v>
      </c>
      <c r="D441" s="43" t="str">
        <f>Source!H177</f>
        <v>100 шт.</v>
      </c>
      <c r="E441" s="42">
        <f>Source!I177</f>
        <v>0.04</v>
      </c>
      <c r="F441" s="45"/>
      <c r="G441" s="44"/>
      <c r="H441" s="42"/>
      <c r="I441" s="45"/>
      <c r="J441" s="42"/>
      <c r="K441" s="45"/>
      <c r="Q441">
        <f>Source!X177</f>
        <v>19.78</v>
      </c>
      <c r="R441">
        <f>Source!X178</f>
        <v>1114.81</v>
      </c>
      <c r="S441">
        <f>Source!Y177</f>
        <v>11.77</v>
      </c>
      <c r="T441">
        <f>Source!Y178</f>
        <v>663.36</v>
      </c>
      <c r="U441">
        <f>ROUND((175/100)*ROUND(Source!R177, 2), 2)</f>
        <v>0.04</v>
      </c>
      <c r="V441">
        <f>ROUND((0/100)*ROUND(Source!R178, 2), 2)</f>
        <v>0</v>
      </c>
      <c r="AC441">
        <v>0</v>
      </c>
    </row>
    <row r="442" spans="1:29" x14ac:dyDescent="0.2">
      <c r="C442" s="58" t="str">
        <f>"Объем: "&amp;Source!I177&amp;"=4/"&amp;"100"</f>
        <v>Объем: 0,04=4/100</v>
      </c>
    </row>
    <row r="443" spans="1:29" ht="14.25" x14ac:dyDescent="0.2">
      <c r="A443" s="41"/>
      <c r="B443" s="41"/>
      <c r="C443" s="41" t="s">
        <v>853</v>
      </c>
      <c r="D443" s="43"/>
      <c r="E443" s="42"/>
      <c r="F443" s="45">
        <f>Source!AO177</f>
        <v>277.20999999999998</v>
      </c>
      <c r="G443" s="46" t="s">
        <v>889</v>
      </c>
      <c r="H443" s="42">
        <f>Source!AV178</f>
        <v>1.0669999999999999</v>
      </c>
      <c r="I443" s="45">
        <f>Source!S177</f>
        <v>16.329999999999998</v>
      </c>
      <c r="J443" s="42">
        <f>IF(Source!BA178&lt;&gt; 0, Source!BA178, 1)</f>
        <v>56.35</v>
      </c>
      <c r="K443" s="45">
        <f>Source!S178</f>
        <v>920.2</v>
      </c>
    </row>
    <row r="444" spans="1:29" ht="14.25" x14ac:dyDescent="0.2">
      <c r="A444" s="41"/>
      <c r="B444" s="41"/>
      <c r="C444" s="41" t="s">
        <v>855</v>
      </c>
      <c r="D444" s="43"/>
      <c r="E444" s="42"/>
      <c r="F444" s="45">
        <f>Source!AM177</f>
        <v>7.82</v>
      </c>
      <c r="G444" s="46" t="s">
        <v>890</v>
      </c>
      <c r="H444" s="42">
        <f>Source!AV178</f>
        <v>1.0669999999999999</v>
      </c>
      <c r="I444" s="45">
        <f>Source!Q177</f>
        <v>0.5</v>
      </c>
      <c r="J444" s="42">
        <f>IF(Source!BB178&lt;&gt; 0, Source!BB178, 1)</f>
        <v>11.16</v>
      </c>
      <c r="K444" s="45">
        <f>Source!Q178</f>
        <v>5.58</v>
      </c>
    </row>
    <row r="445" spans="1:29" ht="14.25" x14ac:dyDescent="0.2">
      <c r="A445" s="41"/>
      <c r="B445" s="41"/>
      <c r="C445" s="41" t="s">
        <v>856</v>
      </c>
      <c r="D445" s="43"/>
      <c r="E445" s="42"/>
      <c r="F445" s="45">
        <f>Source!AN177</f>
        <v>0.25</v>
      </c>
      <c r="G445" s="46" t="s">
        <v>890</v>
      </c>
      <c r="H445" s="42">
        <f>Source!AV178</f>
        <v>1.0669999999999999</v>
      </c>
      <c r="I445" s="47">
        <f>Source!R177</f>
        <v>0.02</v>
      </c>
      <c r="J445" s="42">
        <f>IF(Source!BS178&lt;&gt; 0, Source!BS178, 1)</f>
        <v>56.35</v>
      </c>
      <c r="K445" s="47">
        <f>Source!R178</f>
        <v>1.1299999999999999</v>
      </c>
    </row>
    <row r="446" spans="1:29" ht="14.25" x14ac:dyDescent="0.2">
      <c r="A446" s="41"/>
      <c r="B446" s="41"/>
      <c r="C446" s="41" t="s">
        <v>866</v>
      </c>
      <c r="D446" s="43"/>
      <c r="E446" s="42"/>
      <c r="F446" s="45">
        <f>Source!AL177</f>
        <v>356.04</v>
      </c>
      <c r="G446" s="46" t="s">
        <v>3</v>
      </c>
      <c r="H446" s="42">
        <f>Source!AW178</f>
        <v>1</v>
      </c>
      <c r="I446" s="45">
        <f>Source!P177</f>
        <v>14.24</v>
      </c>
      <c r="J446" s="42">
        <f>IF(Source!BC178&lt;&gt; 0, Source!BC178, 1)</f>
        <v>3.42</v>
      </c>
      <c r="K446" s="45">
        <f>Source!P178</f>
        <v>48.7</v>
      </c>
    </row>
    <row r="447" spans="1:29" ht="27" x14ac:dyDescent="0.2">
      <c r="A447" s="41" t="s">
        <v>328</v>
      </c>
      <c r="B447" s="41" t="str">
        <f>Source!F179</f>
        <v>КА, п.16</v>
      </c>
      <c r="C447" s="41" t="s">
        <v>893</v>
      </c>
      <c r="D447" s="43" t="str">
        <f>Source!H179</f>
        <v>ШТ</v>
      </c>
      <c r="E447" s="42">
        <f>Source!I179</f>
        <v>4</v>
      </c>
      <c r="F447" s="45">
        <f>Source!AK179</f>
        <v>254.9</v>
      </c>
      <c r="G447" s="46" t="s">
        <v>3</v>
      </c>
      <c r="H447" s="42">
        <f>Source!AW180</f>
        <v>1</v>
      </c>
      <c r="I447" s="45">
        <f>Source!O179</f>
        <v>1019.6</v>
      </c>
      <c r="J447" s="42">
        <f>IF(Source!BC180&lt;&gt; 0, Source!BC180, 1)</f>
        <v>9.84</v>
      </c>
      <c r="K447" s="45">
        <f>Source!O180</f>
        <v>10032.86</v>
      </c>
      <c r="Q447">
        <f>Source!X179</f>
        <v>0</v>
      </c>
      <c r="R447">
        <f>Source!X180</f>
        <v>0</v>
      </c>
      <c r="S447">
        <f>Source!Y179</f>
        <v>0</v>
      </c>
      <c r="T447">
        <f>Source!Y180</f>
        <v>0</v>
      </c>
      <c r="U447">
        <f>ROUND((175/100)*ROUND(Source!R179, 2), 2)</f>
        <v>0</v>
      </c>
      <c r="V447">
        <f>ROUND((0/100)*ROUND(Source!R180, 2), 2)</f>
        <v>0</v>
      </c>
      <c r="AC447">
        <v>3</v>
      </c>
    </row>
    <row r="448" spans="1:29" ht="14.25" x14ac:dyDescent="0.2">
      <c r="A448" s="41"/>
      <c r="B448" s="41"/>
      <c r="C448" s="41" t="s">
        <v>857</v>
      </c>
      <c r="D448" s="43" t="s">
        <v>858</v>
      </c>
      <c r="E448" s="42">
        <f>Source!BZ178</f>
        <v>121</v>
      </c>
      <c r="F448" s="45"/>
      <c r="G448" s="44"/>
      <c r="H448" s="42"/>
      <c r="I448" s="45">
        <f>SUM(Q441:Q447)</f>
        <v>19.78</v>
      </c>
      <c r="J448" s="42">
        <f>Source!AT178</f>
        <v>121</v>
      </c>
      <c r="K448" s="45">
        <f>SUM(R441:R447)</f>
        <v>1114.81</v>
      </c>
    </row>
    <row r="449" spans="1:29" ht="14.25" x14ac:dyDescent="0.2">
      <c r="A449" s="41"/>
      <c r="B449" s="41"/>
      <c r="C449" s="41" t="s">
        <v>859</v>
      </c>
      <c r="D449" s="43" t="s">
        <v>858</v>
      </c>
      <c r="E449" s="42">
        <f>Source!CA178</f>
        <v>72</v>
      </c>
      <c r="F449" s="45"/>
      <c r="G449" s="44"/>
      <c r="H449" s="42"/>
      <c r="I449" s="45">
        <f>SUM(S441:S448)</f>
        <v>11.77</v>
      </c>
      <c r="J449" s="42">
        <f>Source!AU178</f>
        <v>72</v>
      </c>
      <c r="K449" s="45">
        <f>SUM(T441:T448)</f>
        <v>663.36</v>
      </c>
    </row>
    <row r="450" spans="1:29" ht="14.25" x14ac:dyDescent="0.2">
      <c r="A450" s="48"/>
      <c r="B450" s="48"/>
      <c r="C450" s="48" t="s">
        <v>860</v>
      </c>
      <c r="D450" s="49" t="s">
        <v>861</v>
      </c>
      <c r="E450" s="50">
        <f>Source!AQ177</f>
        <v>24.8</v>
      </c>
      <c r="F450" s="51"/>
      <c r="G450" s="52" t="s">
        <v>889</v>
      </c>
      <c r="H450" s="50">
        <f>Source!AV178</f>
        <v>1.0669999999999999</v>
      </c>
      <c r="I450" s="51">
        <f>Source!U177</f>
        <v>1.4606803199999998</v>
      </c>
      <c r="J450" s="50"/>
      <c r="K450" s="51"/>
    </row>
    <row r="451" spans="1:29" ht="15" x14ac:dyDescent="0.2">
      <c r="C451" s="53" t="s">
        <v>862</v>
      </c>
      <c r="H451" s="54">
        <f>I443+I444+I446+I448+I449+SUM(I447:I447)-SUMIF(AC447:AC447, 5, I447:I447)-SUMIF(AC447:AC447, 6, I447:I447)</f>
        <v>1082.22</v>
      </c>
      <c r="I451" s="54"/>
      <c r="J451" s="54">
        <f>K443+K444+K446+K448+K449+SUM(K447:K447)-SUMIF(AC447:AC447, 5, K447:K447)-SUMIF(AC447:AC447, 6, K447:K447)</f>
        <v>12785.51</v>
      </c>
      <c r="K451" s="54"/>
    </row>
    <row r="452" spans="1:29" ht="15" hidden="1" x14ac:dyDescent="0.2">
      <c r="C452" s="53" t="s">
        <v>863</v>
      </c>
      <c r="H452" s="56">
        <f>SUMIF(AC447:AC447, 5, I447:I447)+SUMIF(AC447:AC447, 6, I447:I447)</f>
        <v>0</v>
      </c>
      <c r="I452" s="56"/>
      <c r="J452" s="56">
        <f>SUMIF(AC447:AC447, 5, K447:K447)+SUMIF(AC447:AC447, 6, K447:K447)</f>
        <v>0</v>
      </c>
      <c r="K452" s="56"/>
    </row>
    <row r="453" spans="1:29" ht="15" x14ac:dyDescent="0.2">
      <c r="C453" s="53" t="s">
        <v>864</v>
      </c>
      <c r="H453" s="56">
        <f>I443+I444+I446+I448+I449+SUM(I447:I447)</f>
        <v>1082.22</v>
      </c>
      <c r="I453" s="56"/>
      <c r="J453" s="56">
        <f>K443+K444+K446+K448+K449+SUM(K447:K447)</f>
        <v>12785.51</v>
      </c>
      <c r="K453" s="56"/>
      <c r="O453" s="57">
        <f>I443+I444+I446+I448+I449+SUM(I447:I447)</f>
        <v>1082.22</v>
      </c>
      <c r="P453" s="57">
        <f>K443+K444+K446+K448+K449+SUM(K447:K447)</f>
        <v>12785.51</v>
      </c>
    </row>
    <row r="456" spans="1:29" ht="15" x14ac:dyDescent="0.25">
      <c r="A456" s="59" t="str">
        <f>CONCATENATE("Итого по разделу: ",IF(Source!G182&lt;&gt;"Новый раздел", Source!G182, ""))</f>
        <v>Итого по разделу: Оборудование</v>
      </c>
      <c r="B456" s="59"/>
      <c r="C456" s="59"/>
      <c r="D456" s="59"/>
      <c r="E456" s="59"/>
      <c r="F456" s="59"/>
      <c r="G456" s="59"/>
      <c r="H456" s="56">
        <f>SUM(O224:O455)</f>
        <v>272743.02</v>
      </c>
      <c r="I456" s="55"/>
      <c r="J456" s="56">
        <f>SUM(P224:P455)</f>
        <v>2134079.52</v>
      </c>
      <c r="K456" s="55"/>
    </row>
    <row r="457" spans="1:29" hidden="1" x14ac:dyDescent="0.2">
      <c r="A457" t="s">
        <v>868</v>
      </c>
      <c r="I457">
        <f>SUM(W224:W456)</f>
        <v>0</v>
      </c>
      <c r="J457">
        <f>SUM(X224:X456)</f>
        <v>0</v>
      </c>
    </row>
    <row r="458" spans="1:29" hidden="1" x14ac:dyDescent="0.2">
      <c r="A458" t="s">
        <v>869</v>
      </c>
      <c r="I458">
        <f>SUM(Y224:Y457)</f>
        <v>0</v>
      </c>
      <c r="J458">
        <f>SUM(Z224:Z457)</f>
        <v>0</v>
      </c>
    </row>
    <row r="460" spans="1:29" ht="16.5" x14ac:dyDescent="0.2">
      <c r="A460" s="39" t="str">
        <f>CONCATENATE("Раздел: ",IF(Source!G212&lt;&gt;"Новый раздел", Source!G212, ""))</f>
        <v>Раздел: Кабельные изделия</v>
      </c>
      <c r="B460" s="39"/>
      <c r="C460" s="39"/>
      <c r="D460" s="39"/>
      <c r="E460" s="39"/>
      <c r="F460" s="39"/>
      <c r="G460" s="39"/>
      <c r="H460" s="39"/>
      <c r="I460" s="39"/>
      <c r="J460" s="39"/>
      <c r="K460" s="39"/>
    </row>
    <row r="461" spans="1:29" ht="57" x14ac:dyDescent="0.2">
      <c r="A461" s="41">
        <v>51</v>
      </c>
      <c r="B461" s="41" t="str">
        <f>Source!F228</f>
        <v>4.10-185-3</v>
      </c>
      <c r="C461" s="41" t="s">
        <v>130</v>
      </c>
      <c r="D461" s="43" t="str">
        <f>Source!H228</f>
        <v>100 м</v>
      </c>
      <c r="E461" s="42">
        <f>Source!I228</f>
        <v>6.42</v>
      </c>
      <c r="F461" s="45"/>
      <c r="G461" s="44"/>
      <c r="H461" s="42"/>
      <c r="I461" s="45"/>
      <c r="J461" s="42"/>
      <c r="K461" s="45"/>
      <c r="Q461">
        <f>Source!X228</f>
        <v>2135.81</v>
      </c>
      <c r="R461">
        <f>Source!X229</f>
        <v>120352.78</v>
      </c>
      <c r="S461">
        <f>Source!Y228</f>
        <v>1091.6400000000001</v>
      </c>
      <c r="T461">
        <f>Source!Y229</f>
        <v>61513.64</v>
      </c>
      <c r="U461">
        <f>ROUND((175/100)*ROUND(Source!R228, 2), 2)</f>
        <v>0</v>
      </c>
      <c r="V461">
        <f>ROUND((0/100)*ROUND(Source!R229, 2), 2)</f>
        <v>0</v>
      </c>
      <c r="AC461">
        <v>0</v>
      </c>
    </row>
    <row r="462" spans="1:29" x14ac:dyDescent="0.2">
      <c r="C462" s="58" t="str">
        <f>"Объем: "&amp;Source!I228&amp;"=642/"&amp;"100"</f>
        <v>Объем: 6,42=642/100</v>
      </c>
    </row>
    <row r="463" spans="1:29" ht="14.25" x14ac:dyDescent="0.2">
      <c r="A463" s="41"/>
      <c r="B463" s="41"/>
      <c r="C463" s="41" t="s">
        <v>853</v>
      </c>
      <c r="D463" s="43"/>
      <c r="E463" s="42"/>
      <c r="F463" s="45">
        <f>Source!AO228</f>
        <v>294.20999999999998</v>
      </c>
      <c r="G463" s="46" t="s">
        <v>196</v>
      </c>
      <c r="H463" s="42">
        <f>Source!AV229</f>
        <v>1.0469999999999999</v>
      </c>
      <c r="I463" s="45">
        <f>Source!S228</f>
        <v>2373.12</v>
      </c>
      <c r="J463" s="42">
        <f>IF(Source!BA229&lt;&gt; 0, Source!BA229, 1)</f>
        <v>56.35</v>
      </c>
      <c r="K463" s="45">
        <f>Source!S229</f>
        <v>133725.31</v>
      </c>
    </row>
    <row r="464" spans="1:29" ht="14.25" x14ac:dyDescent="0.2">
      <c r="A464" s="41"/>
      <c r="B464" s="41"/>
      <c r="C464" s="41" t="s">
        <v>855</v>
      </c>
      <c r="D464" s="43"/>
      <c r="E464" s="42"/>
      <c r="F464" s="45">
        <f>Source!AM228</f>
        <v>4.05</v>
      </c>
      <c r="G464" s="46" t="s">
        <v>196</v>
      </c>
      <c r="H464" s="42">
        <f>Source!AV229</f>
        <v>1.0469999999999999</v>
      </c>
      <c r="I464" s="45">
        <f>Source!Q228</f>
        <v>32.67</v>
      </c>
      <c r="J464" s="42">
        <f>IF(Source!BB229&lt;&gt; 0, Source!BB229, 1)</f>
        <v>9.6199999999999992</v>
      </c>
      <c r="K464" s="45">
        <f>Source!Q229</f>
        <v>314.29000000000002</v>
      </c>
    </row>
    <row r="465" spans="1:29" ht="14.25" x14ac:dyDescent="0.2">
      <c r="A465" s="41"/>
      <c r="B465" s="41"/>
      <c r="C465" s="41" t="s">
        <v>866</v>
      </c>
      <c r="D465" s="43"/>
      <c r="E465" s="42"/>
      <c r="F465" s="45">
        <f>Source!AL228</f>
        <v>19.420000000000002</v>
      </c>
      <c r="G465" s="46" t="s">
        <v>3</v>
      </c>
      <c r="H465" s="42">
        <f>Source!AW229</f>
        <v>1</v>
      </c>
      <c r="I465" s="45">
        <f>Source!P228</f>
        <v>124.68</v>
      </c>
      <c r="J465" s="42">
        <f>IF(Source!BC229&lt;&gt; 0, Source!BC229, 1)</f>
        <v>6.54</v>
      </c>
      <c r="K465" s="45">
        <f>Source!P229</f>
        <v>815.41</v>
      </c>
    </row>
    <row r="466" spans="1:29" ht="42.75" x14ac:dyDescent="0.2">
      <c r="A466" s="41" t="s">
        <v>360</v>
      </c>
      <c r="B466" s="41" t="str">
        <f>Source!F230</f>
        <v>1.12-5-372</v>
      </c>
      <c r="C466" s="41" t="s">
        <v>340</v>
      </c>
      <c r="D466" s="43" t="str">
        <f>Source!H230</f>
        <v>м</v>
      </c>
      <c r="E466" s="42">
        <f>Source!I230</f>
        <v>654.84</v>
      </c>
      <c r="F466" s="45">
        <f>Source!AK230</f>
        <v>3.45</v>
      </c>
      <c r="G466" s="46" t="s">
        <v>3</v>
      </c>
      <c r="H466" s="42">
        <f>Source!AW231</f>
        <v>1</v>
      </c>
      <c r="I466" s="45">
        <f>Source!O230</f>
        <v>2259.1999999999998</v>
      </c>
      <c r="J466" s="42">
        <f>IF(Source!BC231&lt;&gt; 0, Source!BC231, 1)</f>
        <v>3.79</v>
      </c>
      <c r="K466" s="45">
        <f>Source!O231</f>
        <v>8562.3700000000008</v>
      </c>
      <c r="Q466">
        <f>Source!X230</f>
        <v>0</v>
      </c>
      <c r="R466">
        <f>Source!X231</f>
        <v>0</v>
      </c>
      <c r="S466">
        <f>Source!Y230</f>
        <v>0</v>
      </c>
      <c r="T466">
        <f>Source!Y231</f>
        <v>0</v>
      </c>
      <c r="U466">
        <f>ROUND((175/100)*ROUND(Source!R230, 2), 2)</f>
        <v>0</v>
      </c>
      <c r="V466">
        <f>ROUND((0/100)*ROUND(Source!R231, 2), 2)</f>
        <v>0</v>
      </c>
      <c r="AC466">
        <v>3</v>
      </c>
    </row>
    <row r="467" spans="1:29" ht="42.75" x14ac:dyDescent="0.2">
      <c r="A467" s="41" t="s">
        <v>361</v>
      </c>
      <c r="B467" s="41" t="str">
        <f>Source!F232</f>
        <v>1.21-5-1469</v>
      </c>
      <c r="C467" s="41" t="s">
        <v>347</v>
      </c>
      <c r="D467" s="43" t="str">
        <f>Source!H232</f>
        <v>1000 шт.</v>
      </c>
      <c r="E467" s="42">
        <f>Source!I232</f>
        <v>2.14</v>
      </c>
      <c r="F467" s="45">
        <f>Source!AK232</f>
        <v>396.59</v>
      </c>
      <c r="G467" s="46" t="s">
        <v>3</v>
      </c>
      <c r="H467" s="42">
        <f>Source!AW233</f>
        <v>1</v>
      </c>
      <c r="I467" s="45">
        <f>Source!O232</f>
        <v>848.7</v>
      </c>
      <c r="J467" s="42">
        <f>IF(Source!BC233&lt;&gt; 0, Source!BC233, 1)</f>
        <v>4.4000000000000004</v>
      </c>
      <c r="K467" s="45">
        <f>Source!O233</f>
        <v>3734.28</v>
      </c>
      <c r="Q467">
        <f>Source!X232</f>
        <v>0</v>
      </c>
      <c r="R467">
        <f>Source!X233</f>
        <v>0</v>
      </c>
      <c r="S467">
        <f>Source!Y232</f>
        <v>0</v>
      </c>
      <c r="T467">
        <f>Source!Y233</f>
        <v>0</v>
      </c>
      <c r="U467">
        <f>ROUND((175/100)*ROUND(Source!R232, 2), 2)</f>
        <v>0</v>
      </c>
      <c r="V467">
        <f>ROUND((0/100)*ROUND(Source!R233, 2), 2)</f>
        <v>0</v>
      </c>
      <c r="AC467">
        <v>3</v>
      </c>
    </row>
    <row r="468" spans="1:29" ht="42.75" x14ac:dyDescent="0.2">
      <c r="A468" s="41" t="s">
        <v>362</v>
      </c>
      <c r="B468" s="41" t="str">
        <f>Source!F234</f>
        <v>1.1-1-3383</v>
      </c>
      <c r="C468" s="41" t="s">
        <v>363</v>
      </c>
      <c r="D468" s="43" t="str">
        <f>Source!H234</f>
        <v>100 шт.</v>
      </c>
      <c r="E468" s="42">
        <f>Source!I234</f>
        <v>26.4</v>
      </c>
      <c r="F468" s="45">
        <f>Source!AK234</f>
        <v>94.93</v>
      </c>
      <c r="G468" s="46" t="s">
        <v>3</v>
      </c>
      <c r="H468" s="42">
        <f>Source!AW235</f>
        <v>1</v>
      </c>
      <c r="I468" s="45">
        <f>Source!O234</f>
        <v>2506.15</v>
      </c>
      <c r="J468" s="42">
        <f>IF(Source!BC235&lt;&gt; 0, Source!BC235, 1)</f>
        <v>3.7</v>
      </c>
      <c r="K468" s="45">
        <f>Source!O235</f>
        <v>9272.76</v>
      </c>
      <c r="Q468">
        <f>Source!X234</f>
        <v>0</v>
      </c>
      <c r="R468">
        <f>Source!X235</f>
        <v>0</v>
      </c>
      <c r="S468">
        <f>Source!Y234</f>
        <v>0</v>
      </c>
      <c r="T468">
        <f>Source!Y235</f>
        <v>0</v>
      </c>
      <c r="U468">
        <f>ROUND((175/100)*ROUND(Source!R234, 2), 2)</f>
        <v>0</v>
      </c>
      <c r="V468">
        <f>ROUND((0/100)*ROUND(Source!R235, 2), 2)</f>
        <v>0</v>
      </c>
      <c r="AC468">
        <v>3</v>
      </c>
    </row>
    <row r="469" spans="1:29" ht="42.75" x14ac:dyDescent="0.2">
      <c r="A469" s="41" t="s">
        <v>364</v>
      </c>
      <c r="B469" s="41" t="str">
        <f>Source!F236</f>
        <v>1.1-1-3256</v>
      </c>
      <c r="C469" s="41" t="s">
        <v>357</v>
      </c>
      <c r="D469" s="43" t="str">
        <f>Source!H236</f>
        <v>100 шт.</v>
      </c>
      <c r="E469" s="42">
        <f>Source!I236</f>
        <v>26.4</v>
      </c>
      <c r="F469" s="45">
        <f>Source!AK236</f>
        <v>17.28</v>
      </c>
      <c r="G469" s="46" t="s">
        <v>3</v>
      </c>
      <c r="H469" s="42">
        <f>Source!AW237</f>
        <v>1</v>
      </c>
      <c r="I469" s="45">
        <f>Source!O236</f>
        <v>456.19</v>
      </c>
      <c r="J469" s="42">
        <f>IF(Source!BC237&lt;&gt; 0, Source!BC237, 1)</f>
        <v>6.49</v>
      </c>
      <c r="K469" s="45">
        <f>Source!O237</f>
        <v>2960.67</v>
      </c>
      <c r="Q469">
        <f>Source!X236</f>
        <v>0</v>
      </c>
      <c r="R469">
        <f>Source!X237</f>
        <v>0</v>
      </c>
      <c r="S469">
        <f>Source!Y236</f>
        <v>0</v>
      </c>
      <c r="T469">
        <f>Source!Y237</f>
        <v>0</v>
      </c>
      <c r="U469">
        <f>ROUND((175/100)*ROUND(Source!R236, 2), 2)</f>
        <v>0</v>
      </c>
      <c r="V469">
        <f>ROUND((0/100)*ROUND(Source!R237, 2), 2)</f>
        <v>0</v>
      </c>
      <c r="AC469">
        <v>3</v>
      </c>
    </row>
    <row r="470" spans="1:29" ht="14.25" x14ac:dyDescent="0.2">
      <c r="A470" s="41"/>
      <c r="B470" s="41"/>
      <c r="C470" s="41" t="s">
        <v>857</v>
      </c>
      <c r="D470" s="43" t="s">
        <v>858</v>
      </c>
      <c r="E470" s="42">
        <f>Source!BZ229</f>
        <v>90</v>
      </c>
      <c r="F470" s="45"/>
      <c r="G470" s="44"/>
      <c r="H470" s="42"/>
      <c r="I470" s="45">
        <f>SUM(Q461:Q469)</f>
        <v>2135.81</v>
      </c>
      <c r="J470" s="42">
        <f>Source!AT229</f>
        <v>90</v>
      </c>
      <c r="K470" s="45">
        <f>SUM(R461:R469)</f>
        <v>120352.78</v>
      </c>
    </row>
    <row r="471" spans="1:29" ht="14.25" x14ac:dyDescent="0.2">
      <c r="A471" s="41"/>
      <c r="B471" s="41"/>
      <c r="C471" s="41" t="s">
        <v>859</v>
      </c>
      <c r="D471" s="43" t="s">
        <v>858</v>
      </c>
      <c r="E471" s="42">
        <f>Source!CA229</f>
        <v>46</v>
      </c>
      <c r="F471" s="45"/>
      <c r="G471" s="44"/>
      <c r="H471" s="42"/>
      <c r="I471" s="45">
        <f>SUM(S461:S470)</f>
        <v>1091.6400000000001</v>
      </c>
      <c r="J471" s="42">
        <f>Source!AU229</f>
        <v>46</v>
      </c>
      <c r="K471" s="45">
        <f>SUM(T461:T470)</f>
        <v>61513.64</v>
      </c>
    </row>
    <row r="472" spans="1:29" ht="14.25" x14ac:dyDescent="0.2">
      <c r="A472" s="48"/>
      <c r="B472" s="48"/>
      <c r="C472" s="48" t="s">
        <v>860</v>
      </c>
      <c r="D472" s="49" t="s">
        <v>861</v>
      </c>
      <c r="E472" s="50">
        <f>Source!AQ228</f>
        <v>24.76</v>
      </c>
      <c r="F472" s="51"/>
      <c r="G472" s="52" t="s">
        <v>196</v>
      </c>
      <c r="H472" s="50">
        <f>Source!AV229</f>
        <v>1.0469999999999999</v>
      </c>
      <c r="I472" s="51">
        <f>Source!U228</f>
        <v>199.71633888</v>
      </c>
      <c r="J472" s="50"/>
      <c r="K472" s="51"/>
    </row>
    <row r="473" spans="1:29" ht="15" x14ac:dyDescent="0.2">
      <c r="C473" s="53" t="s">
        <v>862</v>
      </c>
      <c r="H473" s="54">
        <f>I463+I464+I465+I470+I471+SUM(I466:I469)-SUMIF(AC466:AC469, 5, I466:I469)-SUMIF(AC466:AC469, 6, I466:I469)</f>
        <v>11828.16</v>
      </c>
      <c r="I473" s="54"/>
      <c r="J473" s="54">
        <f>K463+K464+K465+K470+K471+SUM(K466:K469)-SUMIF(AC466:AC469, 5, K466:K469)-SUMIF(AC466:AC469, 6, K466:K469)</f>
        <v>341251.51</v>
      </c>
      <c r="K473" s="54"/>
    </row>
    <row r="474" spans="1:29" ht="15" hidden="1" x14ac:dyDescent="0.2">
      <c r="C474" s="53" t="s">
        <v>863</v>
      </c>
      <c r="H474" s="56">
        <f>SUMIF(AC466:AC469, 5, I466:I469)+SUMIF(AC466:AC469, 6, I466:I469)</f>
        <v>0</v>
      </c>
      <c r="I474" s="56"/>
      <c r="J474" s="56">
        <f>SUMIF(AC466:AC469, 5, K466:K469)+SUMIF(AC466:AC469, 6, K466:K469)</f>
        <v>0</v>
      </c>
      <c r="K474" s="56"/>
    </row>
    <row r="475" spans="1:29" ht="15" x14ac:dyDescent="0.2">
      <c r="C475" s="53" t="s">
        <v>864</v>
      </c>
      <c r="H475" s="56">
        <f>I463+I464+I465+I470+I471+SUM(I466:I469)</f>
        <v>11828.16</v>
      </c>
      <c r="I475" s="56"/>
      <c r="J475" s="56">
        <f>K463+K464+K465+K470+K471+SUM(K466:K469)</f>
        <v>341251.51</v>
      </c>
      <c r="K475" s="56"/>
      <c r="O475" s="57">
        <f>I463+I464+I465+I470+I471+SUM(I466:I469)</f>
        <v>11828.16</v>
      </c>
      <c r="P475" s="57">
        <f>K463+K464+K465+K470+K471+SUM(K466:K469)</f>
        <v>341251.51</v>
      </c>
    </row>
    <row r="477" spans="1:29" ht="27" x14ac:dyDescent="0.2">
      <c r="A477" s="48">
        <v>52</v>
      </c>
      <c r="B477" s="48" t="str">
        <f>Source!F238</f>
        <v>КА, п.18</v>
      </c>
      <c r="C477" s="48" t="s">
        <v>894</v>
      </c>
      <c r="D477" s="49" t="str">
        <f>Source!H238</f>
        <v>м</v>
      </c>
      <c r="E477" s="50">
        <f>Source!I238</f>
        <v>654.84</v>
      </c>
      <c r="F477" s="51">
        <f>Source!AL238</f>
        <v>3.55</v>
      </c>
      <c r="G477" s="52" t="s">
        <v>3</v>
      </c>
      <c r="H477" s="50">
        <f>Source!AW239</f>
        <v>1</v>
      </c>
      <c r="I477" s="51">
        <f>Source!P238</f>
        <v>2324.6799999999998</v>
      </c>
      <c r="J477" s="50">
        <f>IF(Source!BC239&lt;&gt; 0, Source!BC239, 1)</f>
        <v>9.84</v>
      </c>
      <c r="K477" s="51">
        <f>Source!P239</f>
        <v>22874.85</v>
      </c>
      <c r="Q477">
        <f>Source!X238</f>
        <v>0</v>
      </c>
      <c r="R477">
        <f>Source!X239</f>
        <v>0</v>
      </c>
      <c r="S477">
        <f>Source!Y238</f>
        <v>0</v>
      </c>
      <c r="T477">
        <f>Source!Y239</f>
        <v>0</v>
      </c>
      <c r="U477">
        <f>ROUND((175/100)*ROUND(Source!R238, 2), 2)</f>
        <v>0</v>
      </c>
      <c r="V477">
        <f>ROUND((0/100)*ROUND(Source!R239, 2), 2)</f>
        <v>0</v>
      </c>
      <c r="AC477">
        <v>3</v>
      </c>
    </row>
    <row r="478" spans="1:29" ht="15" x14ac:dyDescent="0.2">
      <c r="C478" s="53" t="s">
        <v>864</v>
      </c>
      <c r="H478" s="54">
        <f>I477+0</f>
        <v>2324.6799999999998</v>
      </c>
      <c r="I478" s="54"/>
      <c r="J478" s="54">
        <f>K477+0</f>
        <v>22874.85</v>
      </c>
      <c r="K478" s="54"/>
      <c r="O478" s="57">
        <f>I477+0</f>
        <v>2324.6799999999998</v>
      </c>
      <c r="P478" s="57">
        <f>K477+0</f>
        <v>22874.85</v>
      </c>
    </row>
    <row r="480" spans="1:29" ht="42.75" x14ac:dyDescent="0.2">
      <c r="A480" s="41">
        <v>53</v>
      </c>
      <c r="B480" s="41" t="str">
        <f>Source!F240</f>
        <v>4.10-185-13</v>
      </c>
      <c r="C480" s="41" t="s">
        <v>373</v>
      </c>
      <c r="D480" s="43" t="str">
        <f>Source!H240</f>
        <v>100 шт.</v>
      </c>
      <c r="E480" s="42">
        <f>Source!I240</f>
        <v>0.33</v>
      </c>
      <c r="F480" s="45"/>
      <c r="G480" s="44"/>
      <c r="H480" s="42"/>
      <c r="I480" s="45"/>
      <c r="J480" s="42"/>
      <c r="K480" s="45"/>
      <c r="Q480">
        <f>Source!X240</f>
        <v>331.93</v>
      </c>
      <c r="R480">
        <f>Source!X241</f>
        <v>18704.2</v>
      </c>
      <c r="S480">
        <f>Source!Y240</f>
        <v>169.65</v>
      </c>
      <c r="T480">
        <f>Source!Y241</f>
        <v>9559.92</v>
      </c>
      <c r="U480">
        <f>ROUND((175/100)*ROUND(Source!R240, 2), 2)</f>
        <v>0</v>
      </c>
      <c r="V480">
        <f>ROUND((0/100)*ROUND(Source!R241, 2), 2)</f>
        <v>0</v>
      </c>
      <c r="AC480">
        <v>0</v>
      </c>
    </row>
    <row r="481" spans="1:29" x14ac:dyDescent="0.2">
      <c r="C481" s="58" t="str">
        <f>"Объем: "&amp;Source!I240&amp;"=33/"&amp;"100"</f>
        <v>Объем: 0,33=33/100</v>
      </c>
    </row>
    <row r="482" spans="1:29" ht="14.25" x14ac:dyDescent="0.2">
      <c r="A482" s="41"/>
      <c r="B482" s="41"/>
      <c r="C482" s="41" t="s">
        <v>853</v>
      </c>
      <c r="D482" s="43"/>
      <c r="E482" s="42"/>
      <c r="F482" s="45">
        <f>Source!AO240</f>
        <v>889.54</v>
      </c>
      <c r="G482" s="46" t="s">
        <v>196</v>
      </c>
      <c r="H482" s="42">
        <f>Source!AV241</f>
        <v>1.0469999999999999</v>
      </c>
      <c r="I482" s="45">
        <f>Source!S240</f>
        <v>368.81</v>
      </c>
      <c r="J482" s="42">
        <f>IF(Source!BA241&lt;&gt; 0, Source!BA241, 1)</f>
        <v>56.35</v>
      </c>
      <c r="K482" s="45">
        <f>Source!S241</f>
        <v>20782.439999999999</v>
      </c>
    </row>
    <row r="483" spans="1:29" ht="14.25" x14ac:dyDescent="0.2">
      <c r="A483" s="41"/>
      <c r="B483" s="41"/>
      <c r="C483" s="41" t="s">
        <v>855</v>
      </c>
      <c r="D483" s="43"/>
      <c r="E483" s="42"/>
      <c r="F483" s="45">
        <f>Source!AM240</f>
        <v>6.06</v>
      </c>
      <c r="G483" s="46" t="s">
        <v>196</v>
      </c>
      <c r="H483" s="42">
        <f>Source!AV241</f>
        <v>1.0469999999999999</v>
      </c>
      <c r="I483" s="45">
        <f>Source!Q240</f>
        <v>2.5099999999999998</v>
      </c>
      <c r="J483" s="42">
        <f>IF(Source!BB241&lt;&gt; 0, Source!BB241, 1)</f>
        <v>9.6300000000000008</v>
      </c>
      <c r="K483" s="45">
        <f>Source!Q241</f>
        <v>24.17</v>
      </c>
    </row>
    <row r="484" spans="1:29" ht="14.25" x14ac:dyDescent="0.2">
      <c r="A484" s="41"/>
      <c r="B484" s="41"/>
      <c r="C484" s="41" t="s">
        <v>866</v>
      </c>
      <c r="D484" s="43"/>
      <c r="E484" s="42"/>
      <c r="F484" s="45">
        <f>Source!AL240</f>
        <v>3.41</v>
      </c>
      <c r="G484" s="46" t="s">
        <v>3</v>
      </c>
      <c r="H484" s="42">
        <f>Source!AW241</f>
        <v>1</v>
      </c>
      <c r="I484" s="45">
        <f>Source!P240</f>
        <v>1.1299999999999999</v>
      </c>
      <c r="J484" s="42">
        <f>IF(Source!BC241&lt;&gt; 0, Source!BC241, 1)</f>
        <v>11.67</v>
      </c>
      <c r="K484" s="45">
        <f>Source!P241</f>
        <v>13.19</v>
      </c>
    </row>
    <row r="485" spans="1:29" ht="14.25" x14ac:dyDescent="0.2">
      <c r="A485" s="41"/>
      <c r="B485" s="41"/>
      <c r="C485" s="41" t="s">
        <v>857</v>
      </c>
      <c r="D485" s="43" t="s">
        <v>858</v>
      </c>
      <c r="E485" s="42">
        <f>Source!BZ241</f>
        <v>90</v>
      </c>
      <c r="F485" s="45"/>
      <c r="G485" s="44"/>
      <c r="H485" s="42"/>
      <c r="I485" s="45">
        <f>SUM(Q480:Q484)</f>
        <v>331.93</v>
      </c>
      <c r="J485" s="42">
        <f>Source!AT241</f>
        <v>90</v>
      </c>
      <c r="K485" s="45">
        <f>SUM(R480:R484)</f>
        <v>18704.2</v>
      </c>
    </row>
    <row r="486" spans="1:29" ht="14.25" x14ac:dyDescent="0.2">
      <c r="A486" s="41"/>
      <c r="B486" s="41"/>
      <c r="C486" s="41" t="s">
        <v>859</v>
      </c>
      <c r="D486" s="43" t="s">
        <v>858</v>
      </c>
      <c r="E486" s="42">
        <f>Source!CA241</f>
        <v>46</v>
      </c>
      <c r="F486" s="45"/>
      <c r="G486" s="44"/>
      <c r="H486" s="42"/>
      <c r="I486" s="45">
        <f>SUM(S480:S485)</f>
        <v>169.65</v>
      </c>
      <c r="J486" s="42">
        <f>Source!AU241</f>
        <v>46</v>
      </c>
      <c r="K486" s="45">
        <f>SUM(T480:T485)</f>
        <v>9559.92</v>
      </c>
    </row>
    <row r="487" spans="1:29" ht="14.25" x14ac:dyDescent="0.2">
      <c r="A487" s="48"/>
      <c r="B487" s="48"/>
      <c r="C487" s="48" t="s">
        <v>860</v>
      </c>
      <c r="D487" s="49" t="s">
        <v>861</v>
      </c>
      <c r="E487" s="50">
        <f>Source!AQ240</f>
        <v>69.3</v>
      </c>
      <c r="F487" s="51"/>
      <c r="G487" s="52" t="s">
        <v>196</v>
      </c>
      <c r="H487" s="50">
        <f>Source!AV241</f>
        <v>1.0469999999999999</v>
      </c>
      <c r="I487" s="51">
        <f>Source!U240</f>
        <v>28.732611599999998</v>
      </c>
      <c r="J487" s="50"/>
      <c r="K487" s="51"/>
    </row>
    <row r="488" spans="1:29" ht="15" x14ac:dyDescent="0.2">
      <c r="C488" s="53" t="s">
        <v>862</v>
      </c>
      <c r="H488" s="54">
        <f>I482+I483+I484+I485+I486+0-0-0</f>
        <v>874.03</v>
      </c>
      <c r="I488" s="54"/>
      <c r="J488" s="54">
        <f>K482+K483+K484+K485+K486+0-0-0</f>
        <v>49083.92</v>
      </c>
      <c r="K488" s="54"/>
    </row>
    <row r="489" spans="1:29" ht="15" hidden="1" x14ac:dyDescent="0.2">
      <c r="C489" s="53" t="s">
        <v>863</v>
      </c>
      <c r="H489" s="56">
        <f>0+0</f>
        <v>0</v>
      </c>
      <c r="I489" s="56"/>
      <c r="J489" s="56">
        <f>0+0</f>
        <v>0</v>
      </c>
      <c r="K489" s="56"/>
    </row>
    <row r="490" spans="1:29" ht="15" x14ac:dyDescent="0.2">
      <c r="C490" s="53" t="s">
        <v>864</v>
      </c>
      <c r="H490" s="56">
        <f>I482+I483+I484+I485+I486+0</f>
        <v>874.03</v>
      </c>
      <c r="I490" s="56"/>
      <c r="J490" s="56">
        <f>K482+K483+K484+K485+K486+0</f>
        <v>49083.92</v>
      </c>
      <c r="K490" s="56"/>
      <c r="O490" s="57">
        <f>I482+I483+I484+I485+I486+0</f>
        <v>874.03</v>
      </c>
      <c r="P490" s="57">
        <f>K482+K483+K484+K485+K486+0</f>
        <v>49083.92</v>
      </c>
    </row>
    <row r="492" spans="1:29" ht="68.25" x14ac:dyDescent="0.2">
      <c r="A492" s="48">
        <v>54</v>
      </c>
      <c r="B492" s="48" t="str">
        <f>Source!F242</f>
        <v>КА, п.17</v>
      </c>
      <c r="C492" s="48" t="s">
        <v>895</v>
      </c>
      <c r="D492" s="49" t="str">
        <f>Source!H242</f>
        <v>ШТ</v>
      </c>
      <c r="E492" s="50">
        <f>Source!I242</f>
        <v>33</v>
      </c>
      <c r="F492" s="51">
        <f>Source!AL242</f>
        <v>209.19</v>
      </c>
      <c r="G492" s="52" t="s">
        <v>3</v>
      </c>
      <c r="H492" s="50">
        <f>Source!AW243</f>
        <v>1</v>
      </c>
      <c r="I492" s="51">
        <f>Source!P242</f>
        <v>6903.27</v>
      </c>
      <c r="J492" s="50">
        <f>IF(Source!BC243&lt;&gt; 0, Source!BC243, 1)</f>
        <v>9.84</v>
      </c>
      <c r="K492" s="51">
        <f>Source!P243</f>
        <v>67928.179999999993</v>
      </c>
      <c r="Q492">
        <f>Source!X242</f>
        <v>0</v>
      </c>
      <c r="R492">
        <f>Source!X243</f>
        <v>0</v>
      </c>
      <c r="S492">
        <f>Source!Y242</f>
        <v>0</v>
      </c>
      <c r="T492">
        <f>Source!Y243</f>
        <v>0</v>
      </c>
      <c r="U492">
        <f>ROUND((175/100)*ROUND(Source!R242, 2), 2)</f>
        <v>0</v>
      </c>
      <c r="V492">
        <f>ROUND((0/100)*ROUND(Source!R243, 2), 2)</f>
        <v>0</v>
      </c>
      <c r="AC492">
        <v>3</v>
      </c>
    </row>
    <row r="493" spans="1:29" ht="15" x14ac:dyDescent="0.2">
      <c r="C493" s="53" t="s">
        <v>864</v>
      </c>
      <c r="H493" s="54">
        <f>I492+0</f>
        <v>6903.27</v>
      </c>
      <c r="I493" s="54"/>
      <c r="J493" s="54">
        <f>K492+0</f>
        <v>67928.179999999993</v>
      </c>
      <c r="K493" s="54"/>
      <c r="O493" s="57">
        <f>I492+0</f>
        <v>6903.27</v>
      </c>
      <c r="P493" s="57">
        <f>K492+0</f>
        <v>67928.179999999993</v>
      </c>
    </row>
    <row r="495" spans="1:29" ht="57" x14ac:dyDescent="0.2">
      <c r="A495" s="41">
        <v>55</v>
      </c>
      <c r="B495" s="41" t="str">
        <f>Source!F250</f>
        <v>4.10-185-3</v>
      </c>
      <c r="C495" s="41" t="s">
        <v>130</v>
      </c>
      <c r="D495" s="43" t="str">
        <f>Source!H250</f>
        <v>100 м</v>
      </c>
      <c r="E495" s="42">
        <f>Source!I250</f>
        <v>1.5</v>
      </c>
      <c r="F495" s="45"/>
      <c r="G495" s="44"/>
      <c r="H495" s="42"/>
      <c r="I495" s="45"/>
      <c r="J495" s="42"/>
      <c r="K495" s="45"/>
      <c r="Q495">
        <f>Source!X250</f>
        <v>499.02</v>
      </c>
      <c r="R495">
        <f>Source!X251</f>
        <v>28119.94</v>
      </c>
      <c r="S495">
        <f>Source!Y250</f>
        <v>255.06</v>
      </c>
      <c r="T495">
        <f>Source!Y251</f>
        <v>14372.41</v>
      </c>
      <c r="U495">
        <f>ROUND((175/100)*ROUND(Source!R250, 2), 2)</f>
        <v>0</v>
      </c>
      <c r="V495">
        <f>ROUND((0/100)*ROUND(Source!R251, 2), 2)</f>
        <v>0</v>
      </c>
      <c r="AC495">
        <v>0</v>
      </c>
    </row>
    <row r="496" spans="1:29" x14ac:dyDescent="0.2">
      <c r="C496" s="58" t="str">
        <f>"Объем: "&amp;Source!I250&amp;"=150/"&amp;"100"</f>
        <v>Объем: 1,5=150/100</v>
      </c>
    </row>
    <row r="497" spans="1:29" ht="14.25" x14ac:dyDescent="0.2">
      <c r="A497" s="41"/>
      <c r="B497" s="41"/>
      <c r="C497" s="41" t="s">
        <v>853</v>
      </c>
      <c r="D497" s="43"/>
      <c r="E497" s="42"/>
      <c r="F497" s="45">
        <f>Source!AO250</f>
        <v>294.20999999999998</v>
      </c>
      <c r="G497" s="46" t="s">
        <v>196</v>
      </c>
      <c r="H497" s="42">
        <f>Source!AV251</f>
        <v>1.0469999999999999</v>
      </c>
      <c r="I497" s="45">
        <f>Source!S250</f>
        <v>554.47</v>
      </c>
      <c r="J497" s="42">
        <f>IF(Source!BA251&lt;&gt; 0, Source!BA251, 1)</f>
        <v>56.35</v>
      </c>
      <c r="K497" s="45">
        <f>Source!S251</f>
        <v>31244.38</v>
      </c>
    </row>
    <row r="498" spans="1:29" ht="14.25" x14ac:dyDescent="0.2">
      <c r="A498" s="41"/>
      <c r="B498" s="41"/>
      <c r="C498" s="41" t="s">
        <v>855</v>
      </c>
      <c r="D498" s="43"/>
      <c r="E498" s="42"/>
      <c r="F498" s="45">
        <f>Source!AM250</f>
        <v>4.05</v>
      </c>
      <c r="G498" s="46" t="s">
        <v>196</v>
      </c>
      <c r="H498" s="42">
        <f>Source!AV251</f>
        <v>1.0469999999999999</v>
      </c>
      <c r="I498" s="45">
        <f>Source!Q250</f>
        <v>7.63</v>
      </c>
      <c r="J498" s="42">
        <f>IF(Source!BB251&lt;&gt; 0, Source!BB251, 1)</f>
        <v>9.6199999999999992</v>
      </c>
      <c r="K498" s="45">
        <f>Source!Q251</f>
        <v>73.400000000000006</v>
      </c>
    </row>
    <row r="499" spans="1:29" ht="14.25" x14ac:dyDescent="0.2">
      <c r="A499" s="41"/>
      <c r="B499" s="41"/>
      <c r="C499" s="41" t="s">
        <v>866</v>
      </c>
      <c r="D499" s="43"/>
      <c r="E499" s="42"/>
      <c r="F499" s="45">
        <f>Source!AL250</f>
        <v>19.420000000000002</v>
      </c>
      <c r="G499" s="46" t="s">
        <v>3</v>
      </c>
      <c r="H499" s="42">
        <f>Source!AW251</f>
        <v>1</v>
      </c>
      <c r="I499" s="45">
        <f>Source!P250</f>
        <v>29.13</v>
      </c>
      <c r="J499" s="42">
        <f>IF(Source!BC251&lt;&gt; 0, Source!BC251, 1)</f>
        <v>6.54</v>
      </c>
      <c r="K499" s="45">
        <f>Source!P251</f>
        <v>190.51</v>
      </c>
    </row>
    <row r="500" spans="1:29" ht="42.75" x14ac:dyDescent="0.2">
      <c r="A500" s="41" t="s">
        <v>386</v>
      </c>
      <c r="B500" s="41" t="str">
        <f>Source!F252</f>
        <v>1.12-5-373</v>
      </c>
      <c r="C500" s="41" t="s">
        <v>380</v>
      </c>
      <c r="D500" s="43" t="str">
        <f>Source!H252</f>
        <v>м</v>
      </c>
      <c r="E500" s="42">
        <f>Source!I252</f>
        <v>153</v>
      </c>
      <c r="F500" s="45">
        <f>Source!AK252</f>
        <v>5.19</v>
      </c>
      <c r="G500" s="46" t="s">
        <v>3</v>
      </c>
      <c r="H500" s="42">
        <f>Source!AW253</f>
        <v>1</v>
      </c>
      <c r="I500" s="45">
        <f>Source!O252</f>
        <v>794.07</v>
      </c>
      <c r="J500" s="42">
        <f>IF(Source!BC253&lt;&gt; 0, Source!BC253, 1)</f>
        <v>3.66</v>
      </c>
      <c r="K500" s="45">
        <f>Source!O253</f>
        <v>2906.3</v>
      </c>
      <c r="Q500">
        <f>Source!X252</f>
        <v>0</v>
      </c>
      <c r="R500">
        <f>Source!X253</f>
        <v>0</v>
      </c>
      <c r="S500">
        <f>Source!Y252</f>
        <v>0</v>
      </c>
      <c r="T500">
        <f>Source!Y253</f>
        <v>0</v>
      </c>
      <c r="U500">
        <f>ROUND((175/100)*ROUND(Source!R252, 2), 2)</f>
        <v>0</v>
      </c>
      <c r="V500">
        <f>ROUND((0/100)*ROUND(Source!R253, 2), 2)</f>
        <v>0</v>
      </c>
      <c r="AC500">
        <v>3</v>
      </c>
    </row>
    <row r="501" spans="1:29" ht="42.75" x14ac:dyDescent="0.2">
      <c r="A501" s="41" t="s">
        <v>387</v>
      </c>
      <c r="B501" s="41" t="str">
        <f>Source!F254</f>
        <v>1.21-5-1470</v>
      </c>
      <c r="C501" s="41" t="s">
        <v>383</v>
      </c>
      <c r="D501" s="43" t="str">
        <f>Source!H254</f>
        <v>1000 шт.</v>
      </c>
      <c r="E501" s="42">
        <f>Source!I254</f>
        <v>0.5</v>
      </c>
      <c r="F501" s="45">
        <f>Source!AK254</f>
        <v>594.33000000000004</v>
      </c>
      <c r="G501" s="46" t="s">
        <v>3</v>
      </c>
      <c r="H501" s="42">
        <f>Source!AW255</f>
        <v>1</v>
      </c>
      <c r="I501" s="45">
        <f>Source!O254</f>
        <v>297.17</v>
      </c>
      <c r="J501" s="42">
        <f>IF(Source!BC255&lt;&gt; 0, Source!BC255, 1)</f>
        <v>2.68</v>
      </c>
      <c r="K501" s="45">
        <f>Source!O255</f>
        <v>796.42</v>
      </c>
      <c r="Q501">
        <f>Source!X254</f>
        <v>0</v>
      </c>
      <c r="R501">
        <f>Source!X255</f>
        <v>0</v>
      </c>
      <c r="S501">
        <f>Source!Y254</f>
        <v>0</v>
      </c>
      <c r="T501">
        <f>Source!Y255</f>
        <v>0</v>
      </c>
      <c r="U501">
        <f>ROUND((175/100)*ROUND(Source!R254, 2), 2)</f>
        <v>0</v>
      </c>
      <c r="V501">
        <f>ROUND((0/100)*ROUND(Source!R255, 2), 2)</f>
        <v>0</v>
      </c>
      <c r="AC501">
        <v>3</v>
      </c>
    </row>
    <row r="502" spans="1:29" ht="142.5" x14ac:dyDescent="0.2">
      <c r="A502" s="41" t="s">
        <v>388</v>
      </c>
      <c r="B502" s="41" t="str">
        <f>Source!F256</f>
        <v>1.23-8-770</v>
      </c>
      <c r="C502" s="41" t="s">
        <v>826</v>
      </c>
      <c r="D502" s="43" t="str">
        <f>Source!H256</f>
        <v>км</v>
      </c>
      <c r="E502" s="42">
        <f>Source!I256</f>
        <v>0.153</v>
      </c>
      <c r="F502" s="45">
        <f>Source!AK256</f>
        <v>19717.37</v>
      </c>
      <c r="G502" s="46" t="s">
        <v>3</v>
      </c>
      <c r="H502" s="42">
        <f>Source!AW257</f>
        <v>1</v>
      </c>
      <c r="I502" s="45">
        <f>Source!O256</f>
        <v>3016.76</v>
      </c>
      <c r="J502" s="42">
        <f>IF(Source!BC257&lt;&gt; 0, Source!BC257, 1)</f>
        <v>3.25</v>
      </c>
      <c r="K502" s="45">
        <f>Source!O257</f>
        <v>9804.4699999999993</v>
      </c>
      <c r="Q502">
        <f>Source!X256</f>
        <v>0</v>
      </c>
      <c r="R502">
        <f>Source!X257</f>
        <v>0</v>
      </c>
      <c r="S502">
        <f>Source!Y256</f>
        <v>0</v>
      </c>
      <c r="T502">
        <f>Source!Y257</f>
        <v>0</v>
      </c>
      <c r="U502">
        <f>ROUND((175/100)*ROUND(Source!R256, 2), 2)</f>
        <v>0</v>
      </c>
      <c r="V502">
        <f>ROUND((0/100)*ROUND(Source!R257, 2), 2)</f>
        <v>0</v>
      </c>
      <c r="AC502">
        <v>3</v>
      </c>
    </row>
    <row r="503" spans="1:29" ht="14.25" x14ac:dyDescent="0.2">
      <c r="A503" s="41"/>
      <c r="B503" s="41"/>
      <c r="C503" s="41" t="s">
        <v>857</v>
      </c>
      <c r="D503" s="43" t="s">
        <v>858</v>
      </c>
      <c r="E503" s="42">
        <f>Source!BZ251</f>
        <v>90</v>
      </c>
      <c r="F503" s="45"/>
      <c r="G503" s="44"/>
      <c r="H503" s="42"/>
      <c r="I503" s="45">
        <f>SUM(Q495:Q502)</f>
        <v>499.02</v>
      </c>
      <c r="J503" s="42">
        <f>Source!AT251</f>
        <v>90</v>
      </c>
      <c r="K503" s="45">
        <f>SUM(R495:R502)</f>
        <v>28119.94</v>
      </c>
    </row>
    <row r="504" spans="1:29" ht="14.25" x14ac:dyDescent="0.2">
      <c r="A504" s="41"/>
      <c r="B504" s="41"/>
      <c r="C504" s="41" t="s">
        <v>859</v>
      </c>
      <c r="D504" s="43" t="s">
        <v>858</v>
      </c>
      <c r="E504" s="42">
        <f>Source!CA251</f>
        <v>46</v>
      </c>
      <c r="F504" s="45"/>
      <c r="G504" s="44"/>
      <c r="H504" s="42"/>
      <c r="I504" s="45">
        <f>SUM(S495:S503)</f>
        <v>255.06</v>
      </c>
      <c r="J504" s="42">
        <f>Source!AU251</f>
        <v>46</v>
      </c>
      <c r="K504" s="45">
        <f>SUM(T495:T503)</f>
        <v>14372.41</v>
      </c>
    </row>
    <row r="505" spans="1:29" ht="14.25" x14ac:dyDescent="0.2">
      <c r="A505" s="48"/>
      <c r="B505" s="48"/>
      <c r="C505" s="48" t="s">
        <v>860</v>
      </c>
      <c r="D505" s="49" t="s">
        <v>861</v>
      </c>
      <c r="E505" s="50">
        <f>Source!AQ250</f>
        <v>24.76</v>
      </c>
      <c r="F505" s="51"/>
      <c r="G505" s="52" t="s">
        <v>196</v>
      </c>
      <c r="H505" s="50">
        <f>Source!AV251</f>
        <v>1.0469999999999999</v>
      </c>
      <c r="I505" s="51">
        <f>Source!U250</f>
        <v>46.662695999999997</v>
      </c>
      <c r="J505" s="50"/>
      <c r="K505" s="51"/>
    </row>
    <row r="506" spans="1:29" ht="15" x14ac:dyDescent="0.2">
      <c r="C506" s="53" t="s">
        <v>862</v>
      </c>
      <c r="H506" s="54">
        <f>I497+I498+I499+I503+I504+SUM(I500:I502)-SUMIF(AC500:AC502, 5, I500:I502)-SUMIF(AC500:AC502, 6, I500:I502)</f>
        <v>5453.3099999999995</v>
      </c>
      <c r="I506" s="54"/>
      <c r="J506" s="54">
        <f>K497+K498+K499+K503+K504+SUM(K500:K502)-SUMIF(AC500:AC502, 5, K500:K502)-SUMIF(AC500:AC502, 6, K500:K502)</f>
        <v>87507.83</v>
      </c>
      <c r="K506" s="54"/>
    </row>
    <row r="507" spans="1:29" ht="15" hidden="1" x14ac:dyDescent="0.2">
      <c r="C507" s="53" t="s">
        <v>863</v>
      </c>
      <c r="H507" s="56">
        <f>SUMIF(AC500:AC502, 5, I500:I502)+SUMIF(AC500:AC502, 6, I500:I502)</f>
        <v>0</v>
      </c>
      <c r="I507" s="56"/>
      <c r="J507" s="56">
        <f>SUMIF(AC500:AC502, 5, K500:K502)+SUMIF(AC500:AC502, 6, K500:K502)</f>
        <v>0</v>
      </c>
      <c r="K507" s="56"/>
    </row>
    <row r="508" spans="1:29" ht="15" x14ac:dyDescent="0.2">
      <c r="C508" s="53" t="s">
        <v>864</v>
      </c>
      <c r="H508" s="56">
        <f>I497+I498+I499+I503+I504+SUM(I500:I502)</f>
        <v>5453.3099999999995</v>
      </c>
      <c r="I508" s="56"/>
      <c r="J508" s="56">
        <f>K497+K498+K499+K503+K504+SUM(K500:K502)</f>
        <v>87507.83</v>
      </c>
      <c r="K508" s="56"/>
      <c r="O508" s="57">
        <f>I497+I498+I499+I503+I504+SUM(I500:I502)</f>
        <v>5453.3099999999995</v>
      </c>
      <c r="P508" s="57">
        <f>K497+K498+K499+K503+K504+SUM(K500:K502)</f>
        <v>87507.83</v>
      </c>
    </row>
    <row r="510" spans="1:29" ht="57" x14ac:dyDescent="0.2">
      <c r="A510" s="41">
        <v>56</v>
      </c>
      <c r="B510" s="41" t="str">
        <f>Source!F258</f>
        <v>4.8-328-1</v>
      </c>
      <c r="C510" s="41" t="s">
        <v>394</v>
      </c>
      <c r="D510" s="43" t="str">
        <f>Source!H258</f>
        <v>100 м</v>
      </c>
      <c r="E510" s="42">
        <f>Source!I258</f>
        <v>0.04</v>
      </c>
      <c r="F510" s="45"/>
      <c r="G510" s="44"/>
      <c r="H510" s="42"/>
      <c r="I510" s="45"/>
      <c r="J510" s="42"/>
      <c r="K510" s="45"/>
      <c r="Q510">
        <f>Source!X258</f>
        <v>3.22</v>
      </c>
      <c r="R510">
        <f>Source!X259</f>
        <v>181.48</v>
      </c>
      <c r="S510">
        <f>Source!Y258</f>
        <v>1.69</v>
      </c>
      <c r="T510">
        <f>Source!Y259</f>
        <v>95.42</v>
      </c>
      <c r="U510">
        <f>ROUND((175/100)*ROUND(Source!R258, 2), 2)</f>
        <v>0.04</v>
      </c>
      <c r="V510">
        <f>ROUND((0/100)*ROUND(Source!R259, 2), 2)</f>
        <v>0</v>
      </c>
      <c r="AC510">
        <v>0</v>
      </c>
    </row>
    <row r="511" spans="1:29" x14ac:dyDescent="0.2">
      <c r="C511" s="58" t="str">
        <f>"Объем: "&amp;Source!I258&amp;"=4/"&amp;"100"</f>
        <v>Объем: 0,04=4/100</v>
      </c>
    </row>
    <row r="512" spans="1:29" ht="14.25" x14ac:dyDescent="0.2">
      <c r="A512" s="41"/>
      <c r="B512" s="41"/>
      <c r="C512" s="41" t="s">
        <v>853</v>
      </c>
      <c r="D512" s="43"/>
      <c r="E512" s="42"/>
      <c r="F512" s="45">
        <f>Source!AO258</f>
        <v>65.599999999999994</v>
      </c>
      <c r="G512" s="46" t="s">
        <v>196</v>
      </c>
      <c r="H512" s="42">
        <f>Source!AV259</f>
        <v>1.0469999999999999</v>
      </c>
      <c r="I512" s="45">
        <f>Source!S258</f>
        <v>3.3</v>
      </c>
      <c r="J512" s="42">
        <f>IF(Source!BA259&lt;&gt; 0, Source!BA259, 1)</f>
        <v>56.35</v>
      </c>
      <c r="K512" s="45">
        <f>Source!S259</f>
        <v>185.96</v>
      </c>
    </row>
    <row r="513" spans="1:29" ht="14.25" x14ac:dyDescent="0.2">
      <c r="A513" s="41"/>
      <c r="B513" s="41"/>
      <c r="C513" s="41" t="s">
        <v>855</v>
      </c>
      <c r="D513" s="43"/>
      <c r="E513" s="42"/>
      <c r="F513" s="45">
        <f>Source!AM258</f>
        <v>2.62</v>
      </c>
      <c r="G513" s="46" t="s">
        <v>196</v>
      </c>
      <c r="H513" s="42">
        <f>Source!AV259</f>
        <v>1.0469999999999999</v>
      </c>
      <c r="I513" s="45">
        <f>Source!Q258</f>
        <v>0.13</v>
      </c>
      <c r="J513" s="42">
        <f>IF(Source!BB259&lt;&gt; 0, Source!BB259, 1)</f>
        <v>15.28</v>
      </c>
      <c r="K513" s="45">
        <f>Source!Q259</f>
        <v>1.99</v>
      </c>
    </row>
    <row r="514" spans="1:29" ht="14.25" x14ac:dyDescent="0.2">
      <c r="A514" s="41"/>
      <c r="B514" s="41"/>
      <c r="C514" s="41" t="s">
        <v>856</v>
      </c>
      <c r="D514" s="43"/>
      <c r="E514" s="42"/>
      <c r="F514" s="45">
        <f>Source!AN258</f>
        <v>0.3</v>
      </c>
      <c r="G514" s="46" t="s">
        <v>196</v>
      </c>
      <c r="H514" s="42">
        <f>Source!AV259</f>
        <v>1.0469999999999999</v>
      </c>
      <c r="I514" s="47">
        <f>Source!R258</f>
        <v>0.02</v>
      </c>
      <c r="J514" s="42">
        <f>IF(Source!BS259&lt;&gt; 0, Source!BS259, 1)</f>
        <v>56.35</v>
      </c>
      <c r="K514" s="47">
        <f>Source!R259</f>
        <v>1.1299999999999999</v>
      </c>
    </row>
    <row r="515" spans="1:29" ht="14.25" x14ac:dyDescent="0.2">
      <c r="A515" s="41"/>
      <c r="B515" s="41"/>
      <c r="C515" s="41" t="s">
        <v>866</v>
      </c>
      <c r="D515" s="43"/>
      <c r="E515" s="42"/>
      <c r="F515" s="45">
        <f>Source!AL258</f>
        <v>125.83</v>
      </c>
      <c r="G515" s="46" t="s">
        <v>3</v>
      </c>
      <c r="H515" s="42">
        <f>Source!AW259</f>
        <v>1</v>
      </c>
      <c r="I515" s="45">
        <f>Source!P258</f>
        <v>5.03</v>
      </c>
      <c r="J515" s="42">
        <f>IF(Source!BC259&lt;&gt; 0, Source!BC259, 1)</f>
        <v>3.78</v>
      </c>
      <c r="K515" s="45">
        <f>Source!P259</f>
        <v>19.010000000000002</v>
      </c>
    </row>
    <row r="516" spans="1:29" ht="14.25" x14ac:dyDescent="0.2">
      <c r="A516" s="41"/>
      <c r="B516" s="41"/>
      <c r="C516" s="41" t="s">
        <v>857</v>
      </c>
      <c r="D516" s="43" t="s">
        <v>858</v>
      </c>
      <c r="E516" s="42">
        <f>Source!BZ259</f>
        <v>97</v>
      </c>
      <c r="F516" s="45"/>
      <c r="G516" s="44"/>
      <c r="H516" s="42"/>
      <c r="I516" s="45">
        <f>SUM(Q510:Q515)</f>
        <v>3.22</v>
      </c>
      <c r="J516" s="42">
        <f>Source!AT259</f>
        <v>97</v>
      </c>
      <c r="K516" s="45">
        <f>SUM(R510:R515)</f>
        <v>181.48</v>
      </c>
    </row>
    <row r="517" spans="1:29" ht="14.25" x14ac:dyDescent="0.2">
      <c r="A517" s="41"/>
      <c r="B517" s="41"/>
      <c r="C517" s="41" t="s">
        <v>859</v>
      </c>
      <c r="D517" s="43" t="s">
        <v>858</v>
      </c>
      <c r="E517" s="42">
        <f>Source!CA259</f>
        <v>51</v>
      </c>
      <c r="F517" s="45"/>
      <c r="G517" s="44"/>
      <c r="H517" s="42"/>
      <c r="I517" s="45">
        <f>SUM(S510:S516)</f>
        <v>1.69</v>
      </c>
      <c r="J517" s="42">
        <f>Source!AU259</f>
        <v>51</v>
      </c>
      <c r="K517" s="45">
        <f>SUM(T510:T516)</f>
        <v>95.42</v>
      </c>
    </row>
    <row r="518" spans="1:29" ht="14.25" x14ac:dyDescent="0.2">
      <c r="A518" s="48"/>
      <c r="B518" s="48"/>
      <c r="C518" s="48" t="s">
        <v>860</v>
      </c>
      <c r="D518" s="49" t="s">
        <v>861</v>
      </c>
      <c r="E518" s="50">
        <f>Source!AQ258</f>
        <v>5.29</v>
      </c>
      <c r="F518" s="51"/>
      <c r="G518" s="52" t="s">
        <v>196</v>
      </c>
      <c r="H518" s="50">
        <f>Source!AV259</f>
        <v>1.0469999999999999</v>
      </c>
      <c r="I518" s="51">
        <f>Source!U258</f>
        <v>0.26585423999999996</v>
      </c>
      <c r="J518" s="50"/>
      <c r="K518" s="51"/>
    </row>
    <row r="519" spans="1:29" ht="15" x14ac:dyDescent="0.2">
      <c r="C519" s="53" t="s">
        <v>862</v>
      </c>
      <c r="H519" s="54">
        <f>I512+I513+I515+I516+I517+0-0-0</f>
        <v>13.370000000000001</v>
      </c>
      <c r="I519" s="54"/>
      <c r="J519" s="54">
        <f>K512+K513+K515+K516+K517+0-0-0</f>
        <v>483.86</v>
      </c>
      <c r="K519" s="54"/>
    </row>
    <row r="520" spans="1:29" ht="15" hidden="1" x14ac:dyDescent="0.2">
      <c r="C520" s="53" t="s">
        <v>863</v>
      </c>
      <c r="H520" s="56">
        <f>0+0</f>
        <v>0</v>
      </c>
      <c r="I520" s="56"/>
      <c r="J520" s="56">
        <f>0+0</f>
        <v>0</v>
      </c>
      <c r="K520" s="56"/>
    </row>
    <row r="521" spans="1:29" ht="15" x14ac:dyDescent="0.2">
      <c r="C521" s="53" t="s">
        <v>864</v>
      </c>
      <c r="H521" s="56">
        <f>I512+I513+I515+I516+I517+0</f>
        <v>13.370000000000001</v>
      </c>
      <c r="I521" s="56"/>
      <c r="J521" s="56">
        <f>K512+K513+K515+K516+K517+0</f>
        <v>483.86</v>
      </c>
      <c r="K521" s="56"/>
      <c r="O521" s="57">
        <f>I512+I513+I515+I516+I517+0</f>
        <v>13.370000000000001</v>
      </c>
      <c r="P521" s="57">
        <f>K512+K513+K515+K516+K517+0</f>
        <v>483.86</v>
      </c>
    </row>
    <row r="523" spans="1:29" ht="41.25" x14ac:dyDescent="0.2">
      <c r="A523" s="48">
        <v>57</v>
      </c>
      <c r="B523" s="48" t="str">
        <f>Source!F260</f>
        <v>КА, п.19</v>
      </c>
      <c r="C523" s="48" t="s">
        <v>896</v>
      </c>
      <c r="D523" s="49" t="str">
        <f>Source!H260</f>
        <v>м</v>
      </c>
      <c r="E523" s="50">
        <f>Source!I260</f>
        <v>4.08</v>
      </c>
      <c r="F523" s="51">
        <f>Source!AL260</f>
        <v>11.64</v>
      </c>
      <c r="G523" s="52" t="s">
        <v>3</v>
      </c>
      <c r="H523" s="50">
        <f>Source!AW261</f>
        <v>1</v>
      </c>
      <c r="I523" s="51">
        <f>Source!P260</f>
        <v>47.49</v>
      </c>
      <c r="J523" s="50">
        <f>IF(Source!BC261&lt;&gt; 0, Source!BC261, 1)</f>
        <v>9.84</v>
      </c>
      <c r="K523" s="51">
        <f>Source!P261</f>
        <v>467.3</v>
      </c>
      <c r="Q523">
        <f>Source!X260</f>
        <v>0</v>
      </c>
      <c r="R523">
        <f>Source!X261</f>
        <v>0</v>
      </c>
      <c r="S523">
        <f>Source!Y260</f>
        <v>0</v>
      </c>
      <c r="T523">
        <f>Source!Y261</f>
        <v>0</v>
      </c>
      <c r="U523">
        <f>ROUND((175/100)*ROUND(Source!R260, 2), 2)</f>
        <v>0</v>
      </c>
      <c r="V523">
        <f>ROUND((0/100)*ROUND(Source!R261, 2), 2)</f>
        <v>0</v>
      </c>
      <c r="AC523">
        <v>3</v>
      </c>
    </row>
    <row r="524" spans="1:29" ht="15" x14ac:dyDescent="0.2">
      <c r="C524" s="53" t="s">
        <v>864</v>
      </c>
      <c r="H524" s="54">
        <f>I523+0</f>
        <v>47.49</v>
      </c>
      <c r="I524" s="54"/>
      <c r="J524" s="54">
        <f>K523+0</f>
        <v>467.3</v>
      </c>
      <c r="K524" s="54"/>
      <c r="O524" s="57">
        <f>I523+0</f>
        <v>47.49</v>
      </c>
      <c r="P524" s="57">
        <f>K523+0</f>
        <v>467.3</v>
      </c>
    </row>
    <row r="526" spans="1:29" ht="57" x14ac:dyDescent="0.2">
      <c r="A526" s="41">
        <v>58</v>
      </c>
      <c r="B526" s="41" t="str">
        <f>Source!F262</f>
        <v>4.8-170-6</v>
      </c>
      <c r="C526" s="41" t="s">
        <v>402</v>
      </c>
      <c r="D526" s="43" t="str">
        <f>Source!H262</f>
        <v>100 м</v>
      </c>
      <c r="E526" s="42">
        <f>Source!I262</f>
        <v>0.02</v>
      </c>
      <c r="F526" s="45"/>
      <c r="G526" s="44"/>
      <c r="H526" s="42"/>
      <c r="I526" s="45"/>
      <c r="J526" s="42"/>
      <c r="K526" s="45"/>
      <c r="Q526">
        <f>Source!X262</f>
        <v>5.09</v>
      </c>
      <c r="R526">
        <f>Source!X263</f>
        <v>286.95999999999998</v>
      </c>
      <c r="S526">
        <f>Source!Y262</f>
        <v>2.68</v>
      </c>
      <c r="T526">
        <f>Source!Y263</f>
        <v>150.88</v>
      </c>
      <c r="U526">
        <f>ROUND((175/100)*ROUND(Source!R262, 2), 2)</f>
        <v>0.25</v>
      </c>
      <c r="V526">
        <f>ROUND((0/100)*ROUND(Source!R263, 2), 2)</f>
        <v>0</v>
      </c>
      <c r="AC526">
        <v>0</v>
      </c>
    </row>
    <row r="527" spans="1:29" x14ac:dyDescent="0.2">
      <c r="C527" s="58" t="str">
        <f>"Объем: "&amp;Source!I262&amp;"=2/"&amp;"100"</f>
        <v>Объем: 0,02=2/100</v>
      </c>
    </row>
    <row r="528" spans="1:29" ht="14.25" x14ac:dyDescent="0.2">
      <c r="A528" s="41"/>
      <c r="B528" s="41"/>
      <c r="C528" s="41" t="s">
        <v>853</v>
      </c>
      <c r="D528" s="43"/>
      <c r="E528" s="42"/>
      <c r="F528" s="45">
        <f>Source!AO262</f>
        <v>203.28</v>
      </c>
      <c r="G528" s="46" t="s">
        <v>196</v>
      </c>
      <c r="H528" s="42">
        <f>Source!AV263</f>
        <v>1.0469999999999999</v>
      </c>
      <c r="I528" s="45">
        <f>Source!S262</f>
        <v>5.1100000000000003</v>
      </c>
      <c r="J528" s="42">
        <f>IF(Source!BA263&lt;&gt; 0, Source!BA263, 1)</f>
        <v>56.35</v>
      </c>
      <c r="K528" s="45">
        <f>Source!S263</f>
        <v>287.95</v>
      </c>
    </row>
    <row r="529" spans="1:29" ht="14.25" x14ac:dyDescent="0.2">
      <c r="A529" s="41"/>
      <c r="B529" s="41"/>
      <c r="C529" s="41" t="s">
        <v>855</v>
      </c>
      <c r="D529" s="43"/>
      <c r="E529" s="42"/>
      <c r="F529" s="45">
        <f>Source!AM262</f>
        <v>61.76</v>
      </c>
      <c r="G529" s="46" t="s">
        <v>196</v>
      </c>
      <c r="H529" s="42">
        <f>Source!AV263</f>
        <v>1.0469999999999999</v>
      </c>
      <c r="I529" s="45">
        <f>Source!Q262</f>
        <v>1.55</v>
      </c>
      <c r="J529" s="42">
        <f>IF(Source!BB263&lt;&gt; 0, Source!BB263, 1)</f>
        <v>15.55</v>
      </c>
      <c r="K529" s="45">
        <f>Source!Q263</f>
        <v>24.1</v>
      </c>
    </row>
    <row r="530" spans="1:29" ht="14.25" x14ac:dyDescent="0.2">
      <c r="A530" s="41"/>
      <c r="B530" s="41"/>
      <c r="C530" s="41" t="s">
        <v>856</v>
      </c>
      <c r="D530" s="43"/>
      <c r="E530" s="42"/>
      <c r="F530" s="45">
        <f>Source!AN262</f>
        <v>5.43</v>
      </c>
      <c r="G530" s="46" t="s">
        <v>196</v>
      </c>
      <c r="H530" s="42">
        <f>Source!AV263</f>
        <v>1.0469999999999999</v>
      </c>
      <c r="I530" s="47">
        <f>Source!R262</f>
        <v>0.14000000000000001</v>
      </c>
      <c r="J530" s="42">
        <f>IF(Source!BS263&lt;&gt; 0, Source!BS263, 1)</f>
        <v>56.35</v>
      </c>
      <c r="K530" s="47">
        <f>Source!R263</f>
        <v>7.89</v>
      </c>
    </row>
    <row r="531" spans="1:29" ht="14.25" x14ac:dyDescent="0.2">
      <c r="A531" s="41"/>
      <c r="B531" s="41"/>
      <c r="C531" s="41" t="s">
        <v>866</v>
      </c>
      <c r="D531" s="43"/>
      <c r="E531" s="42"/>
      <c r="F531" s="45">
        <f>Source!AL262</f>
        <v>1688.81</v>
      </c>
      <c r="G531" s="46" t="s">
        <v>3</v>
      </c>
      <c r="H531" s="42">
        <f>Source!AW263</f>
        <v>1</v>
      </c>
      <c r="I531" s="45">
        <f>Source!P262</f>
        <v>33.78</v>
      </c>
      <c r="J531" s="42">
        <f>IF(Source!BC263&lt;&gt; 0, Source!BC263, 1)</f>
        <v>4.8</v>
      </c>
      <c r="K531" s="45">
        <f>Source!P263</f>
        <v>162.13999999999999</v>
      </c>
    </row>
    <row r="532" spans="1:29" ht="57" x14ac:dyDescent="0.2">
      <c r="A532" s="41" t="s">
        <v>404</v>
      </c>
      <c r="B532" s="41" t="str">
        <f>Source!F264</f>
        <v>1.12-1-29</v>
      </c>
      <c r="C532" s="41" t="s">
        <v>406</v>
      </c>
      <c r="D532" s="43" t="str">
        <f>Source!H264</f>
        <v>м</v>
      </c>
      <c r="E532" s="42">
        <f>Source!I264</f>
        <v>2.06</v>
      </c>
      <c r="F532" s="45">
        <f>Source!AK264</f>
        <v>32.96</v>
      </c>
      <c r="G532" s="46" t="s">
        <v>3</v>
      </c>
      <c r="H532" s="42">
        <f>Source!AW265</f>
        <v>1</v>
      </c>
      <c r="I532" s="45">
        <f>Source!O264</f>
        <v>67.900000000000006</v>
      </c>
      <c r="J532" s="42">
        <f>IF(Source!BC265&lt;&gt; 0, Source!BC265, 1)</f>
        <v>1.67</v>
      </c>
      <c r="K532" s="45">
        <f>Source!O265</f>
        <v>113.39</v>
      </c>
      <c r="Q532">
        <f>Source!X264</f>
        <v>0</v>
      </c>
      <c r="R532">
        <f>Source!X265</f>
        <v>0</v>
      </c>
      <c r="S532">
        <f>Source!Y264</f>
        <v>0</v>
      </c>
      <c r="T532">
        <f>Source!Y265</f>
        <v>0</v>
      </c>
      <c r="U532">
        <f>ROUND((175/100)*ROUND(Source!R264, 2), 2)</f>
        <v>0</v>
      </c>
      <c r="V532">
        <f>ROUND((0/100)*ROUND(Source!R265, 2), 2)</f>
        <v>0</v>
      </c>
      <c r="AC532">
        <v>3</v>
      </c>
    </row>
    <row r="533" spans="1:29" ht="14.25" x14ac:dyDescent="0.2">
      <c r="A533" s="41"/>
      <c r="B533" s="41"/>
      <c r="C533" s="41" t="s">
        <v>857</v>
      </c>
      <c r="D533" s="43" t="s">
        <v>858</v>
      </c>
      <c r="E533" s="42">
        <f>Source!BZ263</f>
        <v>97</v>
      </c>
      <c r="F533" s="45"/>
      <c r="G533" s="44"/>
      <c r="H533" s="42"/>
      <c r="I533" s="45">
        <f>SUM(Q526:Q532)</f>
        <v>5.09</v>
      </c>
      <c r="J533" s="42">
        <f>Source!AT263</f>
        <v>97</v>
      </c>
      <c r="K533" s="45">
        <f>SUM(R526:R532)</f>
        <v>286.95999999999998</v>
      </c>
    </row>
    <row r="534" spans="1:29" ht="14.25" x14ac:dyDescent="0.2">
      <c r="A534" s="41"/>
      <c r="B534" s="41"/>
      <c r="C534" s="41" t="s">
        <v>859</v>
      </c>
      <c r="D534" s="43" t="s">
        <v>858</v>
      </c>
      <c r="E534" s="42">
        <f>Source!CA263</f>
        <v>51</v>
      </c>
      <c r="F534" s="45"/>
      <c r="G534" s="44"/>
      <c r="H534" s="42"/>
      <c r="I534" s="45">
        <f>SUM(S526:S533)</f>
        <v>2.68</v>
      </c>
      <c r="J534" s="42">
        <f>Source!AU263</f>
        <v>51</v>
      </c>
      <c r="K534" s="45">
        <f>SUM(T526:T533)</f>
        <v>150.88</v>
      </c>
    </row>
    <row r="535" spans="1:29" ht="14.25" x14ac:dyDescent="0.2">
      <c r="A535" s="48"/>
      <c r="B535" s="48"/>
      <c r="C535" s="48" t="s">
        <v>860</v>
      </c>
      <c r="D535" s="49" t="s">
        <v>861</v>
      </c>
      <c r="E535" s="50">
        <f>Source!AQ262</f>
        <v>16.5</v>
      </c>
      <c r="F535" s="51"/>
      <c r="G535" s="52" t="s">
        <v>196</v>
      </c>
      <c r="H535" s="50">
        <f>Source!AV263</f>
        <v>1.0469999999999999</v>
      </c>
      <c r="I535" s="51">
        <f>Source!U262</f>
        <v>0.41461199999999998</v>
      </c>
      <c r="J535" s="50"/>
      <c r="K535" s="51"/>
    </row>
    <row r="536" spans="1:29" ht="15" x14ac:dyDescent="0.2">
      <c r="C536" s="53" t="s">
        <v>862</v>
      </c>
      <c r="H536" s="54">
        <f>I528+I529+I531+I533+I534+SUM(I532:I532)-SUMIF(AC532:AC532, 5, I532:I532)-SUMIF(AC532:AC532, 6, I532:I532)</f>
        <v>116.11000000000001</v>
      </c>
      <c r="I536" s="54"/>
      <c r="J536" s="54">
        <f>K528+K529+K531+K533+K534+SUM(K532:K532)-SUMIF(AC532:AC532, 5, K532:K532)-SUMIF(AC532:AC532, 6, K532:K532)</f>
        <v>1025.42</v>
      </c>
      <c r="K536" s="54"/>
    </row>
    <row r="537" spans="1:29" ht="15" hidden="1" x14ac:dyDescent="0.2">
      <c r="C537" s="53" t="s">
        <v>863</v>
      </c>
      <c r="H537" s="56">
        <f>SUMIF(AC532:AC532, 5, I532:I532)+SUMIF(AC532:AC532, 6, I532:I532)</f>
        <v>0</v>
      </c>
      <c r="I537" s="56"/>
      <c r="J537" s="56">
        <f>SUMIF(AC532:AC532, 5, K532:K532)+SUMIF(AC532:AC532, 6, K532:K532)</f>
        <v>0</v>
      </c>
      <c r="K537" s="56"/>
    </row>
    <row r="538" spans="1:29" ht="15" x14ac:dyDescent="0.2">
      <c r="C538" s="53" t="s">
        <v>864</v>
      </c>
      <c r="H538" s="56">
        <f>I528+I529+I531+I533+I534+SUM(I532:I532)</f>
        <v>116.11000000000001</v>
      </c>
      <c r="I538" s="56"/>
      <c r="J538" s="56">
        <f>K528+K529+K531+K533+K534+SUM(K532:K532)</f>
        <v>1025.42</v>
      </c>
      <c r="K538" s="56"/>
      <c r="O538" s="57">
        <f>I528+I529+I531+I533+I534+SUM(I532:I532)</f>
        <v>116.11000000000001</v>
      </c>
      <c r="P538" s="57">
        <f>K528+K529+K531+K533+K534+SUM(K532:K532)</f>
        <v>1025.42</v>
      </c>
    </row>
    <row r="540" spans="1:29" ht="57" x14ac:dyDescent="0.2">
      <c r="A540" s="41">
        <v>59</v>
      </c>
      <c r="B540" s="41" t="str">
        <f>Source!F278</f>
        <v>4.8-187-10</v>
      </c>
      <c r="C540" s="41" t="s">
        <v>419</v>
      </c>
      <c r="D540" s="43" t="str">
        <f>Source!H278</f>
        <v>100 м</v>
      </c>
      <c r="E540" s="42">
        <f>Source!I278</f>
        <v>0.9</v>
      </c>
      <c r="F540" s="45"/>
      <c r="G540" s="44"/>
      <c r="H540" s="42"/>
      <c r="I540" s="45"/>
      <c r="J540" s="42"/>
      <c r="K540" s="45"/>
      <c r="Q540">
        <f>Source!X278</f>
        <v>554.03</v>
      </c>
      <c r="R540">
        <f>Source!X279</f>
        <v>31219.31</v>
      </c>
      <c r="S540">
        <f>Source!Y278</f>
        <v>291.29000000000002</v>
      </c>
      <c r="T540">
        <f>Source!Y279</f>
        <v>16414.28</v>
      </c>
      <c r="U540">
        <f>ROUND((175/100)*ROUND(Source!R278, 2), 2)</f>
        <v>0.77</v>
      </c>
      <c r="V540">
        <f>ROUND((0/100)*ROUND(Source!R279, 2), 2)</f>
        <v>0</v>
      </c>
      <c r="AC540">
        <v>0</v>
      </c>
    </row>
    <row r="541" spans="1:29" x14ac:dyDescent="0.2">
      <c r="C541" s="58" t="str">
        <f>"Объем: "&amp;Source!I278&amp;"=90/"&amp;"100"</f>
        <v>Объем: 0,9=90/100</v>
      </c>
    </row>
    <row r="542" spans="1:29" ht="14.25" x14ac:dyDescent="0.2">
      <c r="A542" s="41"/>
      <c r="B542" s="41"/>
      <c r="C542" s="41" t="s">
        <v>853</v>
      </c>
      <c r="D542" s="43"/>
      <c r="E542" s="42"/>
      <c r="F542" s="45">
        <f>Source!AO278</f>
        <v>495.26</v>
      </c>
      <c r="G542" s="46" t="s">
        <v>196</v>
      </c>
      <c r="H542" s="42">
        <f>Source!AV279</f>
        <v>1.0669999999999999</v>
      </c>
      <c r="I542" s="45">
        <f>Source!S278</f>
        <v>570.72</v>
      </c>
      <c r="J542" s="42">
        <f>IF(Source!BA279&lt;&gt; 0, Source!BA279, 1)</f>
        <v>56.35</v>
      </c>
      <c r="K542" s="45">
        <f>Source!S279</f>
        <v>32160.07</v>
      </c>
    </row>
    <row r="543" spans="1:29" ht="14.25" x14ac:dyDescent="0.2">
      <c r="A543" s="41"/>
      <c r="B543" s="41"/>
      <c r="C543" s="41" t="s">
        <v>855</v>
      </c>
      <c r="D543" s="43"/>
      <c r="E543" s="42"/>
      <c r="F543" s="45">
        <f>Source!AM278</f>
        <v>11.29</v>
      </c>
      <c r="G543" s="46" t="s">
        <v>196</v>
      </c>
      <c r="H543" s="42">
        <f>Source!AV279</f>
        <v>1.0669999999999999</v>
      </c>
      <c r="I543" s="45">
        <f>Source!Q278</f>
        <v>13.01</v>
      </c>
      <c r="J543" s="42">
        <f>IF(Source!BB279&lt;&gt; 0, Source!BB279, 1)</f>
        <v>11.15</v>
      </c>
      <c r="K543" s="45">
        <f>Source!Q279</f>
        <v>145.06</v>
      </c>
    </row>
    <row r="544" spans="1:29" ht="14.25" x14ac:dyDescent="0.2">
      <c r="A544" s="41"/>
      <c r="B544" s="41"/>
      <c r="C544" s="41" t="s">
        <v>856</v>
      </c>
      <c r="D544" s="43"/>
      <c r="E544" s="42"/>
      <c r="F544" s="45">
        <f>Source!AN278</f>
        <v>0.38</v>
      </c>
      <c r="G544" s="46" t="s">
        <v>196</v>
      </c>
      <c r="H544" s="42">
        <f>Source!AV279</f>
        <v>1.0669999999999999</v>
      </c>
      <c r="I544" s="47">
        <f>Source!R278</f>
        <v>0.44</v>
      </c>
      <c r="J544" s="42">
        <f>IF(Source!BS279&lt;&gt; 0, Source!BS279, 1)</f>
        <v>56.35</v>
      </c>
      <c r="K544" s="47">
        <f>Source!R279</f>
        <v>24.79</v>
      </c>
    </row>
    <row r="545" spans="1:29" ht="14.25" x14ac:dyDescent="0.2">
      <c r="A545" s="41"/>
      <c r="B545" s="41"/>
      <c r="C545" s="41" t="s">
        <v>866</v>
      </c>
      <c r="D545" s="43"/>
      <c r="E545" s="42"/>
      <c r="F545" s="45">
        <f>Source!AL278</f>
        <v>1177.69</v>
      </c>
      <c r="G545" s="46" t="s">
        <v>3</v>
      </c>
      <c r="H545" s="42">
        <f>Source!AW279</f>
        <v>1.081</v>
      </c>
      <c r="I545" s="45">
        <f>Source!P278</f>
        <v>1145.77</v>
      </c>
      <c r="J545" s="42">
        <f>IF(Source!BC279&lt;&gt; 0, Source!BC279, 1)</f>
        <v>5.89</v>
      </c>
      <c r="K545" s="45">
        <f>Source!P279</f>
        <v>6748.59</v>
      </c>
    </row>
    <row r="546" spans="1:29" ht="128.25" x14ac:dyDescent="0.2">
      <c r="A546" s="41" t="s">
        <v>421</v>
      </c>
      <c r="B546" s="41" t="str">
        <f>Source!F280</f>
        <v>1.23-13-210</v>
      </c>
      <c r="C546" s="41" t="s">
        <v>827</v>
      </c>
      <c r="D546" s="43" t="str">
        <f>Source!H280</f>
        <v>км</v>
      </c>
      <c r="E546" s="42">
        <f>Source!I280</f>
        <v>9.1800000000000007E-2</v>
      </c>
      <c r="F546" s="45">
        <f>Source!AK280</f>
        <v>5272.11</v>
      </c>
      <c r="G546" s="46" t="s">
        <v>3</v>
      </c>
      <c r="H546" s="42">
        <f>Source!AW281</f>
        <v>1</v>
      </c>
      <c r="I546" s="45">
        <f>Source!O280</f>
        <v>483.98</v>
      </c>
      <c r="J546" s="42">
        <f>IF(Source!BC281&lt;&gt; 0, Source!BC281, 1)</f>
        <v>11.22</v>
      </c>
      <c r="K546" s="45">
        <f>Source!O281</f>
        <v>5430.26</v>
      </c>
      <c r="Q546">
        <f>Source!X280</f>
        <v>0</v>
      </c>
      <c r="R546">
        <f>Source!X281</f>
        <v>0</v>
      </c>
      <c r="S546">
        <f>Source!Y280</f>
        <v>0</v>
      </c>
      <c r="T546">
        <f>Source!Y281</f>
        <v>0</v>
      </c>
      <c r="U546">
        <f>ROUND((175/100)*ROUND(Source!R280, 2), 2)</f>
        <v>0</v>
      </c>
      <c r="V546">
        <f>ROUND((0/100)*ROUND(Source!R281, 2), 2)</f>
        <v>0</v>
      </c>
      <c r="AC546">
        <v>3</v>
      </c>
    </row>
    <row r="547" spans="1:29" ht="14.25" x14ac:dyDescent="0.2">
      <c r="A547" s="41"/>
      <c r="B547" s="41"/>
      <c r="C547" s="41" t="s">
        <v>857</v>
      </c>
      <c r="D547" s="43" t="s">
        <v>858</v>
      </c>
      <c r="E547" s="42">
        <f>Source!BZ279</f>
        <v>97</v>
      </c>
      <c r="F547" s="45"/>
      <c r="G547" s="44"/>
      <c r="H547" s="42"/>
      <c r="I547" s="45">
        <f>SUM(Q540:Q546)</f>
        <v>554.03</v>
      </c>
      <c r="J547" s="42">
        <f>Source!AT279</f>
        <v>97</v>
      </c>
      <c r="K547" s="45">
        <f>SUM(R540:R546)</f>
        <v>31219.31</v>
      </c>
    </row>
    <row r="548" spans="1:29" ht="14.25" x14ac:dyDescent="0.2">
      <c r="A548" s="41"/>
      <c r="B548" s="41"/>
      <c r="C548" s="41" t="s">
        <v>859</v>
      </c>
      <c r="D548" s="43" t="s">
        <v>858</v>
      </c>
      <c r="E548" s="42">
        <f>Source!CA279</f>
        <v>51</v>
      </c>
      <c r="F548" s="45"/>
      <c r="G548" s="44"/>
      <c r="H548" s="42"/>
      <c r="I548" s="45">
        <f>SUM(S540:S547)</f>
        <v>291.29000000000002</v>
      </c>
      <c r="J548" s="42">
        <f>Source!AU279</f>
        <v>51</v>
      </c>
      <c r="K548" s="45">
        <f>SUM(T540:T547)</f>
        <v>16414.28</v>
      </c>
    </row>
    <row r="549" spans="1:29" ht="14.25" x14ac:dyDescent="0.2">
      <c r="A549" s="48"/>
      <c r="B549" s="48"/>
      <c r="C549" s="48" t="s">
        <v>860</v>
      </c>
      <c r="D549" s="49" t="s">
        <v>861</v>
      </c>
      <c r="E549" s="50">
        <f>Source!AQ278</f>
        <v>40.200000000000003</v>
      </c>
      <c r="F549" s="51"/>
      <c r="G549" s="52" t="s">
        <v>196</v>
      </c>
      <c r="H549" s="50">
        <f>Source!AV279</f>
        <v>1.0669999999999999</v>
      </c>
      <c r="I549" s="51">
        <f>Source!U278</f>
        <v>46.324871999999999</v>
      </c>
      <c r="J549" s="50"/>
      <c r="K549" s="51"/>
    </row>
    <row r="550" spans="1:29" ht="15" x14ac:dyDescent="0.2">
      <c r="C550" s="53" t="s">
        <v>862</v>
      </c>
      <c r="H550" s="54">
        <f>I542+I543+I545+I547+I548+SUM(I546:I546)-SUMIF(AC546:AC546, 5, I546:I546)-SUMIF(AC546:AC546, 6, I546:I546)</f>
        <v>3058.7999999999997</v>
      </c>
      <c r="I550" s="54"/>
      <c r="J550" s="54">
        <f>K542+K543+K545+K547+K548+SUM(K546:K546)-SUMIF(AC546:AC546, 5, K546:K546)-SUMIF(AC546:AC546, 6, K546:K546)</f>
        <v>92117.569999999992</v>
      </c>
      <c r="K550" s="54"/>
    </row>
    <row r="551" spans="1:29" ht="15" hidden="1" x14ac:dyDescent="0.2">
      <c r="C551" s="53" t="s">
        <v>863</v>
      </c>
      <c r="H551" s="56">
        <f>SUMIF(AC546:AC546, 5, I546:I546)+SUMIF(AC546:AC546, 6, I546:I546)</f>
        <v>0</v>
      </c>
      <c r="I551" s="56"/>
      <c r="J551" s="56">
        <f>SUMIF(AC546:AC546, 5, K546:K546)+SUMIF(AC546:AC546, 6, K546:K546)</f>
        <v>0</v>
      </c>
      <c r="K551" s="56"/>
    </row>
    <row r="552" spans="1:29" ht="15" x14ac:dyDescent="0.2">
      <c r="C552" s="53" t="s">
        <v>864</v>
      </c>
      <c r="H552" s="56">
        <f>I542+I543+I545+I547+I548+SUM(I546:I546)</f>
        <v>3058.7999999999997</v>
      </c>
      <c r="I552" s="56"/>
      <c r="J552" s="56">
        <f>K542+K543+K545+K547+K548+SUM(K546:K546)</f>
        <v>92117.569999999992</v>
      </c>
      <c r="K552" s="56"/>
      <c r="O552" s="57">
        <f>I542+I543+I545+I547+I548+SUM(I546:I546)</f>
        <v>3058.7999999999997</v>
      </c>
      <c r="P552" s="57">
        <f>K542+K543+K545+K547+K548+SUM(K546:K546)</f>
        <v>92117.569999999992</v>
      </c>
    </row>
    <row r="554" spans="1:29" ht="57" x14ac:dyDescent="0.2">
      <c r="A554" s="41">
        <v>60</v>
      </c>
      <c r="B554" s="41" t="str">
        <f>Source!F282</f>
        <v>4.8-86-2</v>
      </c>
      <c r="C554" s="41" t="s">
        <v>426</v>
      </c>
      <c r="D554" s="43" t="str">
        <f>Source!H282</f>
        <v>100 М УЛОЖЕННОГО КАБЕЛЯ</v>
      </c>
      <c r="E554" s="42">
        <f>Source!I282</f>
        <v>0.02</v>
      </c>
      <c r="F554" s="45"/>
      <c r="G554" s="44"/>
      <c r="H554" s="42"/>
      <c r="I554" s="45"/>
      <c r="J554" s="42"/>
      <c r="K554" s="45"/>
      <c r="Q554">
        <f>Source!X282</f>
        <v>0.38</v>
      </c>
      <c r="R554">
        <f>Source!X283</f>
        <v>21.32</v>
      </c>
      <c r="S554">
        <f>Source!Y282</f>
        <v>0.2</v>
      </c>
      <c r="T554">
        <f>Source!Y283</f>
        <v>11.21</v>
      </c>
      <c r="U554">
        <f>ROUND((175/100)*ROUND(Source!R282, 2), 2)</f>
        <v>0</v>
      </c>
      <c r="V554">
        <f>ROUND((0/100)*ROUND(Source!R283, 2), 2)</f>
        <v>0</v>
      </c>
      <c r="AC554">
        <v>0</v>
      </c>
    </row>
    <row r="555" spans="1:29" x14ac:dyDescent="0.2">
      <c r="C555" s="58" t="str">
        <f>"Объем: "&amp;Source!I282&amp;"=2/"&amp;"100"</f>
        <v>Объем: 0,02=2/100</v>
      </c>
    </row>
    <row r="556" spans="1:29" ht="14.25" x14ac:dyDescent="0.2">
      <c r="A556" s="41"/>
      <c r="B556" s="41"/>
      <c r="C556" s="41" t="s">
        <v>853</v>
      </c>
      <c r="D556" s="43"/>
      <c r="E556" s="42"/>
      <c r="F556" s="45">
        <f>Source!AO282</f>
        <v>15.52</v>
      </c>
      <c r="G556" s="46" t="s">
        <v>196</v>
      </c>
      <c r="H556" s="42">
        <f>Source!AV283</f>
        <v>1.0469999999999999</v>
      </c>
      <c r="I556" s="45">
        <f>Source!S282</f>
        <v>0.39</v>
      </c>
      <c r="J556" s="42">
        <f>IF(Source!BA283&lt;&gt; 0, Source!BA283, 1)</f>
        <v>56.35</v>
      </c>
      <c r="K556" s="45">
        <f>Source!S283</f>
        <v>21.98</v>
      </c>
    </row>
    <row r="557" spans="1:29" ht="14.25" x14ac:dyDescent="0.2">
      <c r="A557" s="41"/>
      <c r="B557" s="41"/>
      <c r="C557" s="41" t="s">
        <v>866</v>
      </c>
      <c r="D557" s="43"/>
      <c r="E557" s="42"/>
      <c r="F557" s="45">
        <f>Source!AL282</f>
        <v>0.56999999999999995</v>
      </c>
      <c r="G557" s="46" t="s">
        <v>3</v>
      </c>
      <c r="H557" s="42">
        <f>Source!AW283</f>
        <v>1</v>
      </c>
      <c r="I557" s="45">
        <f>Source!P282</f>
        <v>0.01</v>
      </c>
      <c r="J557" s="42">
        <f>IF(Source!BC283&lt;&gt; 0, Source!BC283, 1)</f>
        <v>18.190000000000001</v>
      </c>
      <c r="K557" s="45">
        <f>Source!P283</f>
        <v>0.18</v>
      </c>
    </row>
    <row r="558" spans="1:29" ht="14.25" x14ac:dyDescent="0.2">
      <c r="A558" s="41"/>
      <c r="B558" s="41"/>
      <c r="C558" s="41" t="s">
        <v>857</v>
      </c>
      <c r="D558" s="43" t="s">
        <v>858</v>
      </c>
      <c r="E558" s="42">
        <f>Source!BZ283</f>
        <v>97</v>
      </c>
      <c r="F558" s="45"/>
      <c r="G558" s="44"/>
      <c r="H558" s="42"/>
      <c r="I558" s="45">
        <f>SUM(Q554:Q557)</f>
        <v>0.38</v>
      </c>
      <c r="J558" s="42">
        <f>Source!AT283</f>
        <v>97</v>
      </c>
      <c r="K558" s="45">
        <f>SUM(R554:R557)</f>
        <v>21.32</v>
      </c>
    </row>
    <row r="559" spans="1:29" ht="14.25" x14ac:dyDescent="0.2">
      <c r="A559" s="41"/>
      <c r="B559" s="41"/>
      <c r="C559" s="41" t="s">
        <v>859</v>
      </c>
      <c r="D559" s="43" t="s">
        <v>858</v>
      </c>
      <c r="E559" s="42">
        <f>Source!CA283</f>
        <v>51</v>
      </c>
      <c r="F559" s="45"/>
      <c r="G559" s="44"/>
      <c r="H559" s="42"/>
      <c r="I559" s="45">
        <f>SUM(S554:S558)</f>
        <v>0.2</v>
      </c>
      <c r="J559" s="42">
        <f>Source!AU283</f>
        <v>51</v>
      </c>
      <c r="K559" s="45">
        <f>SUM(T554:T558)</f>
        <v>11.21</v>
      </c>
    </row>
    <row r="560" spans="1:29" ht="14.25" x14ac:dyDescent="0.2">
      <c r="A560" s="48"/>
      <c r="B560" s="48"/>
      <c r="C560" s="48" t="s">
        <v>860</v>
      </c>
      <c r="D560" s="49" t="s">
        <v>861</v>
      </c>
      <c r="E560" s="50">
        <f>Source!AQ282</f>
        <v>1.26</v>
      </c>
      <c r="F560" s="51"/>
      <c r="G560" s="52" t="s">
        <v>196</v>
      </c>
      <c r="H560" s="50">
        <f>Source!AV283</f>
        <v>1.0469999999999999</v>
      </c>
      <c r="I560" s="51">
        <f>Source!U282</f>
        <v>3.166128E-2</v>
      </c>
      <c r="J560" s="50"/>
      <c r="K560" s="51"/>
    </row>
    <row r="561" spans="1:29" ht="15" x14ac:dyDescent="0.2">
      <c r="C561" s="53" t="s">
        <v>862</v>
      </c>
      <c r="H561" s="54">
        <f>I556+I557+I558+I559+0-0-0</f>
        <v>0.98</v>
      </c>
      <c r="I561" s="54"/>
      <c r="J561" s="54">
        <f>K556+K557+K558+K559+0-0-0</f>
        <v>54.690000000000005</v>
      </c>
      <c r="K561" s="54"/>
    </row>
    <row r="562" spans="1:29" ht="15" hidden="1" x14ac:dyDescent="0.2">
      <c r="C562" s="53" t="s">
        <v>863</v>
      </c>
      <c r="H562" s="56">
        <f>0+0</f>
        <v>0</v>
      </c>
      <c r="I562" s="56"/>
      <c r="J562" s="56">
        <f>0+0</f>
        <v>0</v>
      </c>
      <c r="K562" s="56"/>
    </row>
    <row r="563" spans="1:29" ht="15" x14ac:dyDescent="0.2">
      <c r="C563" s="53" t="s">
        <v>864</v>
      </c>
      <c r="H563" s="56">
        <f>I556+I557+I558+I559+0</f>
        <v>0.98</v>
      </c>
      <c r="I563" s="56"/>
      <c r="J563" s="56">
        <f>K556+K557+K558+K559+0</f>
        <v>54.690000000000005</v>
      </c>
      <c r="K563" s="56"/>
      <c r="O563" s="57">
        <f>I556+I557+I558+I559+0</f>
        <v>0.98</v>
      </c>
      <c r="P563" s="57">
        <f>K556+K557+K558+K559+0</f>
        <v>54.690000000000005</v>
      </c>
    </row>
    <row r="565" spans="1:29" ht="28.5" x14ac:dyDescent="0.2">
      <c r="A565" s="41">
        <v>61</v>
      </c>
      <c r="B565" s="41" t="str">
        <f>Source!F284</f>
        <v>1.1-1-7994</v>
      </c>
      <c r="C565" s="41" t="s">
        <v>431</v>
      </c>
      <c r="D565" s="43" t="str">
        <f>Source!H284</f>
        <v>т</v>
      </c>
      <c r="E565" s="42">
        <f>Source!I284</f>
        <v>-5.9999999999999997E-7</v>
      </c>
      <c r="F565" s="45">
        <f>Source!AL284</f>
        <v>18995.22</v>
      </c>
      <c r="G565" s="46" t="s">
        <v>3</v>
      </c>
      <c r="H565" s="42">
        <f>Source!AW285</f>
        <v>1</v>
      </c>
      <c r="I565" s="45">
        <f>Source!P284</f>
        <v>-0.01</v>
      </c>
      <c r="J565" s="42">
        <f>IF(Source!BC285&lt;&gt; 0, Source!BC285, 1)</f>
        <v>18.190000000000001</v>
      </c>
      <c r="K565" s="45">
        <f>Source!P285</f>
        <v>-0.18</v>
      </c>
      <c r="Q565">
        <f>Source!X284</f>
        <v>0</v>
      </c>
      <c r="R565">
        <f>Source!X285</f>
        <v>0</v>
      </c>
      <c r="S565">
        <f>Source!Y284</f>
        <v>0</v>
      </c>
      <c r="T565">
        <f>Source!Y285</f>
        <v>0</v>
      </c>
      <c r="U565">
        <f>ROUND((175/100)*ROUND(Source!R284, 2), 2)</f>
        <v>0</v>
      </c>
      <c r="V565">
        <f>ROUND((0/100)*ROUND(Source!R285, 2), 2)</f>
        <v>0</v>
      </c>
      <c r="AC565">
        <v>3</v>
      </c>
    </row>
    <row r="566" spans="1:29" x14ac:dyDescent="0.2">
      <c r="A566" s="74"/>
      <c r="B566" s="74"/>
      <c r="C566" s="75" t="str">
        <f>"Объем: "&amp;Source!I284&amp;"="&amp;Source!I282&amp;"*"&amp;"-"&amp;"0,00003"</f>
        <v>Объем: -0,0000006=0,02*-0,00003</v>
      </c>
      <c r="D566" s="74"/>
      <c r="E566" s="74"/>
      <c r="F566" s="74"/>
      <c r="G566" s="74"/>
      <c r="H566" s="74"/>
      <c r="I566" s="74"/>
      <c r="J566" s="74"/>
      <c r="K566" s="74"/>
    </row>
    <row r="567" spans="1:29" ht="15" x14ac:dyDescent="0.2">
      <c r="C567" s="53" t="s">
        <v>864</v>
      </c>
      <c r="H567" s="54">
        <f>I565+0</f>
        <v>-0.01</v>
      </c>
      <c r="I567" s="54"/>
      <c r="J567" s="54">
        <f>K565+0</f>
        <v>-0.18</v>
      </c>
      <c r="K567" s="54"/>
      <c r="O567" s="57">
        <f>I565+0</f>
        <v>-0.01</v>
      </c>
      <c r="P567" s="57">
        <f>K565+0</f>
        <v>-0.18</v>
      </c>
    </row>
    <row r="569" spans="1:29" ht="54" x14ac:dyDescent="0.2">
      <c r="A569" s="48">
        <v>62</v>
      </c>
      <c r="B569" s="48" t="str">
        <f>Source!F286</f>
        <v>КА, п.20</v>
      </c>
      <c r="C569" s="48" t="s">
        <v>897</v>
      </c>
      <c r="D569" s="49" t="str">
        <f>Source!H286</f>
        <v>ШТ</v>
      </c>
      <c r="E569" s="50">
        <f>Source!I286</f>
        <v>1</v>
      </c>
      <c r="F569" s="51">
        <f>Source!AL286</f>
        <v>105.35</v>
      </c>
      <c r="G569" s="52" t="s">
        <v>3</v>
      </c>
      <c r="H569" s="50">
        <f>Source!AW287</f>
        <v>1</v>
      </c>
      <c r="I569" s="51">
        <f>Source!P286</f>
        <v>105.35</v>
      </c>
      <c r="J569" s="50">
        <f>IF(Source!BC287&lt;&gt; 0, Source!BC287, 1)</f>
        <v>9.84</v>
      </c>
      <c r="K569" s="51">
        <f>Source!P287</f>
        <v>1036.6400000000001</v>
      </c>
      <c r="Q569">
        <f>Source!X286</f>
        <v>0</v>
      </c>
      <c r="R569">
        <f>Source!X287</f>
        <v>0</v>
      </c>
      <c r="S569">
        <f>Source!Y286</f>
        <v>0</v>
      </c>
      <c r="T569">
        <f>Source!Y287</f>
        <v>0</v>
      </c>
      <c r="U569">
        <f>ROUND((175/100)*ROUND(Source!R286, 2), 2)</f>
        <v>0</v>
      </c>
      <c r="V569">
        <f>ROUND((0/100)*ROUND(Source!R287, 2), 2)</f>
        <v>0</v>
      </c>
      <c r="AC569">
        <v>3</v>
      </c>
    </row>
    <row r="570" spans="1:29" ht="15" x14ac:dyDescent="0.2">
      <c r="C570" s="53" t="s">
        <v>864</v>
      </c>
      <c r="H570" s="54">
        <f>I569+0</f>
        <v>105.35</v>
      </c>
      <c r="I570" s="54"/>
      <c r="J570" s="54">
        <f>K569+0</f>
        <v>1036.6400000000001</v>
      </c>
      <c r="K570" s="54"/>
      <c r="O570" s="57">
        <f>I569+0</f>
        <v>105.35</v>
      </c>
      <c r="P570" s="57">
        <f>K569+0</f>
        <v>1036.6400000000001</v>
      </c>
    </row>
    <row r="573" spans="1:29" ht="15" x14ac:dyDescent="0.25">
      <c r="A573" s="59" t="str">
        <f>CONCATENATE("Итого по разделу: ",IF(Source!G289&lt;&gt;"Новый раздел", Source!G289, ""))</f>
        <v>Итого по разделу: Кабельные изделия</v>
      </c>
      <c r="B573" s="59"/>
      <c r="C573" s="59"/>
      <c r="D573" s="59"/>
      <c r="E573" s="59"/>
      <c r="F573" s="59"/>
      <c r="G573" s="59"/>
      <c r="H573" s="56">
        <f>SUM(O460:O572)</f>
        <v>30725.539999999997</v>
      </c>
      <c r="I573" s="55"/>
      <c r="J573" s="56">
        <f>SUM(P460:P572)</f>
        <v>663831.58999999985</v>
      </c>
      <c r="K573" s="55"/>
    </row>
    <row r="574" spans="1:29" hidden="1" x14ac:dyDescent="0.2">
      <c r="A574" t="s">
        <v>868</v>
      </c>
      <c r="I574">
        <f>SUM(W460:W573)</f>
        <v>0</v>
      </c>
      <c r="J574">
        <f>SUM(X460:X573)</f>
        <v>0</v>
      </c>
    </row>
    <row r="575" spans="1:29" hidden="1" x14ac:dyDescent="0.2">
      <c r="A575" t="s">
        <v>869</v>
      </c>
      <c r="I575">
        <f>SUM(Y460:Y574)</f>
        <v>0</v>
      </c>
      <c r="J575">
        <f>SUM(Z460:Z574)</f>
        <v>0</v>
      </c>
    </row>
    <row r="577" spans="1:43" ht="16.5" x14ac:dyDescent="0.2">
      <c r="A577" s="39" t="str">
        <f>CONCATENATE("Раздел: ",IF(Source!G319&lt;&gt;"Новый раздел", Source!G319, ""))</f>
        <v>Раздел: Запас на складе</v>
      </c>
      <c r="B577" s="39"/>
      <c r="C577" s="39"/>
      <c r="D577" s="39"/>
      <c r="E577" s="39"/>
      <c r="F577" s="39"/>
      <c r="G577" s="39"/>
      <c r="H577" s="39"/>
      <c r="I577" s="39"/>
      <c r="J577" s="39"/>
      <c r="K577" s="39"/>
    </row>
    <row r="578" spans="1:43" ht="111" x14ac:dyDescent="0.2">
      <c r="A578" s="66">
        <v>63</v>
      </c>
      <c r="B578" s="66" t="str">
        <f>Source!F323</f>
        <v>КА, п.10</v>
      </c>
      <c r="C578" s="66" t="s">
        <v>883</v>
      </c>
      <c r="D578" s="67" t="str">
        <f>Source!H323</f>
        <v>ШТ</v>
      </c>
      <c r="E578" s="68">
        <f>Source!I323</f>
        <v>3</v>
      </c>
      <c r="F578" s="69">
        <f>Source!AL323</f>
        <v>22090.409999999996</v>
      </c>
      <c r="G578" s="70" t="s">
        <v>3</v>
      </c>
      <c r="H578" s="68">
        <f>Source!AW324</f>
        <v>1</v>
      </c>
      <c r="I578" s="69">
        <f>Source!P323</f>
        <v>66271.23</v>
      </c>
      <c r="J578" s="68">
        <f>IF(Source!BC324&lt;&gt; 0, Source!BC324, 1)</f>
        <v>7.57</v>
      </c>
      <c r="K578" s="69">
        <f>Source!P324</f>
        <v>501673.21</v>
      </c>
      <c r="Q578">
        <f>Source!X323</f>
        <v>0</v>
      </c>
      <c r="R578">
        <f>Source!X324</f>
        <v>0</v>
      </c>
      <c r="S578">
        <f>Source!Y323</f>
        <v>0</v>
      </c>
      <c r="T578">
        <f>Source!Y324</f>
        <v>0</v>
      </c>
      <c r="U578">
        <f>ROUND((175/100)*ROUND(Source!R323, 2), 2)</f>
        <v>0</v>
      </c>
      <c r="V578">
        <f>ROUND((0/100)*ROUND(Source!R324, 2), 2)</f>
        <v>0</v>
      </c>
      <c r="AC578">
        <v>5</v>
      </c>
    </row>
    <row r="579" spans="1:43" ht="15" x14ac:dyDescent="0.2">
      <c r="A579" s="71"/>
      <c r="B579" s="71"/>
      <c r="C579" s="72" t="s">
        <v>864</v>
      </c>
      <c r="D579" s="71"/>
      <c r="E579" s="71"/>
      <c r="F579" s="71"/>
      <c r="G579" s="71"/>
      <c r="H579" s="73">
        <f>I578+0</f>
        <v>66271.23</v>
      </c>
      <c r="I579" s="73"/>
      <c r="J579" s="73">
        <f>K578+0</f>
        <v>501673.21</v>
      </c>
      <c r="K579" s="73"/>
      <c r="O579" s="57">
        <f>I578+0</f>
        <v>66271.23</v>
      </c>
      <c r="P579" s="57">
        <f>K578+0</f>
        <v>501673.21</v>
      </c>
    </row>
    <row r="582" spans="1:43" ht="15" x14ac:dyDescent="0.25">
      <c r="A582" s="59" t="str">
        <f>CONCATENATE("Итого по разделу: ",IF(Source!G326&lt;&gt;"Новый раздел", Source!G326, ""))</f>
        <v>Итого по разделу: Запас на складе</v>
      </c>
      <c r="B582" s="59"/>
      <c r="C582" s="59"/>
      <c r="D582" s="59"/>
      <c r="E582" s="59"/>
      <c r="F582" s="59"/>
      <c r="G582" s="59"/>
      <c r="H582" s="56">
        <f>SUM(O577:O581)</f>
        <v>66271.23</v>
      </c>
      <c r="I582" s="55"/>
      <c r="J582" s="56">
        <f>SUM(P577:P581)</f>
        <v>501673.21</v>
      </c>
      <c r="K582" s="55"/>
    </row>
    <row r="583" spans="1:43" hidden="1" x14ac:dyDescent="0.2">
      <c r="A583" t="s">
        <v>868</v>
      </c>
      <c r="I583">
        <f>SUM(W577:W582)</f>
        <v>0</v>
      </c>
      <c r="J583">
        <f>SUM(X577:X582)</f>
        <v>0</v>
      </c>
    </row>
    <row r="584" spans="1:43" hidden="1" x14ac:dyDescent="0.2">
      <c r="A584" t="s">
        <v>869</v>
      </c>
      <c r="I584">
        <f>SUM(Y577:Y583)</f>
        <v>0</v>
      </c>
      <c r="J584">
        <f>SUM(Z577:Z583)</f>
        <v>0</v>
      </c>
    </row>
    <row r="586" spans="1:43" ht="15" x14ac:dyDescent="0.25">
      <c r="A586" s="59" t="str">
        <f>CONCATENATE("Итого по локальной смете: ",IF(Source!G356&lt;&gt;"Новая локальная смета", Source!G356, ""))</f>
        <v>Итого по локальной смете: Автоматическая установка газового пожаротушения</v>
      </c>
      <c r="B586" s="59"/>
      <c r="C586" s="59"/>
      <c r="D586" s="59"/>
      <c r="E586" s="59"/>
      <c r="F586" s="59"/>
      <c r="G586" s="59"/>
      <c r="H586" s="56">
        <f>SUM(O29:O585)</f>
        <v>373767.98999999987</v>
      </c>
      <c r="I586" s="55"/>
      <c r="J586" s="56">
        <f>SUM(P29:P585)</f>
        <v>3517330.8899999992</v>
      </c>
      <c r="K586" s="55"/>
      <c r="AQ586" s="60" t="str">
        <f>CONCATENATE("Итого по локальной смете: ",IF(Source!G356&lt;&gt;"Новая локальная смета", Source!G356, ""))</f>
        <v>Итого по локальной смете: Автоматическая установка газового пожаротушения</v>
      </c>
    </row>
    <row r="587" spans="1:43" hidden="1" x14ac:dyDescent="0.2">
      <c r="A587" t="s">
        <v>868</v>
      </c>
      <c r="I587">
        <f>SUM(W29:W586)</f>
        <v>0</v>
      </c>
      <c r="J587">
        <f>SUM(X29:X586)</f>
        <v>0</v>
      </c>
    </row>
    <row r="588" spans="1:43" hidden="1" x14ac:dyDescent="0.2">
      <c r="A588" t="s">
        <v>869</v>
      </c>
      <c r="I588">
        <f>SUM(Y29:Y587)</f>
        <v>0</v>
      </c>
      <c r="J588">
        <f>SUM(Z29:Z587)</f>
        <v>0</v>
      </c>
    </row>
    <row r="590" spans="1:43" ht="15" x14ac:dyDescent="0.25">
      <c r="A590" s="59" t="str">
        <f>CONCATENATE("Итого по смете: ",IF(Source!G386&lt;&gt;"Новый объект", Source!G386, ""))</f>
        <v>Итого по смете: 02-01-19 АУГП</v>
      </c>
      <c r="B590" s="59"/>
      <c r="C590" s="59"/>
      <c r="D590" s="59"/>
      <c r="E590" s="59"/>
      <c r="F590" s="59"/>
      <c r="G590" s="59"/>
      <c r="H590" s="56">
        <f>SUM(O1:O589)</f>
        <v>373767.98999999987</v>
      </c>
      <c r="I590" s="55"/>
      <c r="J590" s="56">
        <f>SUM(P1:P589)</f>
        <v>3517330.8899999992</v>
      </c>
      <c r="K590" s="55"/>
    </row>
    <row r="591" spans="1:43" hidden="1" x14ac:dyDescent="0.2">
      <c r="A591" t="s">
        <v>868</v>
      </c>
      <c r="I591">
        <f>SUM(W1:W590)</f>
        <v>0</v>
      </c>
      <c r="J591">
        <f>SUM(X1:X590)</f>
        <v>0</v>
      </c>
    </row>
    <row r="592" spans="1:43" hidden="1" x14ac:dyDescent="0.2">
      <c r="A592" t="s">
        <v>869</v>
      </c>
      <c r="I592">
        <f>SUM(Y1:Y591)</f>
        <v>0</v>
      </c>
      <c r="J592">
        <f>SUM(Z1:Z591)</f>
        <v>0</v>
      </c>
    </row>
    <row r="595" spans="1:11" ht="14.25" x14ac:dyDescent="0.2">
      <c r="A595" s="76" t="s">
        <v>899</v>
      </c>
      <c r="B595" s="76"/>
      <c r="C595" s="77" t="str">
        <f>IF(Source!AC12&lt;&gt;"", Source!AC12," ")</f>
        <v>Ведущий инженер-сметчик</v>
      </c>
      <c r="D595" s="77"/>
      <c r="E595" s="77"/>
      <c r="F595" s="77"/>
      <c r="G595" s="77"/>
      <c r="H595" s="29" t="str">
        <f>IF(Source!AB12&lt;&gt;"", Source!AB12," ")</f>
        <v>О.А.Гришечкина</v>
      </c>
      <c r="I595" s="29"/>
      <c r="J595" s="29"/>
      <c r="K595" s="29"/>
    </row>
    <row r="596" spans="1:11" ht="14.25" x14ac:dyDescent="0.2">
      <c r="A596" s="16"/>
      <c r="B596" s="16"/>
      <c r="C596" s="18" t="s">
        <v>900</v>
      </c>
      <c r="D596" s="18"/>
      <c r="E596" s="18"/>
      <c r="F596" s="18"/>
      <c r="G596" s="18"/>
      <c r="H596" s="16"/>
      <c r="I596" s="16"/>
      <c r="J596" s="16"/>
      <c r="K596" s="16"/>
    </row>
    <row r="597" spans="1:11" ht="14.25" x14ac:dyDescent="0.2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</row>
    <row r="598" spans="1:11" ht="14.25" x14ac:dyDescent="0.2">
      <c r="A598" s="76" t="s">
        <v>901</v>
      </c>
      <c r="B598" s="76"/>
      <c r="C598" s="77" t="str">
        <f>IF(Source!AE12&lt;&gt;"", Source!AE12," ")</f>
        <v>Начальник отдела</v>
      </c>
      <c r="D598" s="77"/>
      <c r="E598" s="77"/>
      <c r="F598" s="77"/>
      <c r="G598" s="77"/>
      <c r="H598" s="29" t="str">
        <f>IF(Source!AD12&lt;&gt;"", Source!AD12," ")</f>
        <v>И.В.Феденко</v>
      </c>
      <c r="I598" s="29"/>
      <c r="J598" s="29"/>
      <c r="K598" s="29"/>
    </row>
    <row r="599" spans="1:11" ht="14.25" x14ac:dyDescent="0.2">
      <c r="A599" s="16"/>
      <c r="B599" s="16"/>
      <c r="C599" s="18" t="s">
        <v>900</v>
      </c>
      <c r="D599" s="18"/>
      <c r="E599" s="18"/>
      <c r="F599" s="18"/>
      <c r="G599" s="18"/>
      <c r="H599" s="16"/>
      <c r="I599" s="16"/>
      <c r="J599" s="16"/>
      <c r="K599" s="16"/>
    </row>
  </sheetData>
  <mergeCells count="324">
    <mergeCell ref="A598:B598"/>
    <mergeCell ref="H598:K598"/>
    <mergeCell ref="C599:G599"/>
    <mergeCell ref="J590:K590"/>
    <mergeCell ref="H590:I590"/>
    <mergeCell ref="A590:G590"/>
    <mergeCell ref="A595:B595"/>
    <mergeCell ref="H595:K595"/>
    <mergeCell ref="C596:G596"/>
    <mergeCell ref="H579:I579"/>
    <mergeCell ref="J579:K579"/>
    <mergeCell ref="J582:K582"/>
    <mergeCell ref="H582:I582"/>
    <mergeCell ref="A582:G582"/>
    <mergeCell ref="J586:K586"/>
    <mergeCell ref="H586:I586"/>
    <mergeCell ref="A586:G586"/>
    <mergeCell ref="H570:I570"/>
    <mergeCell ref="J570:K570"/>
    <mergeCell ref="J573:K573"/>
    <mergeCell ref="H573:I573"/>
    <mergeCell ref="A573:G573"/>
    <mergeCell ref="A577:K577"/>
    <mergeCell ref="H562:I562"/>
    <mergeCell ref="J562:K562"/>
    <mergeCell ref="H563:I563"/>
    <mergeCell ref="J563:K563"/>
    <mergeCell ref="H567:I567"/>
    <mergeCell ref="J567:K567"/>
    <mergeCell ref="H551:I551"/>
    <mergeCell ref="J551:K551"/>
    <mergeCell ref="H552:I552"/>
    <mergeCell ref="J552:K552"/>
    <mergeCell ref="H561:I561"/>
    <mergeCell ref="J561:K561"/>
    <mergeCell ref="H537:I537"/>
    <mergeCell ref="J537:K537"/>
    <mergeCell ref="H538:I538"/>
    <mergeCell ref="J538:K538"/>
    <mergeCell ref="H550:I550"/>
    <mergeCell ref="J550:K550"/>
    <mergeCell ref="H521:I521"/>
    <mergeCell ref="J521:K521"/>
    <mergeCell ref="H524:I524"/>
    <mergeCell ref="J524:K524"/>
    <mergeCell ref="H536:I536"/>
    <mergeCell ref="J536:K536"/>
    <mergeCell ref="H508:I508"/>
    <mergeCell ref="J508:K508"/>
    <mergeCell ref="H519:I519"/>
    <mergeCell ref="J519:K519"/>
    <mergeCell ref="H520:I520"/>
    <mergeCell ref="J520:K520"/>
    <mergeCell ref="H493:I493"/>
    <mergeCell ref="J493:K493"/>
    <mergeCell ref="H506:I506"/>
    <mergeCell ref="J506:K506"/>
    <mergeCell ref="H507:I507"/>
    <mergeCell ref="J507:K507"/>
    <mergeCell ref="H488:I488"/>
    <mergeCell ref="J488:K488"/>
    <mergeCell ref="H489:I489"/>
    <mergeCell ref="J489:K489"/>
    <mergeCell ref="H490:I490"/>
    <mergeCell ref="J490:K490"/>
    <mergeCell ref="H474:I474"/>
    <mergeCell ref="J474:K474"/>
    <mergeCell ref="H475:I475"/>
    <mergeCell ref="J475:K475"/>
    <mergeCell ref="H478:I478"/>
    <mergeCell ref="J478:K478"/>
    <mergeCell ref="J456:K456"/>
    <mergeCell ref="H456:I456"/>
    <mergeCell ref="A456:G456"/>
    <mergeCell ref="A460:K460"/>
    <mergeCell ref="H473:I473"/>
    <mergeCell ref="J473:K473"/>
    <mergeCell ref="H451:I451"/>
    <mergeCell ref="J451:K451"/>
    <mergeCell ref="H452:I452"/>
    <mergeCell ref="J452:K452"/>
    <mergeCell ref="H453:I453"/>
    <mergeCell ref="J453:K453"/>
    <mergeCell ref="H437:I437"/>
    <mergeCell ref="J437:K437"/>
    <mergeCell ref="H438:I438"/>
    <mergeCell ref="J438:K438"/>
    <mergeCell ref="H439:I439"/>
    <mergeCell ref="J439:K439"/>
    <mergeCell ref="H421:I421"/>
    <mergeCell ref="J421:K421"/>
    <mergeCell ref="H422:I422"/>
    <mergeCell ref="J422:K422"/>
    <mergeCell ref="H425:I425"/>
    <mergeCell ref="J425:K425"/>
    <mergeCell ref="H407:I407"/>
    <mergeCell ref="J407:K407"/>
    <mergeCell ref="H408:I408"/>
    <mergeCell ref="J408:K408"/>
    <mergeCell ref="H420:I420"/>
    <mergeCell ref="J420:K420"/>
    <mergeCell ref="H391:I391"/>
    <mergeCell ref="J391:K391"/>
    <mergeCell ref="H394:I394"/>
    <mergeCell ref="J394:K394"/>
    <mergeCell ref="H406:I406"/>
    <mergeCell ref="J406:K406"/>
    <mergeCell ref="H382:I382"/>
    <mergeCell ref="J382:K382"/>
    <mergeCell ref="H385:I385"/>
    <mergeCell ref="J385:K385"/>
    <mergeCell ref="H388:I388"/>
    <mergeCell ref="J388:K388"/>
    <mergeCell ref="H375:I375"/>
    <mergeCell ref="J375:K375"/>
    <mergeCell ref="H376:I376"/>
    <mergeCell ref="J376:K376"/>
    <mergeCell ref="H379:I379"/>
    <mergeCell ref="J379:K379"/>
    <mergeCell ref="H361:I361"/>
    <mergeCell ref="J361:K361"/>
    <mergeCell ref="H364:I364"/>
    <mergeCell ref="J364:K364"/>
    <mergeCell ref="H374:I374"/>
    <mergeCell ref="J374:K374"/>
    <mergeCell ref="H349:I349"/>
    <mergeCell ref="J349:K349"/>
    <mergeCell ref="H359:I359"/>
    <mergeCell ref="J359:K359"/>
    <mergeCell ref="H360:I360"/>
    <mergeCell ref="J360:K360"/>
    <mergeCell ref="H344:I344"/>
    <mergeCell ref="J344:K344"/>
    <mergeCell ref="H345:I345"/>
    <mergeCell ref="J345:K345"/>
    <mergeCell ref="H346:I346"/>
    <mergeCell ref="J346:K346"/>
    <mergeCell ref="H329:I329"/>
    <mergeCell ref="J329:K329"/>
    <mergeCell ref="H330:I330"/>
    <mergeCell ref="J330:K330"/>
    <mergeCell ref="H333:I333"/>
    <mergeCell ref="J333:K333"/>
    <mergeCell ref="H317:I317"/>
    <mergeCell ref="J317:K317"/>
    <mergeCell ref="H320:I320"/>
    <mergeCell ref="J320:K320"/>
    <mergeCell ref="H328:I328"/>
    <mergeCell ref="J328:K328"/>
    <mergeCell ref="H307:I307"/>
    <mergeCell ref="J307:K307"/>
    <mergeCell ref="H315:I315"/>
    <mergeCell ref="J315:K315"/>
    <mergeCell ref="H316:I316"/>
    <mergeCell ref="J316:K316"/>
    <mergeCell ref="H302:I302"/>
    <mergeCell ref="J302:K302"/>
    <mergeCell ref="H303:I303"/>
    <mergeCell ref="J303:K303"/>
    <mergeCell ref="H304:I304"/>
    <mergeCell ref="J304:K304"/>
    <mergeCell ref="H286:I286"/>
    <mergeCell ref="J286:K286"/>
    <mergeCell ref="H289:I289"/>
    <mergeCell ref="J289:K289"/>
    <mergeCell ref="H292:I292"/>
    <mergeCell ref="J292:K292"/>
    <mergeCell ref="H277:I277"/>
    <mergeCell ref="J277:K277"/>
    <mergeCell ref="H280:I280"/>
    <mergeCell ref="J280:K280"/>
    <mergeCell ref="H283:I283"/>
    <mergeCell ref="J283:K283"/>
    <mergeCell ref="H265:I265"/>
    <mergeCell ref="J265:K265"/>
    <mergeCell ref="H275:I275"/>
    <mergeCell ref="J275:K275"/>
    <mergeCell ref="H276:I276"/>
    <mergeCell ref="J276:K276"/>
    <mergeCell ref="H253:I253"/>
    <mergeCell ref="J253:K253"/>
    <mergeCell ref="H263:I263"/>
    <mergeCell ref="J263:K263"/>
    <mergeCell ref="H264:I264"/>
    <mergeCell ref="J264:K264"/>
    <mergeCell ref="H248:I248"/>
    <mergeCell ref="J248:K248"/>
    <mergeCell ref="H249:I249"/>
    <mergeCell ref="J249:K249"/>
    <mergeCell ref="H250:I250"/>
    <mergeCell ref="J250:K250"/>
    <mergeCell ref="H234:I234"/>
    <mergeCell ref="J234:K234"/>
    <mergeCell ref="H235:I235"/>
    <mergeCell ref="J235:K235"/>
    <mergeCell ref="H238:I238"/>
    <mergeCell ref="J238:K238"/>
    <mergeCell ref="J220:K220"/>
    <mergeCell ref="H220:I220"/>
    <mergeCell ref="A220:G220"/>
    <mergeCell ref="A224:K224"/>
    <mergeCell ref="H233:I233"/>
    <mergeCell ref="J233:K233"/>
    <mergeCell ref="H215:I215"/>
    <mergeCell ref="J215:K215"/>
    <mergeCell ref="H216:I216"/>
    <mergeCell ref="J216:K216"/>
    <mergeCell ref="H217:I217"/>
    <mergeCell ref="J217:K217"/>
    <mergeCell ref="H204:I204"/>
    <mergeCell ref="J204:K204"/>
    <mergeCell ref="H205:I205"/>
    <mergeCell ref="J205:K205"/>
    <mergeCell ref="H206:I206"/>
    <mergeCell ref="J206:K206"/>
    <mergeCell ref="H194:I194"/>
    <mergeCell ref="J194:K194"/>
    <mergeCell ref="H195:I195"/>
    <mergeCell ref="J195:K195"/>
    <mergeCell ref="H196:I196"/>
    <mergeCell ref="J196:K196"/>
    <mergeCell ref="H181:I181"/>
    <mergeCell ref="J181:K181"/>
    <mergeCell ref="H182:I182"/>
    <mergeCell ref="J182:K182"/>
    <mergeCell ref="H183:I183"/>
    <mergeCell ref="J183:K183"/>
    <mergeCell ref="H169:I169"/>
    <mergeCell ref="J169:K169"/>
    <mergeCell ref="H170:I170"/>
    <mergeCell ref="J170:K170"/>
    <mergeCell ref="H171:I171"/>
    <mergeCell ref="J171:K171"/>
    <mergeCell ref="H156:I156"/>
    <mergeCell ref="J156:K156"/>
    <mergeCell ref="H157:I157"/>
    <mergeCell ref="J157:K157"/>
    <mergeCell ref="H158:I158"/>
    <mergeCell ref="J158:K158"/>
    <mergeCell ref="H146:I146"/>
    <mergeCell ref="J146:K146"/>
    <mergeCell ref="H147:I147"/>
    <mergeCell ref="J147:K147"/>
    <mergeCell ref="H148:I148"/>
    <mergeCell ref="J148:K148"/>
    <mergeCell ref="H133:I133"/>
    <mergeCell ref="J133:K133"/>
    <mergeCell ref="H134:I134"/>
    <mergeCell ref="J134:K134"/>
    <mergeCell ref="H135:I135"/>
    <mergeCell ref="J135:K135"/>
    <mergeCell ref="H122:I122"/>
    <mergeCell ref="J122:K122"/>
    <mergeCell ref="H123:I123"/>
    <mergeCell ref="J123:K123"/>
    <mergeCell ref="H124:I124"/>
    <mergeCell ref="J124:K124"/>
    <mergeCell ref="H111:I111"/>
    <mergeCell ref="J111:K111"/>
    <mergeCell ref="H112:I112"/>
    <mergeCell ref="J112:K112"/>
    <mergeCell ref="H113:I113"/>
    <mergeCell ref="J113:K113"/>
    <mergeCell ref="H99:I99"/>
    <mergeCell ref="J99:K99"/>
    <mergeCell ref="H100:I100"/>
    <mergeCell ref="J100:K100"/>
    <mergeCell ref="H101:I101"/>
    <mergeCell ref="J101:K101"/>
    <mergeCell ref="H90:I90"/>
    <mergeCell ref="J90:K90"/>
    <mergeCell ref="H91:I91"/>
    <mergeCell ref="J91:K91"/>
    <mergeCell ref="H92:I92"/>
    <mergeCell ref="J92:K92"/>
    <mergeCell ref="H81:I81"/>
    <mergeCell ref="J81:K81"/>
    <mergeCell ref="H82:I82"/>
    <mergeCell ref="J82:K82"/>
    <mergeCell ref="H83:I83"/>
    <mergeCell ref="J83:K83"/>
    <mergeCell ref="H70:I70"/>
    <mergeCell ref="J70:K70"/>
    <mergeCell ref="H71:I71"/>
    <mergeCell ref="J71:K71"/>
    <mergeCell ref="H72:I72"/>
    <mergeCell ref="J72:K72"/>
    <mergeCell ref="H59:I59"/>
    <mergeCell ref="J59:K59"/>
    <mergeCell ref="H60:I60"/>
    <mergeCell ref="J60:K60"/>
    <mergeCell ref="H61:I61"/>
    <mergeCell ref="J61:K61"/>
    <mergeCell ref="H49:I49"/>
    <mergeCell ref="J49:K49"/>
    <mergeCell ref="H50:I50"/>
    <mergeCell ref="J50:K50"/>
    <mergeCell ref="H51:I51"/>
    <mergeCell ref="J51:K51"/>
    <mergeCell ref="A31:K31"/>
    <mergeCell ref="H39:I39"/>
    <mergeCell ref="J39:K39"/>
    <mergeCell ref="H40:I40"/>
    <mergeCell ref="J40:K40"/>
    <mergeCell ref="H41:I41"/>
    <mergeCell ref="J41:K41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33"/>
  <sheetViews>
    <sheetView workbookViewId="0">
      <selection activeCell="A429" sqref="A429:AX429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74598</v>
      </c>
      <c r="M1" s="3">
        <v>10</v>
      </c>
      <c r="N1" s="3">
        <v>12</v>
      </c>
      <c r="O1" s="3">
        <v>1</v>
      </c>
      <c r="P1" s="3">
        <v>0</v>
      </c>
      <c r="Q1" s="3">
        <v>5</v>
      </c>
    </row>
    <row r="4" spans="1:133" x14ac:dyDescent="0.2">
      <c r="A4" s="10">
        <v>1</v>
      </c>
      <c r="B4" s="10">
        <v>1</v>
      </c>
      <c r="C4" s="10">
        <v>-1</v>
      </c>
      <c r="D4" s="10"/>
      <c r="E4" s="10"/>
      <c r="F4" s="10"/>
      <c r="G4" s="10" t="s">
        <v>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5" spans="1:133" x14ac:dyDescent="0.2">
      <c r="A5" s="10">
        <v>8</v>
      </c>
      <c r="B5" s="10">
        <v>1</v>
      </c>
      <c r="C5" s="10">
        <v>-1</v>
      </c>
      <c r="D5" s="10"/>
      <c r="E5" s="10"/>
      <c r="F5" s="10"/>
      <c r="G5" s="10" t="s">
        <v>4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>
        <v>0</v>
      </c>
    </row>
    <row r="12" spans="1:133" x14ac:dyDescent="0.2">
      <c r="A12" s="10">
        <v>1</v>
      </c>
      <c r="B12" s="10">
        <v>425</v>
      </c>
      <c r="C12" s="10">
        <v>0</v>
      </c>
      <c r="D12" s="10">
        <f>ROW(A386)</f>
        <v>386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7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2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8</v>
      </c>
      <c r="AC12" s="10" t="s">
        <v>9</v>
      </c>
      <c r="AD12" s="10" t="s">
        <v>10</v>
      </c>
      <c r="AE12" s="10" t="s">
        <v>11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12</v>
      </c>
      <c r="BI12" s="10" t="s">
        <v>13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14</v>
      </c>
      <c r="BZ12" s="10" t="s">
        <v>15</v>
      </c>
      <c r="CA12" s="10" t="s">
        <v>16</v>
      </c>
      <c r="CB12" s="10" t="s">
        <v>16</v>
      </c>
      <c r="CC12" s="10" t="s">
        <v>16</v>
      </c>
      <c r="CD12" s="10" t="s">
        <v>16</v>
      </c>
      <c r="CE12" s="10" t="s">
        <v>17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82</v>
      </c>
      <c r="CL12" s="10"/>
      <c r="CM12" s="10"/>
      <c r="CN12" s="10"/>
      <c r="CO12" s="10"/>
      <c r="CP12" s="10"/>
      <c r="CQ12" s="10" t="s">
        <v>18</v>
      </c>
      <c r="CR12" s="10" t="s">
        <v>19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B386</f>
        <v>425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02-01-19</v>
      </c>
      <c r="G18" s="11" t="str">
        <f t="shared" si="0"/>
        <v>02-01-19 АУГП</v>
      </c>
      <c r="H18" s="11"/>
      <c r="I18" s="11"/>
      <c r="J18" s="11"/>
      <c r="K18" s="11"/>
      <c r="L18" s="11"/>
      <c r="M18" s="11"/>
      <c r="N18" s="11"/>
      <c r="O18" s="11">
        <f t="shared" ref="O18:AT18" si="1">O386</f>
        <v>364009.96</v>
      </c>
      <c r="P18" s="11">
        <f t="shared" si="1"/>
        <v>356815.44</v>
      </c>
      <c r="Q18" s="11">
        <f t="shared" si="1"/>
        <v>213.12</v>
      </c>
      <c r="R18" s="11">
        <f t="shared" si="1"/>
        <v>21.53</v>
      </c>
      <c r="S18" s="11">
        <f t="shared" si="1"/>
        <v>6981.4</v>
      </c>
      <c r="T18" s="11">
        <f t="shared" si="1"/>
        <v>0</v>
      </c>
      <c r="U18" s="11">
        <f t="shared" si="1"/>
        <v>571.16713245599999</v>
      </c>
      <c r="V18" s="11">
        <f t="shared" si="1"/>
        <v>0</v>
      </c>
      <c r="W18" s="11">
        <f t="shared" si="1"/>
        <v>0</v>
      </c>
      <c r="X18" s="11">
        <f t="shared" si="1"/>
        <v>6414.44</v>
      </c>
      <c r="Y18" s="11">
        <f t="shared" si="1"/>
        <v>3343.59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312261.27</v>
      </c>
      <c r="AQ18" s="11">
        <f t="shared" si="1"/>
        <v>0</v>
      </c>
      <c r="AR18" s="11">
        <f t="shared" si="1"/>
        <v>373767.99</v>
      </c>
      <c r="AS18" s="11">
        <f t="shared" si="1"/>
        <v>24325.5</v>
      </c>
      <c r="AT18" s="11">
        <f t="shared" si="1"/>
        <v>37181.22</v>
      </c>
      <c r="AU18" s="11">
        <f t="shared" ref="AU18:BZ18" si="2">AU386</f>
        <v>0</v>
      </c>
      <c r="AV18" s="11">
        <f t="shared" si="2"/>
        <v>356815.44</v>
      </c>
      <c r="AW18" s="11">
        <f t="shared" si="2"/>
        <v>44554.17</v>
      </c>
      <c r="AX18" s="11">
        <f t="shared" si="2"/>
        <v>0</v>
      </c>
      <c r="AY18" s="11">
        <f t="shared" si="2"/>
        <v>44554.17</v>
      </c>
      <c r="AZ18" s="11">
        <f t="shared" si="2"/>
        <v>312261.27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CA386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DG386</f>
        <v>2967464.39</v>
      </c>
      <c r="DH18" s="12">
        <f t="shared" si="4"/>
        <v>2570957.58</v>
      </c>
      <c r="DI18" s="12">
        <f t="shared" si="4"/>
        <v>3104.91</v>
      </c>
      <c r="DJ18" s="12">
        <f t="shared" si="4"/>
        <v>1213.23</v>
      </c>
      <c r="DK18" s="12">
        <f t="shared" si="4"/>
        <v>393401.9</v>
      </c>
      <c r="DL18" s="12">
        <f t="shared" si="4"/>
        <v>0</v>
      </c>
      <c r="DM18" s="12">
        <f t="shared" si="4"/>
        <v>571.16713245599999</v>
      </c>
      <c r="DN18" s="12">
        <f t="shared" si="4"/>
        <v>0</v>
      </c>
      <c r="DO18" s="12">
        <f t="shared" si="4"/>
        <v>0</v>
      </c>
      <c r="DP18" s="12">
        <f t="shared" si="4"/>
        <v>361454.49</v>
      </c>
      <c r="DQ18" s="12">
        <f t="shared" si="4"/>
        <v>188412.01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2351591.1</v>
      </c>
      <c r="EI18" s="12">
        <f t="shared" si="4"/>
        <v>0</v>
      </c>
      <c r="EJ18" s="12">
        <f t="shared" si="4"/>
        <v>3517330.89</v>
      </c>
      <c r="EK18" s="12">
        <f t="shared" si="4"/>
        <v>144820.94</v>
      </c>
      <c r="EL18" s="12">
        <f t="shared" si="4"/>
        <v>1020918.85</v>
      </c>
      <c r="EM18" s="12">
        <f t="shared" ref="EM18:FR18" si="5">EM386</f>
        <v>0</v>
      </c>
      <c r="EN18" s="12">
        <f t="shared" si="5"/>
        <v>2570957.58</v>
      </c>
      <c r="EO18" s="12">
        <f t="shared" si="5"/>
        <v>219366.48</v>
      </c>
      <c r="EP18" s="12">
        <f t="shared" si="5"/>
        <v>0</v>
      </c>
      <c r="EQ18" s="12">
        <f t="shared" si="5"/>
        <v>219366.48</v>
      </c>
      <c r="ER18" s="12">
        <f t="shared" si="5"/>
        <v>2351591.1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FS386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ROW(A356)</f>
        <v>356</v>
      </c>
      <c r="E20" s="10"/>
      <c r="F20" s="10" t="s">
        <v>5</v>
      </c>
      <c r="G20" s="10" t="s">
        <v>20</v>
      </c>
      <c r="H20" s="10" t="s">
        <v>3</v>
      </c>
      <c r="I20" s="10">
        <v>0</v>
      </c>
      <c r="J20" s="10" t="s">
        <v>7</v>
      </c>
      <c r="K20" s="10">
        <v>-1</v>
      </c>
      <c r="L20" s="10" t="s">
        <v>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21</v>
      </c>
      <c r="AC20" s="10" t="s">
        <v>9</v>
      </c>
      <c r="AD20" s="10" t="s">
        <v>22</v>
      </c>
      <c r="AE20" s="10" t="s">
        <v>23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B356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02-01-19</v>
      </c>
      <c r="G22" s="11" t="str">
        <f t="shared" si="7"/>
        <v>Автоматическая установка газового пожаротушения</v>
      </c>
      <c r="H22" s="11"/>
      <c r="I22" s="11"/>
      <c r="J22" s="11"/>
      <c r="K22" s="11"/>
      <c r="L22" s="11"/>
      <c r="M22" s="11"/>
      <c r="N22" s="11"/>
      <c r="O22" s="11">
        <f t="shared" ref="O22:AT22" si="8">O356</f>
        <v>364009.96</v>
      </c>
      <c r="P22" s="11">
        <f t="shared" si="8"/>
        <v>356815.44</v>
      </c>
      <c r="Q22" s="11">
        <f t="shared" si="8"/>
        <v>213.12</v>
      </c>
      <c r="R22" s="11">
        <f t="shared" si="8"/>
        <v>21.53</v>
      </c>
      <c r="S22" s="11">
        <f t="shared" si="8"/>
        <v>6981.4</v>
      </c>
      <c r="T22" s="11">
        <f t="shared" si="8"/>
        <v>0</v>
      </c>
      <c r="U22" s="11">
        <f t="shared" si="8"/>
        <v>571.16713245599999</v>
      </c>
      <c r="V22" s="11">
        <f t="shared" si="8"/>
        <v>0</v>
      </c>
      <c r="W22" s="11">
        <f t="shared" si="8"/>
        <v>0</v>
      </c>
      <c r="X22" s="11">
        <f t="shared" si="8"/>
        <v>6414.44</v>
      </c>
      <c r="Y22" s="11">
        <f t="shared" si="8"/>
        <v>3343.59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312261.27</v>
      </c>
      <c r="AQ22" s="11">
        <f t="shared" si="8"/>
        <v>0</v>
      </c>
      <c r="AR22" s="11">
        <f t="shared" si="8"/>
        <v>373767.99</v>
      </c>
      <c r="AS22" s="11">
        <f t="shared" si="8"/>
        <v>24325.5</v>
      </c>
      <c r="AT22" s="11">
        <f t="shared" si="8"/>
        <v>37181.22</v>
      </c>
      <c r="AU22" s="11">
        <f t="shared" ref="AU22:BZ22" si="9">AU356</f>
        <v>0</v>
      </c>
      <c r="AV22" s="11">
        <f t="shared" si="9"/>
        <v>356815.44</v>
      </c>
      <c r="AW22" s="11">
        <f t="shared" si="9"/>
        <v>44554.17</v>
      </c>
      <c r="AX22" s="11">
        <f t="shared" si="9"/>
        <v>0</v>
      </c>
      <c r="AY22" s="11">
        <f t="shared" si="9"/>
        <v>44554.17</v>
      </c>
      <c r="AZ22" s="11">
        <f t="shared" si="9"/>
        <v>312261.27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CA356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DG356</f>
        <v>2967464.39</v>
      </c>
      <c r="DH22" s="12">
        <f t="shared" si="11"/>
        <v>2570957.58</v>
      </c>
      <c r="DI22" s="12">
        <f t="shared" si="11"/>
        <v>3104.91</v>
      </c>
      <c r="DJ22" s="12">
        <f t="shared" si="11"/>
        <v>1213.23</v>
      </c>
      <c r="DK22" s="12">
        <f t="shared" si="11"/>
        <v>393401.9</v>
      </c>
      <c r="DL22" s="12">
        <f t="shared" si="11"/>
        <v>0</v>
      </c>
      <c r="DM22" s="12">
        <f t="shared" si="11"/>
        <v>571.16713245599999</v>
      </c>
      <c r="DN22" s="12">
        <f t="shared" si="11"/>
        <v>0</v>
      </c>
      <c r="DO22" s="12">
        <f t="shared" si="11"/>
        <v>0</v>
      </c>
      <c r="DP22" s="12">
        <f t="shared" si="11"/>
        <v>361454.49</v>
      </c>
      <c r="DQ22" s="12">
        <f t="shared" si="11"/>
        <v>188412.01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2351591.1</v>
      </c>
      <c r="EI22" s="12">
        <f t="shared" si="11"/>
        <v>0</v>
      </c>
      <c r="EJ22" s="12">
        <f t="shared" si="11"/>
        <v>3517330.89</v>
      </c>
      <c r="EK22" s="12">
        <f t="shared" si="11"/>
        <v>144820.94</v>
      </c>
      <c r="EL22" s="12">
        <f t="shared" si="11"/>
        <v>1020918.85</v>
      </c>
      <c r="EM22" s="12">
        <f t="shared" ref="EM22:FR22" si="12">EM356</f>
        <v>0</v>
      </c>
      <c r="EN22" s="12">
        <f t="shared" si="12"/>
        <v>2570957.58</v>
      </c>
      <c r="EO22" s="12">
        <f t="shared" si="12"/>
        <v>219366.48</v>
      </c>
      <c r="EP22" s="12">
        <f t="shared" si="12"/>
        <v>0</v>
      </c>
      <c r="EQ22" s="12">
        <f t="shared" si="12"/>
        <v>219366.48</v>
      </c>
      <c r="ER22" s="12">
        <f t="shared" si="12"/>
        <v>2351591.1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FS356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ROW(A65)</f>
        <v>65</v>
      </c>
      <c r="E24" s="10"/>
      <c r="F24" s="10" t="s">
        <v>24</v>
      </c>
      <c r="G24" s="10" t="s">
        <v>25</v>
      </c>
      <c r="H24" s="10" t="s">
        <v>3</v>
      </c>
      <c r="I24" s="10">
        <v>0</v>
      </c>
      <c r="J24" s="10"/>
      <c r="K24" s="10">
        <v>-1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B65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Демонтажные работы (Письмо от АНО «РГТ» об утверждении объёмов демонтажных работ)</v>
      </c>
      <c r="H26" s="11"/>
      <c r="I26" s="11"/>
      <c r="J26" s="11"/>
      <c r="K26" s="11"/>
      <c r="L26" s="11"/>
      <c r="M26" s="11"/>
      <c r="N26" s="11"/>
      <c r="O26" s="11">
        <f t="shared" ref="O26:AT26" si="15">O65</f>
        <v>1792.39</v>
      </c>
      <c r="P26" s="11">
        <f t="shared" si="15"/>
        <v>137.83000000000001</v>
      </c>
      <c r="Q26" s="11">
        <f t="shared" si="15"/>
        <v>56.61</v>
      </c>
      <c r="R26" s="11">
        <f t="shared" si="15"/>
        <v>6.52</v>
      </c>
      <c r="S26" s="11">
        <f t="shared" si="15"/>
        <v>1597.95</v>
      </c>
      <c r="T26" s="11">
        <f t="shared" si="15"/>
        <v>0</v>
      </c>
      <c r="U26" s="11">
        <f t="shared" si="15"/>
        <v>132.07903948799998</v>
      </c>
      <c r="V26" s="11">
        <f t="shared" si="15"/>
        <v>0</v>
      </c>
      <c r="W26" s="11">
        <f t="shared" si="15"/>
        <v>0</v>
      </c>
      <c r="X26" s="11">
        <f t="shared" si="15"/>
        <v>1466.68</v>
      </c>
      <c r="Y26" s="11">
        <f t="shared" si="15"/>
        <v>769.13</v>
      </c>
      <c r="Z26" s="11">
        <f t="shared" si="15"/>
        <v>0</v>
      </c>
      <c r="AA26" s="11">
        <f t="shared" si="15"/>
        <v>0</v>
      </c>
      <c r="AB26" s="11">
        <f t="shared" si="15"/>
        <v>1792.39</v>
      </c>
      <c r="AC26" s="11">
        <f t="shared" si="15"/>
        <v>137.83000000000001</v>
      </c>
      <c r="AD26" s="11">
        <f t="shared" si="15"/>
        <v>56.61</v>
      </c>
      <c r="AE26" s="11">
        <f t="shared" si="15"/>
        <v>6.52</v>
      </c>
      <c r="AF26" s="11">
        <f t="shared" si="15"/>
        <v>1597.95</v>
      </c>
      <c r="AG26" s="11">
        <f t="shared" si="15"/>
        <v>0</v>
      </c>
      <c r="AH26" s="11">
        <f t="shared" si="15"/>
        <v>132.07903948799998</v>
      </c>
      <c r="AI26" s="11">
        <f t="shared" si="15"/>
        <v>0</v>
      </c>
      <c r="AJ26" s="11">
        <f t="shared" si="15"/>
        <v>0</v>
      </c>
      <c r="AK26" s="11">
        <f t="shared" si="15"/>
        <v>1466.68</v>
      </c>
      <c r="AL26" s="11">
        <f t="shared" si="15"/>
        <v>769.13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0</v>
      </c>
      <c r="AQ26" s="11">
        <f t="shared" si="15"/>
        <v>0</v>
      </c>
      <c r="AR26" s="11">
        <f t="shared" si="15"/>
        <v>4028.2</v>
      </c>
      <c r="AS26" s="11">
        <f t="shared" si="15"/>
        <v>770.88</v>
      </c>
      <c r="AT26" s="11">
        <f t="shared" si="15"/>
        <v>3257.32</v>
      </c>
      <c r="AU26" s="11">
        <f t="shared" ref="AU26:BZ26" si="16">AU65</f>
        <v>0</v>
      </c>
      <c r="AV26" s="11">
        <f t="shared" si="16"/>
        <v>137.83000000000001</v>
      </c>
      <c r="AW26" s="11">
        <f t="shared" si="16"/>
        <v>137.83000000000001</v>
      </c>
      <c r="AX26" s="11">
        <f t="shared" si="16"/>
        <v>0</v>
      </c>
      <c r="AY26" s="11">
        <f t="shared" si="16"/>
        <v>137.83000000000001</v>
      </c>
      <c r="AZ26" s="11">
        <f t="shared" si="16"/>
        <v>0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0</v>
      </c>
      <c r="BZ26" s="11">
        <f t="shared" si="16"/>
        <v>0</v>
      </c>
      <c r="CA26" s="11">
        <f t="shared" ref="CA26:DF26" si="17">CA65</f>
        <v>4028.2</v>
      </c>
      <c r="CB26" s="11">
        <f t="shared" si="17"/>
        <v>770.88</v>
      </c>
      <c r="CC26" s="11">
        <f t="shared" si="17"/>
        <v>3257.32</v>
      </c>
      <c r="CD26" s="11">
        <f t="shared" si="17"/>
        <v>0</v>
      </c>
      <c r="CE26" s="11">
        <f t="shared" si="17"/>
        <v>137.83000000000001</v>
      </c>
      <c r="CF26" s="11">
        <f t="shared" si="17"/>
        <v>137.83000000000001</v>
      </c>
      <c r="CG26" s="11">
        <f t="shared" si="17"/>
        <v>0</v>
      </c>
      <c r="CH26" s="11">
        <f t="shared" si="17"/>
        <v>137.83000000000001</v>
      </c>
      <c r="CI26" s="11">
        <f t="shared" si="17"/>
        <v>0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DG65</f>
        <v>91756.87</v>
      </c>
      <c r="DH26" s="12">
        <f t="shared" si="18"/>
        <v>848.58</v>
      </c>
      <c r="DI26" s="12">
        <f t="shared" si="18"/>
        <v>863.8</v>
      </c>
      <c r="DJ26" s="12">
        <f t="shared" si="18"/>
        <v>367.4</v>
      </c>
      <c r="DK26" s="12">
        <f t="shared" si="18"/>
        <v>90044.49</v>
      </c>
      <c r="DL26" s="12">
        <f t="shared" si="18"/>
        <v>0</v>
      </c>
      <c r="DM26" s="12">
        <f t="shared" si="18"/>
        <v>132.07903948799998</v>
      </c>
      <c r="DN26" s="12">
        <f t="shared" si="18"/>
        <v>0</v>
      </c>
      <c r="DO26" s="12">
        <f t="shared" si="18"/>
        <v>0</v>
      </c>
      <c r="DP26" s="12">
        <f t="shared" si="18"/>
        <v>82648.31</v>
      </c>
      <c r="DQ26" s="12">
        <f t="shared" si="18"/>
        <v>43341.39</v>
      </c>
      <c r="DR26" s="12">
        <f t="shared" si="18"/>
        <v>0</v>
      </c>
      <c r="DS26" s="12">
        <f t="shared" si="18"/>
        <v>0</v>
      </c>
      <c r="DT26" s="12">
        <f t="shared" si="18"/>
        <v>91756.87</v>
      </c>
      <c r="DU26" s="12">
        <f t="shared" si="18"/>
        <v>848.58</v>
      </c>
      <c r="DV26" s="12">
        <f t="shared" si="18"/>
        <v>863.8</v>
      </c>
      <c r="DW26" s="12">
        <f t="shared" si="18"/>
        <v>367.4</v>
      </c>
      <c r="DX26" s="12">
        <f t="shared" si="18"/>
        <v>90044.49</v>
      </c>
      <c r="DY26" s="12">
        <f t="shared" si="18"/>
        <v>0</v>
      </c>
      <c r="DZ26" s="12">
        <f t="shared" si="18"/>
        <v>132.07903948799998</v>
      </c>
      <c r="EA26" s="12">
        <f t="shared" si="18"/>
        <v>0</v>
      </c>
      <c r="EB26" s="12">
        <f t="shared" si="18"/>
        <v>0</v>
      </c>
      <c r="EC26" s="12">
        <f t="shared" si="18"/>
        <v>82648.31</v>
      </c>
      <c r="ED26" s="12">
        <f t="shared" si="18"/>
        <v>43341.39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0</v>
      </c>
      <c r="EI26" s="12">
        <f t="shared" si="18"/>
        <v>0</v>
      </c>
      <c r="EJ26" s="12">
        <f t="shared" si="18"/>
        <v>217746.57</v>
      </c>
      <c r="EK26" s="12">
        <f t="shared" si="18"/>
        <v>34975.129999999997</v>
      </c>
      <c r="EL26" s="12">
        <f t="shared" si="18"/>
        <v>182771.44</v>
      </c>
      <c r="EM26" s="12">
        <f t="shared" ref="EM26:FR26" si="19">EM65</f>
        <v>0</v>
      </c>
      <c r="EN26" s="12">
        <f t="shared" si="19"/>
        <v>848.58</v>
      </c>
      <c r="EO26" s="12">
        <f t="shared" si="19"/>
        <v>848.58</v>
      </c>
      <c r="EP26" s="12">
        <f t="shared" si="19"/>
        <v>0</v>
      </c>
      <c r="EQ26" s="12">
        <f t="shared" si="19"/>
        <v>848.58</v>
      </c>
      <c r="ER26" s="12">
        <f t="shared" si="19"/>
        <v>0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0</v>
      </c>
      <c r="FR26" s="12">
        <f t="shared" si="19"/>
        <v>0</v>
      </c>
      <c r="FS26" s="12">
        <f t="shared" ref="FS26:GX26" si="20">FS65</f>
        <v>217746.57</v>
      </c>
      <c r="FT26" s="12">
        <f t="shared" si="20"/>
        <v>34975.129999999997</v>
      </c>
      <c r="FU26" s="12">
        <f t="shared" si="20"/>
        <v>182771.44</v>
      </c>
      <c r="FV26" s="12">
        <f t="shared" si="20"/>
        <v>0</v>
      </c>
      <c r="FW26" s="12">
        <f t="shared" si="20"/>
        <v>848.58</v>
      </c>
      <c r="FX26" s="12">
        <f t="shared" si="20"/>
        <v>848.58</v>
      </c>
      <c r="FY26" s="12">
        <f t="shared" si="20"/>
        <v>0</v>
      </c>
      <c r="FZ26" s="12">
        <f t="shared" si="20"/>
        <v>848.58</v>
      </c>
      <c r="GA26" s="12">
        <f t="shared" si="20"/>
        <v>0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ROW(SmtRes!A1)</f>
        <v>1</v>
      </c>
      <c r="D28" s="2">
        <f>ROW(EtalonRes!A1)</f>
        <v>1</v>
      </c>
      <c r="E28" s="2" t="s">
        <v>26</v>
      </c>
      <c r="F28" s="2" t="s">
        <v>27</v>
      </c>
      <c r="G28" s="2" t="s">
        <v>28</v>
      </c>
      <c r="H28" s="2" t="s">
        <v>29</v>
      </c>
      <c r="I28" s="2">
        <v>8</v>
      </c>
      <c r="J28" s="2">
        <v>0</v>
      </c>
      <c r="K28" s="2">
        <v>8</v>
      </c>
      <c r="L28" s="2"/>
      <c r="M28" s="2"/>
      <c r="N28" s="2"/>
      <c r="O28" s="2">
        <f t="shared" ref="O28:O63" si="21">ROUND(CP28,2)</f>
        <v>69.62</v>
      </c>
      <c r="P28" s="2">
        <f t="shared" ref="P28:P63" si="22">ROUND((ROUND((AC28*AW28*I28),2)*BC28),2)</f>
        <v>0</v>
      </c>
      <c r="Q28" s="2">
        <f t="shared" ref="Q28:Q47" si="23">(ROUND((ROUND(((((ET28*1.2)*0.3))*AV28*I28),2)*BB28),2)+ROUND((ROUND(((AE28-(((EU28*1.2)*0.3)))*AV28*I28),2)*BS28),2))</f>
        <v>0.15</v>
      </c>
      <c r="R28" s="2">
        <f t="shared" ref="R28:R47" si="24">(ROUND((ROUND(((((EU28*1.2)*0.3))*AV28*I28),2)*BS28),2)+ROUND((ROUND(((AE28-(((EU28*1.2)*0.3)))*AV28*I28),2)*BS28),2))</f>
        <v>0.03</v>
      </c>
      <c r="S28" s="2">
        <f t="shared" ref="S28:S63" si="25">ROUND((ROUND((AF28*AV28*I28),2)*BA28),2)</f>
        <v>69.47</v>
      </c>
      <c r="T28" s="2">
        <f t="shared" ref="T28:T63" si="26">ROUND(CU28*I28,2)</f>
        <v>0</v>
      </c>
      <c r="U28" s="2">
        <f t="shared" ref="U28:U63" si="27">CV28*I28</f>
        <v>5.4276479999999996</v>
      </c>
      <c r="V28" s="2">
        <f t="shared" ref="V28:V63" si="28">CW28*I28</f>
        <v>0</v>
      </c>
      <c r="W28" s="2">
        <f t="shared" ref="W28:W63" si="29">ROUND(CX28*I28,2)</f>
        <v>0</v>
      </c>
      <c r="X28" s="2">
        <f t="shared" ref="X28:X47" si="30">(ROUND((((S28+ROUND((ROUND(((((EU28*1.2)*0.3))*AV28*I28),2)*BS28),2))*AT28)/100),2)+ROUND(((ROUND((ROUND(((AE28-(((EU28*1.2)*0.3)))*AV28*I28),2)*BS28),2)*AT28)/100),2))</f>
        <v>62.55</v>
      </c>
      <c r="Y28" s="2">
        <f t="shared" ref="Y28:Y47" si="31">(ROUND((((S28+ROUND((ROUND(((((EU28*1.2)*0.3))*AV28*I28),2)*BS28),2))*AU28)/100),2)+ROUND(((ROUND((ROUND(((AE28-(((EU28*1.2)*0.3)))*AV28*I28),2)*BS28),2)*AU28)/100),2))</f>
        <v>31.97</v>
      </c>
      <c r="Z28" s="2"/>
      <c r="AA28" s="2">
        <v>57248835</v>
      </c>
      <c r="AB28" s="2">
        <f t="shared" ref="AB28:AB63" si="32">ROUND((AC28+AD28+AF28),6)</f>
        <v>8.3124000000000002</v>
      </c>
      <c r="AC28" s="2">
        <f t="shared" ref="AC28:AC47" si="33">ROUND((((ES28*1)*0)),6)</f>
        <v>0</v>
      </c>
      <c r="AD28" s="2">
        <f t="shared" ref="AD28:AD47" si="34">ROUND((((((ET28*1.2)*0.3))-(((EU28*1.2)*0.3)))+AE28),6)</f>
        <v>1.7999999999999999E-2</v>
      </c>
      <c r="AE28" s="2">
        <f t="shared" ref="AE28:AE47" si="35">ROUND((((EU28*1.2)*0.3)),6)</f>
        <v>3.5999999999999999E-3</v>
      </c>
      <c r="AF28" s="2">
        <f t="shared" ref="AF28:AF47" si="36">ROUND((((EV28*1.2)*0.3)),6)</f>
        <v>8.2943999999999996</v>
      </c>
      <c r="AG28" s="2">
        <f t="shared" ref="AG28:AG63" si="37">ROUND((AP28),6)</f>
        <v>0</v>
      </c>
      <c r="AH28" s="2">
        <f t="shared" ref="AH28:AH47" si="38">(((EW28*1.2)*0.3))</f>
        <v>0.64800000000000002</v>
      </c>
      <c r="AI28" s="2">
        <f t="shared" ref="AI28:AI47" si="39">(((EX28*1.2)*0.3))</f>
        <v>0</v>
      </c>
      <c r="AJ28" s="2">
        <f t="shared" ref="AJ28:AJ63" si="40">(AS28)</f>
        <v>0</v>
      </c>
      <c r="AK28" s="2">
        <v>26.52</v>
      </c>
      <c r="AL28" s="2">
        <v>3.43</v>
      </c>
      <c r="AM28" s="2">
        <v>0.05</v>
      </c>
      <c r="AN28" s="2">
        <v>0.01</v>
      </c>
      <c r="AO28" s="2">
        <v>23.04</v>
      </c>
      <c r="AP28" s="2">
        <v>0</v>
      </c>
      <c r="AQ28" s="2">
        <v>1.8</v>
      </c>
      <c r="AR28" s="2">
        <v>0</v>
      </c>
      <c r="AS28" s="2">
        <v>0</v>
      </c>
      <c r="AT28" s="2">
        <v>90</v>
      </c>
      <c r="AU28" s="2">
        <v>46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30</v>
      </c>
      <c r="BK28" s="2"/>
      <c r="BL28" s="2"/>
      <c r="BM28" s="2">
        <v>68</v>
      </c>
      <c r="BN28" s="2">
        <v>0</v>
      </c>
      <c r="BO28" s="2" t="s">
        <v>27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90</v>
      </c>
      <c r="CA28" s="2">
        <v>46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818</v>
      </c>
      <c r="CO28" s="2">
        <v>0</v>
      </c>
      <c r="CP28" s="2">
        <f t="shared" ref="CP28:CP63" si="41">(P28+Q28+S28)</f>
        <v>69.62</v>
      </c>
      <c r="CQ28" s="2">
        <f t="shared" ref="CQ28:CQ63" si="42">ROUND((ROUND((AC28*AW28*1),2)*BC28),2)</f>
        <v>0</v>
      </c>
      <c r="CR28" s="2">
        <f t="shared" ref="CR28:CR47" si="43">(ROUND((ROUND(((((ET28*1.2)*0.3))*AV28*1),2)*BB28),2)+ROUND((ROUND(((AE28-(((EU28*1.2)*0.3)))*AV28*1),2)*BS28),2))</f>
        <v>0.02</v>
      </c>
      <c r="CS28" s="2">
        <f t="shared" ref="CS28:CS47" si="44">(ROUND((ROUND(((((EU28*1.2)*0.3))*AV28*1),2)*BS28),2)+ROUND((ROUND(((AE28-(((EU28*1.2)*0.3)))*AV28*1),2)*BS28),2))</f>
        <v>0</v>
      </c>
      <c r="CT28" s="2">
        <f t="shared" ref="CT28:CT63" si="45">ROUND((ROUND((AF28*AV28*1),2)*BA28),2)</f>
        <v>8.68</v>
      </c>
      <c r="CU28" s="2">
        <f t="shared" ref="CU28:CU63" si="46">AG28</f>
        <v>0</v>
      </c>
      <c r="CV28" s="2">
        <f t="shared" ref="CV28:CV63" si="47">(AH28*AV28)</f>
        <v>0.67845599999999995</v>
      </c>
      <c r="CW28" s="2">
        <f t="shared" ref="CW28:CW63" si="48">AI28</f>
        <v>0</v>
      </c>
      <c r="CX28" s="2">
        <f t="shared" ref="CX28:CX63" si="49">AJ28</f>
        <v>0</v>
      </c>
      <c r="CY28" s="2">
        <f t="shared" ref="CY28:CY47" si="50">(ROUND((((S28+ROUND((ROUND(((((EU28*1.2)*0.3))*AV28*1),2)*BS28),2))*AT28)/100),2)+ROUND(((ROUND((ROUND(((AE28-(((EU28*1.2)*0.3)))*AV28*1),2)*BS28),2)*AT28)/100),2))</f>
        <v>62.52</v>
      </c>
      <c r="CZ28" s="2">
        <f t="shared" ref="CZ28:CZ47" si="51">(ROUND((((S28+ROUND((ROUND(((((EU28*1.2)*0.3))*AV28*1),2)*BS28),2))*AU28)/100),2)+ROUND(((ROUND((ROUND(((AE28-(((EU28*1.2)*0.3)))*AV28*1),2)*BS28),2)*AU28)/100),2))</f>
        <v>31.96</v>
      </c>
      <c r="DA28" s="2"/>
      <c r="DB28" s="2">
        <v>1</v>
      </c>
      <c r="DC28" s="2" t="s">
        <v>3</v>
      </c>
      <c r="DD28" s="2" t="s">
        <v>31</v>
      </c>
      <c r="DE28" s="2" t="s">
        <v>32</v>
      </c>
      <c r="DF28" s="2" t="s">
        <v>32</v>
      </c>
      <c r="DG28" s="2" t="s">
        <v>32</v>
      </c>
      <c r="DH28" s="2" t="s">
        <v>3</v>
      </c>
      <c r="DI28" s="2" t="s">
        <v>32</v>
      </c>
      <c r="DJ28" s="2" t="s">
        <v>32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29</v>
      </c>
      <c r="DW28" s="2" t="s">
        <v>29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57248652</v>
      </c>
      <c r="EF28" s="2">
        <v>40</v>
      </c>
      <c r="EG28" s="2" t="s">
        <v>33</v>
      </c>
      <c r="EH28" s="2">
        <v>0</v>
      </c>
      <c r="EI28" s="2" t="s">
        <v>3</v>
      </c>
      <c r="EJ28" s="2">
        <v>2</v>
      </c>
      <c r="EK28" s="2">
        <v>68</v>
      </c>
      <c r="EL28" s="2" t="s">
        <v>34</v>
      </c>
      <c r="EM28" s="2" t="s">
        <v>35</v>
      </c>
      <c r="EN28" s="2"/>
      <c r="EO28" s="2" t="s">
        <v>36</v>
      </c>
      <c r="EP28" s="2"/>
      <c r="EQ28" s="2">
        <v>131072</v>
      </c>
      <c r="ER28" s="2">
        <v>26.52</v>
      </c>
      <c r="ES28" s="2">
        <v>3.43</v>
      </c>
      <c r="ET28" s="2">
        <v>0.05</v>
      </c>
      <c r="EU28" s="2">
        <v>0.01</v>
      </c>
      <c r="EV28" s="2">
        <v>23.04</v>
      </c>
      <c r="EW28" s="2">
        <v>1.8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90</v>
      </c>
      <c r="FY28" s="2">
        <v>46</v>
      </c>
      <c r="FZ28" s="2"/>
      <c r="GA28" s="2" t="s">
        <v>3</v>
      </c>
      <c r="GB28" s="2"/>
      <c r="GC28" s="2"/>
      <c r="GD28" s="2">
        <v>1</v>
      </c>
      <c r="GE28" s="2"/>
      <c r="GF28" s="2">
        <v>-2080333219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63" si="52">ROUND(IF(AND(BH28=3,BI28=3,FS28&lt;&gt;0),P28,0),2)</f>
        <v>0</v>
      </c>
      <c r="GM28" s="2">
        <f t="shared" ref="GM28:GM63" si="53">ROUND(O28+X28+Y28,2)+GX28</f>
        <v>164.14</v>
      </c>
      <c r="GN28" s="2">
        <f t="shared" ref="GN28:GN63" si="54">IF(OR(BI28=0,BI28=1),GM28-GX28,0)</f>
        <v>0</v>
      </c>
      <c r="GO28" s="2">
        <f t="shared" ref="GO28:GO63" si="55">IF(BI28=2,GM28-GX28,0)</f>
        <v>164.14</v>
      </c>
      <c r="GP28" s="2">
        <f t="shared" ref="GP28:GP63" si="56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63" si="57">ROUND((GT28),6)</f>
        <v>0</v>
      </c>
      <c r="GW28" s="2">
        <v>1</v>
      </c>
      <c r="GX28" s="2">
        <f t="shared" ref="GX28:GX63" si="58">ROUND(HC28*I28,2)</f>
        <v>0</v>
      </c>
      <c r="GY28" s="2"/>
      <c r="GZ28" s="2"/>
      <c r="HA28" s="2">
        <v>0</v>
      </c>
      <c r="HB28" s="2">
        <v>0</v>
      </c>
      <c r="HC28" s="2">
        <f t="shared" ref="HC28:HC63" si="59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ROW(SmtRes!A2)</f>
        <v>2</v>
      </c>
      <c r="D29" s="3">
        <f>ROW(EtalonRes!A2)</f>
        <v>2</v>
      </c>
      <c r="E29" s="3" t="s">
        <v>26</v>
      </c>
      <c r="F29" s="3" t="s">
        <v>27</v>
      </c>
      <c r="G29" s="3" t="s">
        <v>28</v>
      </c>
      <c r="H29" s="3" t="s">
        <v>29</v>
      </c>
      <c r="I29" s="3">
        <v>8</v>
      </c>
      <c r="J29" s="3">
        <v>0</v>
      </c>
      <c r="K29" s="3">
        <v>8</v>
      </c>
      <c r="O29" s="3">
        <f t="shared" si="21"/>
        <v>3917.63</v>
      </c>
      <c r="P29" s="3">
        <f t="shared" si="22"/>
        <v>0</v>
      </c>
      <c r="Q29" s="3">
        <f t="shared" si="23"/>
        <v>3</v>
      </c>
      <c r="R29" s="3">
        <f t="shared" si="24"/>
        <v>1.69</v>
      </c>
      <c r="S29" s="3">
        <f t="shared" si="25"/>
        <v>3914.63</v>
      </c>
      <c r="T29" s="3">
        <f t="shared" si="26"/>
        <v>0</v>
      </c>
      <c r="U29" s="3">
        <f t="shared" si="27"/>
        <v>5.4276479999999996</v>
      </c>
      <c r="V29" s="3">
        <f t="shared" si="28"/>
        <v>0</v>
      </c>
      <c r="W29" s="3">
        <f t="shared" si="29"/>
        <v>0</v>
      </c>
      <c r="X29" s="3">
        <f t="shared" si="30"/>
        <v>3524.69</v>
      </c>
      <c r="Y29" s="3">
        <f t="shared" si="31"/>
        <v>1801.51</v>
      </c>
      <c r="AA29" s="3">
        <v>57248837</v>
      </c>
      <c r="AB29" s="3">
        <f t="shared" si="32"/>
        <v>8.3124000000000002</v>
      </c>
      <c r="AC29" s="3">
        <f t="shared" si="33"/>
        <v>0</v>
      </c>
      <c r="AD29" s="3">
        <f t="shared" si="34"/>
        <v>1.7999999999999999E-2</v>
      </c>
      <c r="AE29" s="3">
        <f t="shared" si="35"/>
        <v>3.5999999999999999E-3</v>
      </c>
      <c r="AF29" s="3">
        <f t="shared" si="36"/>
        <v>8.2943999999999996</v>
      </c>
      <c r="AG29" s="3">
        <f t="shared" si="37"/>
        <v>0</v>
      </c>
      <c r="AH29" s="3">
        <f t="shared" si="38"/>
        <v>0.64800000000000002</v>
      </c>
      <c r="AI29" s="3">
        <f t="shared" si="39"/>
        <v>0</v>
      </c>
      <c r="AJ29" s="3">
        <f t="shared" si="40"/>
        <v>0</v>
      </c>
      <c r="AK29" s="3">
        <v>26.52</v>
      </c>
      <c r="AL29" s="3">
        <v>3.43</v>
      </c>
      <c r="AM29" s="3">
        <v>0.05</v>
      </c>
      <c r="AN29" s="3">
        <v>0.01</v>
      </c>
      <c r="AO29" s="3">
        <v>23.04</v>
      </c>
      <c r="AP29" s="3">
        <v>0</v>
      </c>
      <c r="AQ29" s="3">
        <v>1.8</v>
      </c>
      <c r="AR29" s="3">
        <v>0</v>
      </c>
      <c r="AS29" s="3">
        <v>0</v>
      </c>
      <c r="AT29" s="3">
        <v>90</v>
      </c>
      <c r="AU29" s="3">
        <v>46</v>
      </c>
      <c r="AV29" s="3">
        <v>1.0469999999999999</v>
      </c>
      <c r="AW29" s="3">
        <v>1</v>
      </c>
      <c r="AZ29" s="3">
        <v>1</v>
      </c>
      <c r="BA29" s="3">
        <v>56.35</v>
      </c>
      <c r="BB29" s="3">
        <v>20</v>
      </c>
      <c r="BC29" s="3">
        <v>9.84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30</v>
      </c>
      <c r="BM29" s="3">
        <v>68</v>
      </c>
      <c r="BN29" s="3">
        <v>0</v>
      </c>
      <c r="BO29" s="3" t="s">
        <v>27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90</v>
      </c>
      <c r="CA29" s="3">
        <v>46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818</v>
      </c>
      <c r="CO29" s="3">
        <v>0</v>
      </c>
      <c r="CP29" s="3">
        <f t="shared" si="41"/>
        <v>3917.63</v>
      </c>
      <c r="CQ29" s="3">
        <f t="shared" si="42"/>
        <v>0</v>
      </c>
      <c r="CR29" s="3">
        <f t="shared" si="43"/>
        <v>0.4</v>
      </c>
      <c r="CS29" s="3">
        <f t="shared" si="44"/>
        <v>0</v>
      </c>
      <c r="CT29" s="3">
        <f t="shared" si="45"/>
        <v>489.12</v>
      </c>
      <c r="CU29" s="3">
        <f t="shared" si="46"/>
        <v>0</v>
      </c>
      <c r="CV29" s="3">
        <f t="shared" si="47"/>
        <v>0.67845599999999995</v>
      </c>
      <c r="CW29" s="3">
        <f t="shared" si="48"/>
        <v>0</v>
      </c>
      <c r="CX29" s="3">
        <f t="shared" si="49"/>
        <v>0</v>
      </c>
      <c r="CY29" s="3">
        <f t="shared" si="50"/>
        <v>3523.17</v>
      </c>
      <c r="CZ29" s="3">
        <f t="shared" si="51"/>
        <v>1800.73</v>
      </c>
      <c r="DB29" s="3">
        <v>3</v>
      </c>
      <c r="DC29" s="3" t="s">
        <v>3</v>
      </c>
      <c r="DD29" s="3" t="s">
        <v>31</v>
      </c>
      <c r="DE29" s="3" t="s">
        <v>32</v>
      </c>
      <c r="DF29" s="3" t="s">
        <v>32</v>
      </c>
      <c r="DG29" s="3" t="s">
        <v>32</v>
      </c>
      <c r="DH29" s="3" t="s">
        <v>3</v>
      </c>
      <c r="DI29" s="3" t="s">
        <v>32</v>
      </c>
      <c r="DJ29" s="3" t="s">
        <v>32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29</v>
      </c>
      <c r="DW29" s="3" t="s">
        <v>29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57248652</v>
      </c>
      <c r="EF29" s="3">
        <v>40</v>
      </c>
      <c r="EG29" s="3" t="s">
        <v>33</v>
      </c>
      <c r="EH29" s="3">
        <v>0</v>
      </c>
      <c r="EI29" s="3" t="s">
        <v>3</v>
      </c>
      <c r="EJ29" s="3">
        <v>2</v>
      </c>
      <c r="EK29" s="3">
        <v>68</v>
      </c>
      <c r="EL29" s="3" t="s">
        <v>34</v>
      </c>
      <c r="EM29" s="3" t="s">
        <v>35</v>
      </c>
      <c r="EO29" s="3" t="s">
        <v>36</v>
      </c>
      <c r="EQ29" s="3">
        <v>131072</v>
      </c>
      <c r="ER29" s="3">
        <v>26.52</v>
      </c>
      <c r="ES29" s="3">
        <v>3.43</v>
      </c>
      <c r="ET29" s="3">
        <v>0.05</v>
      </c>
      <c r="EU29" s="3">
        <v>0.01</v>
      </c>
      <c r="EV29" s="3">
        <v>23.04</v>
      </c>
      <c r="EW29" s="3">
        <v>1.8</v>
      </c>
      <c r="EX29" s="3">
        <v>0</v>
      </c>
      <c r="EY29" s="3">
        <v>0</v>
      </c>
      <c r="FQ29" s="3">
        <v>0</v>
      </c>
      <c r="FR29" s="3">
        <v>0</v>
      </c>
      <c r="FS29" s="3">
        <v>0</v>
      </c>
      <c r="FX29" s="3">
        <v>90</v>
      </c>
      <c r="FY29" s="3">
        <v>46</v>
      </c>
      <c r="GA29" s="3" t="s">
        <v>3</v>
      </c>
      <c r="GD29" s="3">
        <v>1</v>
      </c>
      <c r="GF29" s="3">
        <v>-2080333219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52"/>
        <v>0</v>
      </c>
      <c r="GM29" s="3">
        <f t="shared" si="53"/>
        <v>9243.83</v>
      </c>
      <c r="GN29" s="3">
        <f t="shared" si="54"/>
        <v>0</v>
      </c>
      <c r="GO29" s="3">
        <f t="shared" si="55"/>
        <v>9243.83</v>
      </c>
      <c r="GP29" s="3">
        <f t="shared" si="56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57"/>
        <v>0</v>
      </c>
      <c r="GW29" s="3">
        <v>1</v>
      </c>
      <c r="GX29" s="3">
        <f t="shared" si="58"/>
        <v>0</v>
      </c>
      <c r="HA29" s="3">
        <v>0</v>
      </c>
      <c r="HB29" s="3">
        <v>0</v>
      </c>
      <c r="HC29" s="3">
        <f t="shared" si="59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ROW(SmtRes!A3)</f>
        <v>3</v>
      </c>
      <c r="D30" s="2">
        <f>ROW(EtalonRes!A3)</f>
        <v>3</v>
      </c>
      <c r="E30" s="2" t="s">
        <v>37</v>
      </c>
      <c r="F30" s="2" t="s">
        <v>38</v>
      </c>
      <c r="G30" s="2" t="s">
        <v>39</v>
      </c>
      <c r="H30" s="2" t="s">
        <v>29</v>
      </c>
      <c r="I30" s="2">
        <v>1</v>
      </c>
      <c r="J30" s="2">
        <v>0</v>
      </c>
      <c r="K30" s="2">
        <v>1</v>
      </c>
      <c r="L30" s="2"/>
      <c r="M30" s="2"/>
      <c r="N30" s="2"/>
      <c r="O30" s="2">
        <f t="shared" si="21"/>
        <v>58.23</v>
      </c>
      <c r="P30" s="2">
        <f t="shared" si="22"/>
        <v>0</v>
      </c>
      <c r="Q30" s="2">
        <f t="shared" si="23"/>
        <v>0.02</v>
      </c>
      <c r="R30" s="2">
        <f t="shared" si="24"/>
        <v>0</v>
      </c>
      <c r="S30" s="2">
        <f t="shared" si="25"/>
        <v>58.21</v>
      </c>
      <c r="T30" s="2">
        <f t="shared" si="26"/>
        <v>0</v>
      </c>
      <c r="U30" s="2">
        <f t="shared" si="27"/>
        <v>4.4099639999999996</v>
      </c>
      <c r="V30" s="2">
        <f t="shared" si="28"/>
        <v>0</v>
      </c>
      <c r="W30" s="2">
        <f t="shared" si="29"/>
        <v>0</v>
      </c>
      <c r="X30" s="2">
        <f t="shared" si="30"/>
        <v>52.39</v>
      </c>
      <c r="Y30" s="2">
        <f t="shared" si="31"/>
        <v>26.78</v>
      </c>
      <c r="Z30" s="2"/>
      <c r="AA30" s="2">
        <v>57248835</v>
      </c>
      <c r="AB30" s="2">
        <f t="shared" si="32"/>
        <v>55.62</v>
      </c>
      <c r="AC30" s="2">
        <f t="shared" si="33"/>
        <v>0</v>
      </c>
      <c r="AD30" s="2">
        <f t="shared" si="34"/>
        <v>2.1600000000000001E-2</v>
      </c>
      <c r="AE30" s="2">
        <f t="shared" si="35"/>
        <v>3.5999999999999999E-3</v>
      </c>
      <c r="AF30" s="2">
        <f t="shared" si="36"/>
        <v>55.598399999999998</v>
      </c>
      <c r="AG30" s="2">
        <f t="shared" si="37"/>
        <v>0</v>
      </c>
      <c r="AH30" s="2">
        <f t="shared" si="38"/>
        <v>4.2119999999999997</v>
      </c>
      <c r="AI30" s="2">
        <f t="shared" si="39"/>
        <v>0</v>
      </c>
      <c r="AJ30" s="2">
        <f t="shared" si="40"/>
        <v>0</v>
      </c>
      <c r="AK30" s="2">
        <v>175.43</v>
      </c>
      <c r="AL30" s="2">
        <v>20.93</v>
      </c>
      <c r="AM30" s="2">
        <v>0.06</v>
      </c>
      <c r="AN30" s="2">
        <v>0.01</v>
      </c>
      <c r="AO30" s="2">
        <v>154.44</v>
      </c>
      <c r="AP30" s="2">
        <v>0</v>
      </c>
      <c r="AQ30" s="2">
        <v>11.7</v>
      </c>
      <c r="AR30" s="2">
        <v>0</v>
      </c>
      <c r="AS30" s="2">
        <v>0</v>
      </c>
      <c r="AT30" s="2">
        <v>90</v>
      </c>
      <c r="AU30" s="2">
        <v>46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40</v>
      </c>
      <c r="BK30" s="2"/>
      <c r="BL30" s="2"/>
      <c r="BM30" s="2">
        <v>68</v>
      </c>
      <c r="BN30" s="2">
        <v>0</v>
      </c>
      <c r="BO30" s="2" t="s">
        <v>38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90</v>
      </c>
      <c r="CA30" s="2">
        <v>46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818</v>
      </c>
      <c r="CO30" s="2">
        <v>0</v>
      </c>
      <c r="CP30" s="2">
        <f t="shared" si="41"/>
        <v>58.230000000000004</v>
      </c>
      <c r="CQ30" s="2">
        <f t="shared" si="42"/>
        <v>0</v>
      </c>
      <c r="CR30" s="2">
        <f t="shared" si="43"/>
        <v>0.02</v>
      </c>
      <c r="CS30" s="2">
        <f t="shared" si="44"/>
        <v>0</v>
      </c>
      <c r="CT30" s="2">
        <f t="shared" si="45"/>
        <v>58.21</v>
      </c>
      <c r="CU30" s="2">
        <f t="shared" si="46"/>
        <v>0</v>
      </c>
      <c r="CV30" s="2">
        <f t="shared" si="47"/>
        <v>4.4099639999999996</v>
      </c>
      <c r="CW30" s="2">
        <f t="shared" si="48"/>
        <v>0</v>
      </c>
      <c r="CX30" s="2">
        <f t="shared" si="49"/>
        <v>0</v>
      </c>
      <c r="CY30" s="2">
        <f t="shared" si="50"/>
        <v>52.39</v>
      </c>
      <c r="CZ30" s="2">
        <f t="shared" si="51"/>
        <v>26.78</v>
      </c>
      <c r="DA30" s="2"/>
      <c r="DB30" s="2">
        <v>5</v>
      </c>
      <c r="DC30" s="2" t="s">
        <v>3</v>
      </c>
      <c r="DD30" s="2" t="s">
        <v>31</v>
      </c>
      <c r="DE30" s="2" t="s">
        <v>32</v>
      </c>
      <c r="DF30" s="2" t="s">
        <v>32</v>
      </c>
      <c r="DG30" s="2" t="s">
        <v>32</v>
      </c>
      <c r="DH30" s="2" t="s">
        <v>3</v>
      </c>
      <c r="DI30" s="2" t="s">
        <v>32</v>
      </c>
      <c r="DJ30" s="2" t="s">
        <v>32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29</v>
      </c>
      <c r="DW30" s="2" t="s">
        <v>29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57248652</v>
      </c>
      <c r="EF30" s="2">
        <v>40</v>
      </c>
      <c r="EG30" s="2" t="s">
        <v>33</v>
      </c>
      <c r="EH30" s="2">
        <v>0</v>
      </c>
      <c r="EI30" s="2" t="s">
        <v>3</v>
      </c>
      <c r="EJ30" s="2">
        <v>2</v>
      </c>
      <c r="EK30" s="2">
        <v>68</v>
      </c>
      <c r="EL30" s="2" t="s">
        <v>34</v>
      </c>
      <c r="EM30" s="2" t="s">
        <v>35</v>
      </c>
      <c r="EN30" s="2"/>
      <c r="EO30" s="2" t="s">
        <v>36</v>
      </c>
      <c r="EP30" s="2"/>
      <c r="EQ30" s="2">
        <v>131072</v>
      </c>
      <c r="ER30" s="2">
        <v>175.43</v>
      </c>
      <c r="ES30" s="2">
        <v>20.93</v>
      </c>
      <c r="ET30" s="2">
        <v>0.06</v>
      </c>
      <c r="EU30" s="2">
        <v>0.01</v>
      </c>
      <c r="EV30" s="2">
        <v>154.44</v>
      </c>
      <c r="EW30" s="2">
        <v>11.7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90</v>
      </c>
      <c r="FY30" s="2">
        <v>46</v>
      </c>
      <c r="FZ30" s="2"/>
      <c r="GA30" s="2" t="s">
        <v>3</v>
      </c>
      <c r="GB30" s="2"/>
      <c r="GC30" s="2"/>
      <c r="GD30" s="2">
        <v>1</v>
      </c>
      <c r="GE30" s="2"/>
      <c r="GF30" s="2">
        <v>625023618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2"/>
        <v>0</v>
      </c>
      <c r="GM30" s="2">
        <f t="shared" si="53"/>
        <v>137.4</v>
      </c>
      <c r="GN30" s="2">
        <f t="shared" si="54"/>
        <v>0</v>
      </c>
      <c r="GO30" s="2">
        <f t="shared" si="55"/>
        <v>137.4</v>
      </c>
      <c r="GP30" s="2">
        <f t="shared" si="56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7"/>
        <v>0</v>
      </c>
      <c r="GW30" s="2">
        <v>1</v>
      </c>
      <c r="GX30" s="2">
        <f t="shared" si="58"/>
        <v>0</v>
      </c>
      <c r="GY30" s="2"/>
      <c r="GZ30" s="2"/>
      <c r="HA30" s="2">
        <v>0</v>
      </c>
      <c r="HB30" s="2">
        <v>0</v>
      </c>
      <c r="HC30" s="2">
        <f t="shared" si="59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ROW(SmtRes!A4)</f>
        <v>4</v>
      </c>
      <c r="D31" s="3">
        <f>ROW(EtalonRes!A4)</f>
        <v>4</v>
      </c>
      <c r="E31" s="3" t="s">
        <v>37</v>
      </c>
      <c r="F31" s="3" t="s">
        <v>38</v>
      </c>
      <c r="G31" s="3" t="s">
        <v>39</v>
      </c>
      <c r="H31" s="3" t="s">
        <v>29</v>
      </c>
      <c r="I31" s="3">
        <v>1</v>
      </c>
      <c r="J31" s="3">
        <v>0</v>
      </c>
      <c r="K31" s="3">
        <v>1</v>
      </c>
      <c r="O31" s="3">
        <f t="shared" si="21"/>
        <v>3280.5</v>
      </c>
      <c r="P31" s="3">
        <f t="shared" si="22"/>
        <v>0</v>
      </c>
      <c r="Q31" s="3">
        <f t="shared" si="23"/>
        <v>0.37</v>
      </c>
      <c r="R31" s="3">
        <f t="shared" si="24"/>
        <v>0</v>
      </c>
      <c r="S31" s="3">
        <f t="shared" si="25"/>
        <v>3280.13</v>
      </c>
      <c r="T31" s="3">
        <f t="shared" si="26"/>
        <v>0</v>
      </c>
      <c r="U31" s="3">
        <f t="shared" si="27"/>
        <v>4.4099639999999996</v>
      </c>
      <c r="V31" s="3">
        <f t="shared" si="28"/>
        <v>0</v>
      </c>
      <c r="W31" s="3">
        <f t="shared" si="29"/>
        <v>0</v>
      </c>
      <c r="X31" s="3">
        <f t="shared" si="30"/>
        <v>2952.12</v>
      </c>
      <c r="Y31" s="3">
        <f t="shared" si="31"/>
        <v>1508.86</v>
      </c>
      <c r="AA31" s="3">
        <v>57248837</v>
      </c>
      <c r="AB31" s="3">
        <f t="shared" si="32"/>
        <v>55.62</v>
      </c>
      <c r="AC31" s="3">
        <f t="shared" si="33"/>
        <v>0</v>
      </c>
      <c r="AD31" s="3">
        <f t="shared" si="34"/>
        <v>2.1600000000000001E-2</v>
      </c>
      <c r="AE31" s="3">
        <f t="shared" si="35"/>
        <v>3.5999999999999999E-3</v>
      </c>
      <c r="AF31" s="3">
        <f t="shared" si="36"/>
        <v>55.598399999999998</v>
      </c>
      <c r="AG31" s="3">
        <f t="shared" si="37"/>
        <v>0</v>
      </c>
      <c r="AH31" s="3">
        <f t="shared" si="38"/>
        <v>4.2119999999999997</v>
      </c>
      <c r="AI31" s="3">
        <f t="shared" si="39"/>
        <v>0</v>
      </c>
      <c r="AJ31" s="3">
        <f t="shared" si="40"/>
        <v>0</v>
      </c>
      <c r="AK31" s="3">
        <v>175.43</v>
      </c>
      <c r="AL31" s="3">
        <v>20.93</v>
      </c>
      <c r="AM31" s="3">
        <v>0.06</v>
      </c>
      <c r="AN31" s="3">
        <v>0.01</v>
      </c>
      <c r="AO31" s="3">
        <v>154.44</v>
      </c>
      <c r="AP31" s="3">
        <v>0</v>
      </c>
      <c r="AQ31" s="3">
        <v>11.7</v>
      </c>
      <c r="AR31" s="3">
        <v>0</v>
      </c>
      <c r="AS31" s="3">
        <v>0</v>
      </c>
      <c r="AT31" s="3">
        <v>90</v>
      </c>
      <c r="AU31" s="3">
        <v>46</v>
      </c>
      <c r="AV31" s="3">
        <v>1.0469999999999999</v>
      </c>
      <c r="AW31" s="3">
        <v>1</v>
      </c>
      <c r="AZ31" s="3">
        <v>1</v>
      </c>
      <c r="BA31" s="3">
        <v>56.35</v>
      </c>
      <c r="BB31" s="3">
        <v>18.5</v>
      </c>
      <c r="BC31" s="3">
        <v>9.84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40</v>
      </c>
      <c r="BM31" s="3">
        <v>68</v>
      </c>
      <c r="BN31" s="3">
        <v>0</v>
      </c>
      <c r="BO31" s="3" t="s">
        <v>38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90</v>
      </c>
      <c r="CA31" s="3">
        <v>46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818</v>
      </c>
      <c r="CO31" s="3">
        <v>0</v>
      </c>
      <c r="CP31" s="3">
        <f t="shared" si="41"/>
        <v>3280.5</v>
      </c>
      <c r="CQ31" s="3">
        <f t="shared" si="42"/>
        <v>0</v>
      </c>
      <c r="CR31" s="3">
        <f t="shared" si="43"/>
        <v>0.37</v>
      </c>
      <c r="CS31" s="3">
        <f t="shared" si="44"/>
        <v>0</v>
      </c>
      <c r="CT31" s="3">
        <f t="shared" si="45"/>
        <v>3280.13</v>
      </c>
      <c r="CU31" s="3">
        <f t="shared" si="46"/>
        <v>0</v>
      </c>
      <c r="CV31" s="3">
        <f t="shared" si="47"/>
        <v>4.4099639999999996</v>
      </c>
      <c r="CW31" s="3">
        <f t="shared" si="48"/>
        <v>0</v>
      </c>
      <c r="CX31" s="3">
        <f t="shared" si="49"/>
        <v>0</v>
      </c>
      <c r="CY31" s="3">
        <f t="shared" si="50"/>
        <v>2952.12</v>
      </c>
      <c r="CZ31" s="3">
        <f t="shared" si="51"/>
        <v>1508.86</v>
      </c>
      <c r="DB31" s="3">
        <v>7</v>
      </c>
      <c r="DC31" s="3" t="s">
        <v>3</v>
      </c>
      <c r="DD31" s="3" t="s">
        <v>31</v>
      </c>
      <c r="DE31" s="3" t="s">
        <v>32</v>
      </c>
      <c r="DF31" s="3" t="s">
        <v>32</v>
      </c>
      <c r="DG31" s="3" t="s">
        <v>32</v>
      </c>
      <c r="DH31" s="3" t="s">
        <v>3</v>
      </c>
      <c r="DI31" s="3" t="s">
        <v>32</v>
      </c>
      <c r="DJ31" s="3" t="s">
        <v>32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29</v>
      </c>
      <c r="DW31" s="3" t="s">
        <v>29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57248652</v>
      </c>
      <c r="EF31" s="3">
        <v>40</v>
      </c>
      <c r="EG31" s="3" t="s">
        <v>33</v>
      </c>
      <c r="EH31" s="3">
        <v>0</v>
      </c>
      <c r="EI31" s="3" t="s">
        <v>3</v>
      </c>
      <c r="EJ31" s="3">
        <v>2</v>
      </c>
      <c r="EK31" s="3">
        <v>68</v>
      </c>
      <c r="EL31" s="3" t="s">
        <v>34</v>
      </c>
      <c r="EM31" s="3" t="s">
        <v>35</v>
      </c>
      <c r="EO31" s="3" t="s">
        <v>36</v>
      </c>
      <c r="EQ31" s="3">
        <v>131072</v>
      </c>
      <c r="ER31" s="3">
        <v>175.43</v>
      </c>
      <c r="ES31" s="3">
        <v>20.93</v>
      </c>
      <c r="ET31" s="3">
        <v>0.06</v>
      </c>
      <c r="EU31" s="3">
        <v>0.01</v>
      </c>
      <c r="EV31" s="3">
        <v>154.44</v>
      </c>
      <c r="EW31" s="3">
        <v>11.7</v>
      </c>
      <c r="EX31" s="3">
        <v>0</v>
      </c>
      <c r="EY31" s="3">
        <v>0</v>
      </c>
      <c r="FQ31" s="3">
        <v>0</v>
      </c>
      <c r="FR31" s="3">
        <v>0</v>
      </c>
      <c r="FS31" s="3">
        <v>0</v>
      </c>
      <c r="FX31" s="3">
        <v>90</v>
      </c>
      <c r="FY31" s="3">
        <v>46</v>
      </c>
      <c r="GA31" s="3" t="s">
        <v>3</v>
      </c>
      <c r="GD31" s="3">
        <v>1</v>
      </c>
      <c r="GF31" s="3">
        <v>625023618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52"/>
        <v>0</v>
      </c>
      <c r="GM31" s="3">
        <f t="shared" si="53"/>
        <v>7741.48</v>
      </c>
      <c r="GN31" s="3">
        <f t="shared" si="54"/>
        <v>0</v>
      </c>
      <c r="GO31" s="3">
        <f t="shared" si="55"/>
        <v>7741.48</v>
      </c>
      <c r="GP31" s="3">
        <f t="shared" si="56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57"/>
        <v>0</v>
      </c>
      <c r="GW31" s="3">
        <v>1</v>
      </c>
      <c r="GX31" s="3">
        <f t="shared" si="58"/>
        <v>0</v>
      </c>
      <c r="HA31" s="3">
        <v>0</v>
      </c>
      <c r="HB31" s="3">
        <v>0</v>
      </c>
      <c r="HC31" s="3">
        <f t="shared" si="59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ROW(SmtRes!A13)</f>
        <v>13</v>
      </c>
      <c r="D32" s="2">
        <f>ROW(EtalonRes!A18)</f>
        <v>18</v>
      </c>
      <c r="E32" s="2" t="s">
        <v>41</v>
      </c>
      <c r="F32" s="2" t="s">
        <v>42</v>
      </c>
      <c r="G32" s="2" t="s">
        <v>43</v>
      </c>
      <c r="H32" s="2" t="s">
        <v>44</v>
      </c>
      <c r="I32" s="2">
        <v>1</v>
      </c>
      <c r="J32" s="2">
        <v>0</v>
      </c>
      <c r="K32" s="2">
        <v>1</v>
      </c>
      <c r="L32" s="2"/>
      <c r="M32" s="2"/>
      <c r="N32" s="2"/>
      <c r="O32" s="2">
        <f t="shared" si="21"/>
        <v>30.59</v>
      </c>
      <c r="P32" s="2">
        <f t="shared" si="22"/>
        <v>0</v>
      </c>
      <c r="Q32" s="2">
        <f t="shared" si="23"/>
        <v>0.31</v>
      </c>
      <c r="R32" s="2">
        <f t="shared" si="24"/>
        <v>0</v>
      </c>
      <c r="S32" s="2">
        <f t="shared" si="25"/>
        <v>30.28</v>
      </c>
      <c r="T32" s="2">
        <f t="shared" si="26"/>
        <v>0</v>
      </c>
      <c r="U32" s="2">
        <f t="shared" si="27"/>
        <v>2.2652891999999998</v>
      </c>
      <c r="V32" s="2">
        <f t="shared" si="28"/>
        <v>0</v>
      </c>
      <c r="W32" s="2">
        <f t="shared" si="29"/>
        <v>0</v>
      </c>
      <c r="X32" s="2">
        <f t="shared" si="30"/>
        <v>27.25</v>
      </c>
      <c r="Y32" s="2">
        <f t="shared" si="31"/>
        <v>13.93</v>
      </c>
      <c r="Z32" s="2"/>
      <c r="AA32" s="2">
        <v>57248835</v>
      </c>
      <c r="AB32" s="2">
        <f t="shared" si="32"/>
        <v>29.213999999999999</v>
      </c>
      <c r="AC32" s="2">
        <f t="shared" si="33"/>
        <v>0</v>
      </c>
      <c r="AD32" s="2">
        <f t="shared" si="34"/>
        <v>0.29520000000000002</v>
      </c>
      <c r="AE32" s="2">
        <f t="shared" si="35"/>
        <v>0</v>
      </c>
      <c r="AF32" s="2">
        <f t="shared" si="36"/>
        <v>28.918800000000001</v>
      </c>
      <c r="AG32" s="2">
        <f t="shared" si="37"/>
        <v>0</v>
      </c>
      <c r="AH32" s="2">
        <f t="shared" si="38"/>
        <v>2.1635999999999997</v>
      </c>
      <c r="AI32" s="2">
        <f t="shared" si="39"/>
        <v>0</v>
      </c>
      <c r="AJ32" s="2">
        <f t="shared" si="40"/>
        <v>0</v>
      </c>
      <c r="AK32" s="2">
        <v>90.3</v>
      </c>
      <c r="AL32" s="2">
        <v>9.15</v>
      </c>
      <c r="AM32" s="2">
        <v>0.82</v>
      </c>
      <c r="AN32" s="2">
        <v>0</v>
      </c>
      <c r="AO32" s="2">
        <v>80.33</v>
      </c>
      <c r="AP32" s="2">
        <v>0</v>
      </c>
      <c r="AQ32" s="2">
        <v>6.01</v>
      </c>
      <c r="AR32" s="2">
        <v>0</v>
      </c>
      <c r="AS32" s="2">
        <v>0</v>
      </c>
      <c r="AT32" s="2">
        <v>90</v>
      </c>
      <c r="AU32" s="2">
        <v>46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45</v>
      </c>
      <c r="BK32" s="2"/>
      <c r="BL32" s="2"/>
      <c r="BM32" s="2">
        <v>68</v>
      </c>
      <c r="BN32" s="2">
        <v>0</v>
      </c>
      <c r="BO32" s="2" t="s">
        <v>42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90</v>
      </c>
      <c r="CA32" s="2">
        <v>46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818</v>
      </c>
      <c r="CO32" s="2">
        <v>0</v>
      </c>
      <c r="CP32" s="2">
        <f t="shared" si="41"/>
        <v>30.59</v>
      </c>
      <c r="CQ32" s="2">
        <f t="shared" si="42"/>
        <v>0</v>
      </c>
      <c r="CR32" s="2">
        <f t="shared" si="43"/>
        <v>0.31</v>
      </c>
      <c r="CS32" s="2">
        <f t="shared" si="44"/>
        <v>0</v>
      </c>
      <c r="CT32" s="2">
        <f t="shared" si="45"/>
        <v>30.28</v>
      </c>
      <c r="CU32" s="2">
        <f t="shared" si="46"/>
        <v>0</v>
      </c>
      <c r="CV32" s="2">
        <f t="shared" si="47"/>
        <v>2.2652891999999998</v>
      </c>
      <c r="CW32" s="2">
        <f t="shared" si="48"/>
        <v>0</v>
      </c>
      <c r="CX32" s="2">
        <f t="shared" si="49"/>
        <v>0</v>
      </c>
      <c r="CY32" s="2">
        <f t="shared" si="50"/>
        <v>27.25</v>
      </c>
      <c r="CZ32" s="2">
        <f t="shared" si="51"/>
        <v>13.93</v>
      </c>
      <c r="DA32" s="2"/>
      <c r="DB32" s="2">
        <v>9</v>
      </c>
      <c r="DC32" s="2" t="s">
        <v>3</v>
      </c>
      <c r="DD32" s="2" t="s">
        <v>31</v>
      </c>
      <c r="DE32" s="2" t="s">
        <v>32</v>
      </c>
      <c r="DF32" s="2" t="s">
        <v>32</v>
      </c>
      <c r="DG32" s="2" t="s">
        <v>32</v>
      </c>
      <c r="DH32" s="2" t="s">
        <v>3</v>
      </c>
      <c r="DI32" s="2" t="s">
        <v>32</v>
      </c>
      <c r="DJ32" s="2" t="s">
        <v>32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44</v>
      </c>
      <c r="DW32" s="2" t="s">
        <v>44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57248652</v>
      </c>
      <c r="EF32" s="2">
        <v>40</v>
      </c>
      <c r="EG32" s="2" t="s">
        <v>33</v>
      </c>
      <c r="EH32" s="2">
        <v>0</v>
      </c>
      <c r="EI32" s="2" t="s">
        <v>3</v>
      </c>
      <c r="EJ32" s="2">
        <v>2</v>
      </c>
      <c r="EK32" s="2">
        <v>68</v>
      </c>
      <c r="EL32" s="2" t="s">
        <v>34</v>
      </c>
      <c r="EM32" s="2" t="s">
        <v>35</v>
      </c>
      <c r="EN32" s="2"/>
      <c r="EO32" s="2" t="s">
        <v>36</v>
      </c>
      <c r="EP32" s="2"/>
      <c r="EQ32" s="2">
        <v>131072</v>
      </c>
      <c r="ER32" s="2">
        <v>90.3</v>
      </c>
      <c r="ES32" s="2">
        <v>9.15</v>
      </c>
      <c r="ET32" s="2">
        <v>0.82</v>
      </c>
      <c r="EU32" s="2">
        <v>0</v>
      </c>
      <c r="EV32" s="2">
        <v>80.33</v>
      </c>
      <c r="EW32" s="2">
        <v>6.01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90</v>
      </c>
      <c r="FY32" s="2">
        <v>46</v>
      </c>
      <c r="FZ32" s="2"/>
      <c r="GA32" s="2" t="s">
        <v>3</v>
      </c>
      <c r="GB32" s="2"/>
      <c r="GC32" s="2"/>
      <c r="GD32" s="2">
        <v>1</v>
      </c>
      <c r="GE32" s="2"/>
      <c r="GF32" s="2">
        <v>1335746288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2"/>
        <v>0</v>
      </c>
      <c r="GM32" s="2">
        <f t="shared" si="53"/>
        <v>71.77</v>
      </c>
      <c r="GN32" s="2">
        <f t="shared" si="54"/>
        <v>0</v>
      </c>
      <c r="GO32" s="2">
        <f t="shared" si="55"/>
        <v>71.77</v>
      </c>
      <c r="GP32" s="2">
        <f t="shared" si="56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7"/>
        <v>0</v>
      </c>
      <c r="GW32" s="2">
        <v>1</v>
      </c>
      <c r="GX32" s="2">
        <f t="shared" si="58"/>
        <v>0</v>
      </c>
      <c r="GY32" s="2"/>
      <c r="GZ32" s="2"/>
      <c r="HA32" s="2">
        <v>0</v>
      </c>
      <c r="HB32" s="2">
        <v>0</v>
      </c>
      <c r="HC32" s="2">
        <f t="shared" si="59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ROW(SmtRes!A22)</f>
        <v>22</v>
      </c>
      <c r="D33" s="3">
        <f>ROW(EtalonRes!A32)</f>
        <v>32</v>
      </c>
      <c r="E33" s="3" t="s">
        <v>41</v>
      </c>
      <c r="F33" s="3" t="s">
        <v>42</v>
      </c>
      <c r="G33" s="3" t="s">
        <v>43</v>
      </c>
      <c r="H33" s="3" t="s">
        <v>44</v>
      </c>
      <c r="I33" s="3">
        <v>1</v>
      </c>
      <c r="J33" s="3">
        <v>0</v>
      </c>
      <c r="K33" s="3">
        <v>1</v>
      </c>
      <c r="O33" s="3">
        <f t="shared" si="21"/>
        <v>1709.23</v>
      </c>
      <c r="P33" s="3">
        <f t="shared" si="22"/>
        <v>0</v>
      </c>
      <c r="Q33" s="3">
        <f t="shared" si="23"/>
        <v>2.95</v>
      </c>
      <c r="R33" s="3">
        <f t="shared" si="24"/>
        <v>0</v>
      </c>
      <c r="S33" s="3">
        <f t="shared" si="25"/>
        <v>1706.28</v>
      </c>
      <c r="T33" s="3">
        <f t="shared" si="26"/>
        <v>0</v>
      </c>
      <c r="U33" s="3">
        <f t="shared" si="27"/>
        <v>2.2652891999999998</v>
      </c>
      <c r="V33" s="3">
        <f t="shared" si="28"/>
        <v>0</v>
      </c>
      <c r="W33" s="3">
        <f t="shared" si="29"/>
        <v>0</v>
      </c>
      <c r="X33" s="3">
        <f t="shared" si="30"/>
        <v>1535.65</v>
      </c>
      <c r="Y33" s="3">
        <f t="shared" si="31"/>
        <v>784.89</v>
      </c>
      <c r="AA33" s="3">
        <v>57248837</v>
      </c>
      <c r="AB33" s="3">
        <f t="shared" si="32"/>
        <v>29.213999999999999</v>
      </c>
      <c r="AC33" s="3">
        <f t="shared" si="33"/>
        <v>0</v>
      </c>
      <c r="AD33" s="3">
        <f t="shared" si="34"/>
        <v>0.29520000000000002</v>
      </c>
      <c r="AE33" s="3">
        <f t="shared" si="35"/>
        <v>0</v>
      </c>
      <c r="AF33" s="3">
        <f t="shared" si="36"/>
        <v>28.918800000000001</v>
      </c>
      <c r="AG33" s="3">
        <f t="shared" si="37"/>
        <v>0</v>
      </c>
      <c r="AH33" s="3">
        <f t="shared" si="38"/>
        <v>2.1635999999999997</v>
      </c>
      <c r="AI33" s="3">
        <f t="shared" si="39"/>
        <v>0</v>
      </c>
      <c r="AJ33" s="3">
        <f t="shared" si="40"/>
        <v>0</v>
      </c>
      <c r="AK33" s="3">
        <v>90.3</v>
      </c>
      <c r="AL33" s="3">
        <v>9.15</v>
      </c>
      <c r="AM33" s="3">
        <v>0.82</v>
      </c>
      <c r="AN33" s="3">
        <v>0</v>
      </c>
      <c r="AO33" s="3">
        <v>80.33</v>
      </c>
      <c r="AP33" s="3">
        <v>0</v>
      </c>
      <c r="AQ33" s="3">
        <v>6.01</v>
      </c>
      <c r="AR33" s="3">
        <v>0</v>
      </c>
      <c r="AS33" s="3">
        <v>0</v>
      </c>
      <c r="AT33" s="3">
        <v>90</v>
      </c>
      <c r="AU33" s="3">
        <v>46</v>
      </c>
      <c r="AV33" s="3">
        <v>1.0469999999999999</v>
      </c>
      <c r="AW33" s="3">
        <v>1</v>
      </c>
      <c r="AZ33" s="3">
        <v>1</v>
      </c>
      <c r="BA33" s="3">
        <v>56.35</v>
      </c>
      <c r="BB33" s="3">
        <v>9.52</v>
      </c>
      <c r="BC33" s="3">
        <v>6.42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45</v>
      </c>
      <c r="BM33" s="3">
        <v>68</v>
      </c>
      <c r="BN33" s="3">
        <v>0</v>
      </c>
      <c r="BO33" s="3" t="s">
        <v>42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90</v>
      </c>
      <c r="CA33" s="3">
        <v>46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818</v>
      </c>
      <c r="CO33" s="3">
        <v>0</v>
      </c>
      <c r="CP33" s="3">
        <f t="shared" si="41"/>
        <v>1709.23</v>
      </c>
      <c r="CQ33" s="3">
        <f t="shared" si="42"/>
        <v>0</v>
      </c>
      <c r="CR33" s="3">
        <f t="shared" si="43"/>
        <v>2.95</v>
      </c>
      <c r="CS33" s="3">
        <f t="shared" si="44"/>
        <v>0</v>
      </c>
      <c r="CT33" s="3">
        <f t="shared" si="45"/>
        <v>1706.28</v>
      </c>
      <c r="CU33" s="3">
        <f t="shared" si="46"/>
        <v>0</v>
      </c>
      <c r="CV33" s="3">
        <f t="shared" si="47"/>
        <v>2.2652891999999998</v>
      </c>
      <c r="CW33" s="3">
        <f t="shared" si="48"/>
        <v>0</v>
      </c>
      <c r="CX33" s="3">
        <f t="shared" si="49"/>
        <v>0</v>
      </c>
      <c r="CY33" s="3">
        <f t="shared" si="50"/>
        <v>1535.65</v>
      </c>
      <c r="CZ33" s="3">
        <f t="shared" si="51"/>
        <v>784.89</v>
      </c>
      <c r="DB33" s="3">
        <v>11</v>
      </c>
      <c r="DC33" s="3" t="s">
        <v>3</v>
      </c>
      <c r="DD33" s="3" t="s">
        <v>31</v>
      </c>
      <c r="DE33" s="3" t="s">
        <v>32</v>
      </c>
      <c r="DF33" s="3" t="s">
        <v>32</v>
      </c>
      <c r="DG33" s="3" t="s">
        <v>32</v>
      </c>
      <c r="DH33" s="3" t="s">
        <v>3</v>
      </c>
      <c r="DI33" s="3" t="s">
        <v>32</v>
      </c>
      <c r="DJ33" s="3" t="s">
        <v>32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44</v>
      </c>
      <c r="DW33" s="3" t="s">
        <v>44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57248652</v>
      </c>
      <c r="EF33" s="3">
        <v>40</v>
      </c>
      <c r="EG33" s="3" t="s">
        <v>33</v>
      </c>
      <c r="EH33" s="3">
        <v>0</v>
      </c>
      <c r="EI33" s="3" t="s">
        <v>3</v>
      </c>
      <c r="EJ33" s="3">
        <v>2</v>
      </c>
      <c r="EK33" s="3">
        <v>68</v>
      </c>
      <c r="EL33" s="3" t="s">
        <v>34</v>
      </c>
      <c r="EM33" s="3" t="s">
        <v>35</v>
      </c>
      <c r="EO33" s="3" t="s">
        <v>36</v>
      </c>
      <c r="EQ33" s="3">
        <v>131072</v>
      </c>
      <c r="ER33" s="3">
        <v>90.3</v>
      </c>
      <c r="ES33" s="3">
        <v>9.15</v>
      </c>
      <c r="ET33" s="3">
        <v>0.82</v>
      </c>
      <c r="EU33" s="3">
        <v>0</v>
      </c>
      <c r="EV33" s="3">
        <v>80.33</v>
      </c>
      <c r="EW33" s="3">
        <v>6.01</v>
      </c>
      <c r="EX33" s="3">
        <v>0</v>
      </c>
      <c r="EY33" s="3">
        <v>0</v>
      </c>
      <c r="FQ33" s="3">
        <v>0</v>
      </c>
      <c r="FR33" s="3">
        <v>0</v>
      </c>
      <c r="FS33" s="3">
        <v>0</v>
      </c>
      <c r="FX33" s="3">
        <v>90</v>
      </c>
      <c r="FY33" s="3">
        <v>46</v>
      </c>
      <c r="GA33" s="3" t="s">
        <v>3</v>
      </c>
      <c r="GD33" s="3">
        <v>1</v>
      </c>
      <c r="GF33" s="3">
        <v>1335746288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52"/>
        <v>0</v>
      </c>
      <c r="GM33" s="3">
        <f t="shared" si="53"/>
        <v>4029.77</v>
      </c>
      <c r="GN33" s="3">
        <f t="shared" si="54"/>
        <v>0</v>
      </c>
      <c r="GO33" s="3">
        <f t="shared" si="55"/>
        <v>4029.77</v>
      </c>
      <c r="GP33" s="3">
        <f t="shared" si="56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57"/>
        <v>0</v>
      </c>
      <c r="GW33" s="3">
        <v>1</v>
      </c>
      <c r="GX33" s="3">
        <f t="shared" si="58"/>
        <v>0</v>
      </c>
      <c r="HA33" s="3">
        <v>0</v>
      </c>
      <c r="HB33" s="3">
        <v>0</v>
      </c>
      <c r="HC33" s="3">
        <f t="shared" si="59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ROW(SmtRes!A28)</f>
        <v>28</v>
      </c>
      <c r="D34" s="2">
        <f>ROW(EtalonRes!A39)</f>
        <v>39</v>
      </c>
      <c r="E34" s="2" t="s">
        <v>46</v>
      </c>
      <c r="F34" s="2" t="s">
        <v>47</v>
      </c>
      <c r="G34" s="2" t="s">
        <v>48</v>
      </c>
      <c r="H34" s="2" t="s">
        <v>29</v>
      </c>
      <c r="I34" s="2">
        <f>ROUND(4+1+1+8+2,9)</f>
        <v>16</v>
      </c>
      <c r="J34" s="2">
        <v>0</v>
      </c>
      <c r="K34" s="2">
        <f>ROUND(4+1+1+8+2,9)</f>
        <v>16</v>
      </c>
      <c r="L34" s="2"/>
      <c r="M34" s="2"/>
      <c r="N34" s="2"/>
      <c r="O34" s="2">
        <f t="shared" si="21"/>
        <v>114.34</v>
      </c>
      <c r="P34" s="2">
        <f t="shared" si="22"/>
        <v>0</v>
      </c>
      <c r="Q34" s="2">
        <f t="shared" si="23"/>
        <v>0.12</v>
      </c>
      <c r="R34" s="2">
        <f t="shared" si="24"/>
        <v>0</v>
      </c>
      <c r="S34" s="2">
        <f t="shared" si="25"/>
        <v>114.22</v>
      </c>
      <c r="T34" s="2">
        <f t="shared" si="26"/>
        <v>0</v>
      </c>
      <c r="U34" s="2">
        <f t="shared" si="27"/>
        <v>8.2017792000000007</v>
      </c>
      <c r="V34" s="2">
        <f t="shared" si="28"/>
        <v>0</v>
      </c>
      <c r="W34" s="2">
        <f t="shared" si="29"/>
        <v>0</v>
      </c>
      <c r="X34" s="2">
        <f t="shared" si="30"/>
        <v>102.8</v>
      </c>
      <c r="Y34" s="2">
        <f t="shared" si="31"/>
        <v>52.54</v>
      </c>
      <c r="Z34" s="2"/>
      <c r="AA34" s="2">
        <v>57248835</v>
      </c>
      <c r="AB34" s="2">
        <f t="shared" si="32"/>
        <v>6.8255999999999997</v>
      </c>
      <c r="AC34" s="2">
        <f t="shared" si="33"/>
        <v>0</v>
      </c>
      <c r="AD34" s="2">
        <f t="shared" si="34"/>
        <v>7.1999999999999998E-3</v>
      </c>
      <c r="AE34" s="2">
        <f t="shared" si="35"/>
        <v>0</v>
      </c>
      <c r="AF34" s="2">
        <f t="shared" si="36"/>
        <v>6.8183999999999996</v>
      </c>
      <c r="AG34" s="2">
        <f t="shared" si="37"/>
        <v>0</v>
      </c>
      <c r="AH34" s="2">
        <f t="shared" si="38"/>
        <v>0.48960000000000004</v>
      </c>
      <c r="AI34" s="2">
        <f t="shared" si="39"/>
        <v>0</v>
      </c>
      <c r="AJ34" s="2">
        <f t="shared" si="40"/>
        <v>0</v>
      </c>
      <c r="AK34" s="2">
        <v>21.3</v>
      </c>
      <c r="AL34" s="2">
        <v>2.34</v>
      </c>
      <c r="AM34" s="2">
        <v>0.02</v>
      </c>
      <c r="AN34" s="2">
        <v>0</v>
      </c>
      <c r="AO34" s="2">
        <v>18.940000000000001</v>
      </c>
      <c r="AP34" s="2">
        <v>0</v>
      </c>
      <c r="AQ34" s="2">
        <v>1.36</v>
      </c>
      <c r="AR34" s="2">
        <v>0</v>
      </c>
      <c r="AS34" s="2">
        <v>0</v>
      </c>
      <c r="AT34" s="2">
        <v>90</v>
      </c>
      <c r="AU34" s="2">
        <v>46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2</v>
      </c>
      <c r="BJ34" s="2" t="s">
        <v>49</v>
      </c>
      <c r="BK34" s="2"/>
      <c r="BL34" s="2"/>
      <c r="BM34" s="2">
        <v>68</v>
      </c>
      <c r="BN34" s="2">
        <v>0</v>
      </c>
      <c r="BO34" s="2" t="s">
        <v>47</v>
      </c>
      <c r="BP34" s="2">
        <v>1</v>
      </c>
      <c r="BQ34" s="2">
        <v>40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90</v>
      </c>
      <c r="CA34" s="2">
        <v>46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818</v>
      </c>
      <c r="CO34" s="2">
        <v>0</v>
      </c>
      <c r="CP34" s="2">
        <f t="shared" si="41"/>
        <v>114.34</v>
      </c>
      <c r="CQ34" s="2">
        <f t="shared" si="42"/>
        <v>0</v>
      </c>
      <c r="CR34" s="2">
        <f t="shared" si="43"/>
        <v>0.01</v>
      </c>
      <c r="CS34" s="2">
        <f t="shared" si="44"/>
        <v>0</v>
      </c>
      <c r="CT34" s="2">
        <f t="shared" si="45"/>
        <v>7.14</v>
      </c>
      <c r="CU34" s="2">
        <f t="shared" si="46"/>
        <v>0</v>
      </c>
      <c r="CV34" s="2">
        <f t="shared" si="47"/>
        <v>0.51261120000000004</v>
      </c>
      <c r="CW34" s="2">
        <f t="shared" si="48"/>
        <v>0</v>
      </c>
      <c r="CX34" s="2">
        <f t="shared" si="49"/>
        <v>0</v>
      </c>
      <c r="CY34" s="2">
        <f t="shared" si="50"/>
        <v>102.8</v>
      </c>
      <c r="CZ34" s="2">
        <f t="shared" si="51"/>
        <v>52.54</v>
      </c>
      <c r="DA34" s="2"/>
      <c r="DB34" s="2">
        <v>13</v>
      </c>
      <c r="DC34" s="2" t="s">
        <v>3</v>
      </c>
      <c r="DD34" s="2" t="s">
        <v>31</v>
      </c>
      <c r="DE34" s="2" t="s">
        <v>32</v>
      </c>
      <c r="DF34" s="2" t="s">
        <v>32</v>
      </c>
      <c r="DG34" s="2" t="s">
        <v>32</v>
      </c>
      <c r="DH34" s="2" t="s">
        <v>3</v>
      </c>
      <c r="DI34" s="2" t="s">
        <v>32</v>
      </c>
      <c r="DJ34" s="2" t="s">
        <v>32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29</v>
      </c>
      <c r="DW34" s="2" t="s">
        <v>29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57248652</v>
      </c>
      <c r="EF34" s="2">
        <v>40</v>
      </c>
      <c r="EG34" s="2" t="s">
        <v>33</v>
      </c>
      <c r="EH34" s="2">
        <v>0</v>
      </c>
      <c r="EI34" s="2" t="s">
        <v>3</v>
      </c>
      <c r="EJ34" s="2">
        <v>2</v>
      </c>
      <c r="EK34" s="2">
        <v>68</v>
      </c>
      <c r="EL34" s="2" t="s">
        <v>34</v>
      </c>
      <c r="EM34" s="2" t="s">
        <v>35</v>
      </c>
      <c r="EN34" s="2"/>
      <c r="EO34" s="2" t="s">
        <v>36</v>
      </c>
      <c r="EP34" s="2"/>
      <c r="EQ34" s="2">
        <v>131072</v>
      </c>
      <c r="ER34" s="2">
        <v>21.3</v>
      </c>
      <c r="ES34" s="2">
        <v>2.34</v>
      </c>
      <c r="ET34" s="2">
        <v>0.02</v>
      </c>
      <c r="EU34" s="2">
        <v>0</v>
      </c>
      <c r="EV34" s="2">
        <v>18.940000000000001</v>
      </c>
      <c r="EW34" s="2">
        <v>1.36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90</v>
      </c>
      <c r="FY34" s="2">
        <v>46</v>
      </c>
      <c r="FZ34" s="2"/>
      <c r="GA34" s="2" t="s">
        <v>3</v>
      </c>
      <c r="GB34" s="2"/>
      <c r="GC34" s="2"/>
      <c r="GD34" s="2">
        <v>1</v>
      </c>
      <c r="GE34" s="2"/>
      <c r="GF34" s="2">
        <v>-1291988825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2"/>
        <v>0</v>
      </c>
      <c r="GM34" s="2">
        <f t="shared" si="53"/>
        <v>269.68</v>
      </c>
      <c r="GN34" s="2">
        <f t="shared" si="54"/>
        <v>0</v>
      </c>
      <c r="GO34" s="2">
        <f t="shared" si="55"/>
        <v>269.68</v>
      </c>
      <c r="GP34" s="2">
        <f t="shared" si="56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7"/>
        <v>0</v>
      </c>
      <c r="GW34" s="2">
        <v>1</v>
      </c>
      <c r="GX34" s="2">
        <f t="shared" si="58"/>
        <v>0</v>
      </c>
      <c r="GY34" s="2"/>
      <c r="GZ34" s="2"/>
      <c r="HA34" s="2">
        <v>0</v>
      </c>
      <c r="HB34" s="2">
        <v>0</v>
      </c>
      <c r="HC34" s="2">
        <f t="shared" si="59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ROW(SmtRes!A34)</f>
        <v>34</v>
      </c>
      <c r="D35" s="3">
        <f>ROW(EtalonRes!A46)</f>
        <v>46</v>
      </c>
      <c r="E35" s="3" t="s">
        <v>46</v>
      </c>
      <c r="F35" s="3" t="s">
        <v>47</v>
      </c>
      <c r="G35" s="3" t="s">
        <v>48</v>
      </c>
      <c r="H35" s="3" t="s">
        <v>29</v>
      </c>
      <c r="I35" s="3">
        <f>ROUND(4+1+1+8+2,9)</f>
        <v>16</v>
      </c>
      <c r="J35" s="3">
        <v>0</v>
      </c>
      <c r="K35" s="3">
        <f>ROUND(4+1+1+8+2,9)</f>
        <v>16</v>
      </c>
      <c r="O35" s="3">
        <f t="shared" si="21"/>
        <v>6437.62</v>
      </c>
      <c r="P35" s="3">
        <f t="shared" si="22"/>
        <v>0</v>
      </c>
      <c r="Q35" s="3">
        <f t="shared" si="23"/>
        <v>1.32</v>
      </c>
      <c r="R35" s="3">
        <f t="shared" si="24"/>
        <v>0</v>
      </c>
      <c r="S35" s="3">
        <f t="shared" si="25"/>
        <v>6436.3</v>
      </c>
      <c r="T35" s="3">
        <f t="shared" si="26"/>
        <v>0</v>
      </c>
      <c r="U35" s="3">
        <f t="shared" si="27"/>
        <v>8.2017792000000007</v>
      </c>
      <c r="V35" s="3">
        <f t="shared" si="28"/>
        <v>0</v>
      </c>
      <c r="W35" s="3">
        <f t="shared" si="29"/>
        <v>0</v>
      </c>
      <c r="X35" s="3">
        <f t="shared" si="30"/>
        <v>5792.67</v>
      </c>
      <c r="Y35" s="3">
        <f t="shared" si="31"/>
        <v>2960.7</v>
      </c>
      <c r="AA35" s="3">
        <v>57248837</v>
      </c>
      <c r="AB35" s="3">
        <f t="shared" si="32"/>
        <v>6.8255999999999997</v>
      </c>
      <c r="AC35" s="3">
        <f t="shared" si="33"/>
        <v>0</v>
      </c>
      <c r="AD35" s="3">
        <f t="shared" si="34"/>
        <v>7.1999999999999998E-3</v>
      </c>
      <c r="AE35" s="3">
        <f t="shared" si="35"/>
        <v>0</v>
      </c>
      <c r="AF35" s="3">
        <f t="shared" si="36"/>
        <v>6.8183999999999996</v>
      </c>
      <c r="AG35" s="3">
        <f t="shared" si="37"/>
        <v>0</v>
      </c>
      <c r="AH35" s="3">
        <f t="shared" si="38"/>
        <v>0.48960000000000004</v>
      </c>
      <c r="AI35" s="3">
        <f t="shared" si="39"/>
        <v>0</v>
      </c>
      <c r="AJ35" s="3">
        <f t="shared" si="40"/>
        <v>0</v>
      </c>
      <c r="AK35" s="3">
        <v>21.3</v>
      </c>
      <c r="AL35" s="3">
        <v>2.34</v>
      </c>
      <c r="AM35" s="3">
        <v>0.02</v>
      </c>
      <c r="AN35" s="3">
        <v>0</v>
      </c>
      <c r="AO35" s="3">
        <v>18.940000000000001</v>
      </c>
      <c r="AP35" s="3">
        <v>0</v>
      </c>
      <c r="AQ35" s="3">
        <v>1.36</v>
      </c>
      <c r="AR35" s="3">
        <v>0</v>
      </c>
      <c r="AS35" s="3">
        <v>0</v>
      </c>
      <c r="AT35" s="3">
        <v>90</v>
      </c>
      <c r="AU35" s="3">
        <v>46</v>
      </c>
      <c r="AV35" s="3">
        <v>1.0469999999999999</v>
      </c>
      <c r="AW35" s="3">
        <v>1</v>
      </c>
      <c r="AZ35" s="3">
        <v>1</v>
      </c>
      <c r="BA35" s="3">
        <v>56.35</v>
      </c>
      <c r="BB35" s="3">
        <v>11</v>
      </c>
      <c r="BC35" s="3">
        <v>10.24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2</v>
      </c>
      <c r="BJ35" s="3" t="s">
        <v>49</v>
      </c>
      <c r="BM35" s="3">
        <v>68</v>
      </c>
      <c r="BN35" s="3">
        <v>0</v>
      </c>
      <c r="BO35" s="3" t="s">
        <v>47</v>
      </c>
      <c r="BP35" s="3">
        <v>1</v>
      </c>
      <c r="BQ35" s="3">
        <v>40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90</v>
      </c>
      <c r="CA35" s="3">
        <v>46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818</v>
      </c>
      <c r="CO35" s="3">
        <v>0</v>
      </c>
      <c r="CP35" s="3">
        <f t="shared" si="41"/>
        <v>6437.62</v>
      </c>
      <c r="CQ35" s="3">
        <f t="shared" si="42"/>
        <v>0</v>
      </c>
      <c r="CR35" s="3">
        <f t="shared" si="43"/>
        <v>0.11</v>
      </c>
      <c r="CS35" s="3">
        <f t="shared" si="44"/>
        <v>0</v>
      </c>
      <c r="CT35" s="3">
        <f t="shared" si="45"/>
        <v>402.34</v>
      </c>
      <c r="CU35" s="3">
        <f t="shared" si="46"/>
        <v>0</v>
      </c>
      <c r="CV35" s="3">
        <f t="shared" si="47"/>
        <v>0.51261120000000004</v>
      </c>
      <c r="CW35" s="3">
        <f t="shared" si="48"/>
        <v>0</v>
      </c>
      <c r="CX35" s="3">
        <f t="shared" si="49"/>
        <v>0</v>
      </c>
      <c r="CY35" s="3">
        <f t="shared" si="50"/>
        <v>5792.67</v>
      </c>
      <c r="CZ35" s="3">
        <f t="shared" si="51"/>
        <v>2960.7</v>
      </c>
      <c r="DB35" s="3">
        <v>15</v>
      </c>
      <c r="DC35" s="3" t="s">
        <v>3</v>
      </c>
      <c r="DD35" s="3" t="s">
        <v>31</v>
      </c>
      <c r="DE35" s="3" t="s">
        <v>32</v>
      </c>
      <c r="DF35" s="3" t="s">
        <v>32</v>
      </c>
      <c r="DG35" s="3" t="s">
        <v>32</v>
      </c>
      <c r="DH35" s="3" t="s">
        <v>3</v>
      </c>
      <c r="DI35" s="3" t="s">
        <v>32</v>
      </c>
      <c r="DJ35" s="3" t="s">
        <v>32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29</v>
      </c>
      <c r="DW35" s="3" t="s">
        <v>29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57248652</v>
      </c>
      <c r="EF35" s="3">
        <v>40</v>
      </c>
      <c r="EG35" s="3" t="s">
        <v>33</v>
      </c>
      <c r="EH35" s="3">
        <v>0</v>
      </c>
      <c r="EI35" s="3" t="s">
        <v>3</v>
      </c>
      <c r="EJ35" s="3">
        <v>2</v>
      </c>
      <c r="EK35" s="3">
        <v>68</v>
      </c>
      <c r="EL35" s="3" t="s">
        <v>34</v>
      </c>
      <c r="EM35" s="3" t="s">
        <v>35</v>
      </c>
      <c r="EO35" s="3" t="s">
        <v>36</v>
      </c>
      <c r="EQ35" s="3">
        <v>131072</v>
      </c>
      <c r="ER35" s="3">
        <v>21.3</v>
      </c>
      <c r="ES35" s="3">
        <v>2.34</v>
      </c>
      <c r="ET35" s="3">
        <v>0.02</v>
      </c>
      <c r="EU35" s="3">
        <v>0</v>
      </c>
      <c r="EV35" s="3">
        <v>18.940000000000001</v>
      </c>
      <c r="EW35" s="3">
        <v>1.36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90</v>
      </c>
      <c r="FY35" s="3">
        <v>46</v>
      </c>
      <c r="GA35" s="3" t="s">
        <v>3</v>
      </c>
      <c r="GD35" s="3">
        <v>1</v>
      </c>
      <c r="GF35" s="3">
        <v>-1291988825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52"/>
        <v>0</v>
      </c>
      <c r="GM35" s="3">
        <f t="shared" si="53"/>
        <v>15190.99</v>
      </c>
      <c r="GN35" s="3">
        <f t="shared" si="54"/>
        <v>0</v>
      </c>
      <c r="GO35" s="3">
        <f t="shared" si="55"/>
        <v>15190.99</v>
      </c>
      <c r="GP35" s="3">
        <f t="shared" si="56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57"/>
        <v>0</v>
      </c>
      <c r="GW35" s="3">
        <v>1</v>
      </c>
      <c r="GX35" s="3">
        <f t="shared" si="58"/>
        <v>0</v>
      </c>
      <c r="HA35" s="3">
        <v>0</v>
      </c>
      <c r="HB35" s="3">
        <v>0</v>
      </c>
      <c r="HC35" s="3">
        <f t="shared" si="59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ROW(SmtRes!A35)</f>
        <v>35</v>
      </c>
      <c r="D36" s="2">
        <f>ROW(EtalonRes!A47)</f>
        <v>47</v>
      </c>
      <c r="E36" s="2" t="s">
        <v>50</v>
      </c>
      <c r="F36" s="2" t="s">
        <v>51</v>
      </c>
      <c r="G36" s="2" t="s">
        <v>52</v>
      </c>
      <c r="H36" s="2" t="s">
        <v>29</v>
      </c>
      <c r="I36" s="2">
        <v>8</v>
      </c>
      <c r="J36" s="2">
        <v>0</v>
      </c>
      <c r="K36" s="2">
        <v>8</v>
      </c>
      <c r="L36" s="2"/>
      <c r="M36" s="2"/>
      <c r="N36" s="2"/>
      <c r="O36" s="2">
        <f t="shared" si="21"/>
        <v>64.11</v>
      </c>
      <c r="P36" s="2">
        <f t="shared" si="22"/>
        <v>0</v>
      </c>
      <c r="Q36" s="2">
        <f t="shared" si="23"/>
        <v>0.18</v>
      </c>
      <c r="R36" s="2">
        <f t="shared" si="24"/>
        <v>0.03</v>
      </c>
      <c r="S36" s="2">
        <f t="shared" si="25"/>
        <v>63.93</v>
      </c>
      <c r="T36" s="2">
        <f t="shared" si="26"/>
        <v>0</v>
      </c>
      <c r="U36" s="2">
        <f t="shared" si="27"/>
        <v>5.0658047999999996</v>
      </c>
      <c r="V36" s="2">
        <f t="shared" si="28"/>
        <v>0</v>
      </c>
      <c r="W36" s="2">
        <f t="shared" si="29"/>
        <v>0</v>
      </c>
      <c r="X36" s="2">
        <f t="shared" si="30"/>
        <v>57.56</v>
      </c>
      <c r="Y36" s="2">
        <f t="shared" si="31"/>
        <v>29.42</v>
      </c>
      <c r="Z36" s="2"/>
      <c r="AA36" s="2">
        <v>57248835</v>
      </c>
      <c r="AB36" s="2">
        <f t="shared" si="32"/>
        <v>7.6536</v>
      </c>
      <c r="AC36" s="2">
        <f t="shared" si="33"/>
        <v>0</v>
      </c>
      <c r="AD36" s="2">
        <f t="shared" si="34"/>
        <v>2.1600000000000001E-2</v>
      </c>
      <c r="AE36" s="2">
        <f t="shared" si="35"/>
        <v>3.5999999999999999E-3</v>
      </c>
      <c r="AF36" s="2">
        <f t="shared" si="36"/>
        <v>7.6319999999999997</v>
      </c>
      <c r="AG36" s="2">
        <f t="shared" si="37"/>
        <v>0</v>
      </c>
      <c r="AH36" s="2">
        <f t="shared" si="38"/>
        <v>0.6048</v>
      </c>
      <c r="AI36" s="2">
        <f t="shared" si="39"/>
        <v>0</v>
      </c>
      <c r="AJ36" s="2">
        <f t="shared" si="40"/>
        <v>0</v>
      </c>
      <c r="AK36" s="2">
        <v>22.52</v>
      </c>
      <c r="AL36" s="2">
        <v>1.26</v>
      </c>
      <c r="AM36" s="2">
        <v>0.06</v>
      </c>
      <c r="AN36" s="2">
        <v>0.01</v>
      </c>
      <c r="AO36" s="2">
        <v>21.2</v>
      </c>
      <c r="AP36" s="2">
        <v>0</v>
      </c>
      <c r="AQ36" s="2">
        <v>1.68</v>
      </c>
      <c r="AR36" s="2">
        <v>0</v>
      </c>
      <c r="AS36" s="2">
        <v>0</v>
      </c>
      <c r="AT36" s="2">
        <v>90</v>
      </c>
      <c r="AU36" s="2">
        <v>46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53</v>
      </c>
      <c r="BK36" s="2"/>
      <c r="BL36" s="2"/>
      <c r="BM36" s="2">
        <v>68</v>
      </c>
      <c r="BN36" s="2">
        <v>0</v>
      </c>
      <c r="BO36" s="2" t="s">
        <v>51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90</v>
      </c>
      <c r="CA36" s="2">
        <v>46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818</v>
      </c>
      <c r="CO36" s="2">
        <v>0</v>
      </c>
      <c r="CP36" s="2">
        <f t="shared" si="41"/>
        <v>64.11</v>
      </c>
      <c r="CQ36" s="2">
        <f t="shared" si="42"/>
        <v>0</v>
      </c>
      <c r="CR36" s="2">
        <f t="shared" si="43"/>
        <v>0.02</v>
      </c>
      <c r="CS36" s="2">
        <f t="shared" si="44"/>
        <v>0</v>
      </c>
      <c r="CT36" s="2">
        <f t="shared" si="45"/>
        <v>7.99</v>
      </c>
      <c r="CU36" s="2">
        <f t="shared" si="46"/>
        <v>0</v>
      </c>
      <c r="CV36" s="2">
        <f t="shared" si="47"/>
        <v>0.63322559999999994</v>
      </c>
      <c r="CW36" s="2">
        <f t="shared" si="48"/>
        <v>0</v>
      </c>
      <c r="CX36" s="2">
        <f t="shared" si="49"/>
        <v>0</v>
      </c>
      <c r="CY36" s="2">
        <f t="shared" si="50"/>
        <v>57.54</v>
      </c>
      <c r="CZ36" s="2">
        <f t="shared" si="51"/>
        <v>29.41</v>
      </c>
      <c r="DA36" s="2"/>
      <c r="DB36" s="2">
        <v>17</v>
      </c>
      <c r="DC36" s="2" t="s">
        <v>3</v>
      </c>
      <c r="DD36" s="2" t="s">
        <v>31</v>
      </c>
      <c r="DE36" s="2" t="s">
        <v>32</v>
      </c>
      <c r="DF36" s="2" t="s">
        <v>32</v>
      </c>
      <c r="DG36" s="2" t="s">
        <v>32</v>
      </c>
      <c r="DH36" s="2" t="s">
        <v>3</v>
      </c>
      <c r="DI36" s="2" t="s">
        <v>32</v>
      </c>
      <c r="DJ36" s="2" t="s">
        <v>32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29</v>
      </c>
      <c r="DW36" s="2" t="s">
        <v>29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57248652</v>
      </c>
      <c r="EF36" s="2">
        <v>40</v>
      </c>
      <c r="EG36" s="2" t="s">
        <v>33</v>
      </c>
      <c r="EH36" s="2">
        <v>0</v>
      </c>
      <c r="EI36" s="2" t="s">
        <v>3</v>
      </c>
      <c r="EJ36" s="2">
        <v>2</v>
      </c>
      <c r="EK36" s="2">
        <v>68</v>
      </c>
      <c r="EL36" s="2" t="s">
        <v>34</v>
      </c>
      <c r="EM36" s="2" t="s">
        <v>35</v>
      </c>
      <c r="EN36" s="2"/>
      <c r="EO36" s="2" t="s">
        <v>36</v>
      </c>
      <c r="EP36" s="2"/>
      <c r="EQ36" s="2">
        <v>131072</v>
      </c>
      <c r="ER36" s="2">
        <v>22.52</v>
      </c>
      <c r="ES36" s="2">
        <v>1.26</v>
      </c>
      <c r="ET36" s="2">
        <v>0.06</v>
      </c>
      <c r="EU36" s="2">
        <v>0.01</v>
      </c>
      <c r="EV36" s="2">
        <v>21.2</v>
      </c>
      <c r="EW36" s="2">
        <v>1.68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90</v>
      </c>
      <c r="FY36" s="2">
        <v>46</v>
      </c>
      <c r="FZ36" s="2"/>
      <c r="GA36" s="2" t="s">
        <v>3</v>
      </c>
      <c r="GB36" s="2"/>
      <c r="GC36" s="2"/>
      <c r="GD36" s="2">
        <v>1</v>
      </c>
      <c r="GE36" s="2"/>
      <c r="GF36" s="2">
        <v>-1660079002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2"/>
        <v>0</v>
      </c>
      <c r="GM36" s="2">
        <f t="shared" si="53"/>
        <v>151.09</v>
      </c>
      <c r="GN36" s="2">
        <f t="shared" si="54"/>
        <v>0</v>
      </c>
      <c r="GO36" s="2">
        <f t="shared" si="55"/>
        <v>151.09</v>
      </c>
      <c r="GP36" s="2">
        <f t="shared" si="56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7"/>
        <v>0</v>
      </c>
      <c r="GW36" s="2">
        <v>1</v>
      </c>
      <c r="GX36" s="2">
        <f t="shared" si="58"/>
        <v>0</v>
      </c>
      <c r="GY36" s="2"/>
      <c r="GZ36" s="2"/>
      <c r="HA36" s="2">
        <v>0</v>
      </c>
      <c r="HB36" s="2">
        <v>0</v>
      </c>
      <c r="HC36" s="2">
        <f t="shared" si="59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ROW(SmtRes!A36)</f>
        <v>36</v>
      </c>
      <c r="D37" s="3">
        <f>ROW(EtalonRes!A48)</f>
        <v>48</v>
      </c>
      <c r="E37" s="3" t="s">
        <v>50</v>
      </c>
      <c r="F37" s="3" t="s">
        <v>51</v>
      </c>
      <c r="G37" s="3" t="s">
        <v>52</v>
      </c>
      <c r="H37" s="3" t="s">
        <v>29</v>
      </c>
      <c r="I37" s="3">
        <v>8</v>
      </c>
      <c r="J37" s="3">
        <v>0</v>
      </c>
      <c r="K37" s="3">
        <v>8</v>
      </c>
      <c r="O37" s="3">
        <f t="shared" si="21"/>
        <v>3605.79</v>
      </c>
      <c r="P37" s="3">
        <f t="shared" si="22"/>
        <v>0</v>
      </c>
      <c r="Q37" s="3">
        <f t="shared" si="23"/>
        <v>3.33</v>
      </c>
      <c r="R37" s="3">
        <f t="shared" si="24"/>
        <v>1.69</v>
      </c>
      <c r="S37" s="3">
        <f t="shared" si="25"/>
        <v>3602.46</v>
      </c>
      <c r="T37" s="3">
        <f t="shared" si="26"/>
        <v>0</v>
      </c>
      <c r="U37" s="3">
        <f t="shared" si="27"/>
        <v>5.0658047999999996</v>
      </c>
      <c r="V37" s="3">
        <f t="shared" si="28"/>
        <v>0</v>
      </c>
      <c r="W37" s="3">
        <f t="shared" si="29"/>
        <v>0</v>
      </c>
      <c r="X37" s="3">
        <f t="shared" si="30"/>
        <v>3243.74</v>
      </c>
      <c r="Y37" s="3">
        <f t="shared" si="31"/>
        <v>1657.91</v>
      </c>
      <c r="AA37" s="3">
        <v>57248837</v>
      </c>
      <c r="AB37" s="3">
        <f t="shared" si="32"/>
        <v>7.6536</v>
      </c>
      <c r="AC37" s="3">
        <f t="shared" si="33"/>
        <v>0</v>
      </c>
      <c r="AD37" s="3">
        <f t="shared" si="34"/>
        <v>2.1600000000000001E-2</v>
      </c>
      <c r="AE37" s="3">
        <f t="shared" si="35"/>
        <v>3.5999999999999999E-3</v>
      </c>
      <c r="AF37" s="3">
        <f t="shared" si="36"/>
        <v>7.6319999999999997</v>
      </c>
      <c r="AG37" s="3">
        <f t="shared" si="37"/>
        <v>0</v>
      </c>
      <c r="AH37" s="3">
        <f t="shared" si="38"/>
        <v>0.6048</v>
      </c>
      <c r="AI37" s="3">
        <f t="shared" si="39"/>
        <v>0</v>
      </c>
      <c r="AJ37" s="3">
        <f t="shared" si="40"/>
        <v>0</v>
      </c>
      <c r="AK37" s="3">
        <v>22.52</v>
      </c>
      <c r="AL37" s="3">
        <v>1.26</v>
      </c>
      <c r="AM37" s="3">
        <v>0.06</v>
      </c>
      <c r="AN37" s="3">
        <v>0.01</v>
      </c>
      <c r="AO37" s="3">
        <v>21.2</v>
      </c>
      <c r="AP37" s="3">
        <v>0</v>
      </c>
      <c r="AQ37" s="3">
        <v>1.68</v>
      </c>
      <c r="AR37" s="3">
        <v>0</v>
      </c>
      <c r="AS37" s="3">
        <v>0</v>
      </c>
      <c r="AT37" s="3">
        <v>90</v>
      </c>
      <c r="AU37" s="3">
        <v>46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18.5</v>
      </c>
      <c r="BC37" s="3">
        <v>9.84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53</v>
      </c>
      <c r="BM37" s="3">
        <v>68</v>
      </c>
      <c r="BN37" s="3">
        <v>0</v>
      </c>
      <c r="BO37" s="3" t="s">
        <v>51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90</v>
      </c>
      <c r="CA37" s="3">
        <v>46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818</v>
      </c>
      <c r="CO37" s="3">
        <v>0</v>
      </c>
      <c r="CP37" s="3">
        <f t="shared" si="41"/>
        <v>3605.79</v>
      </c>
      <c r="CQ37" s="3">
        <f t="shared" si="42"/>
        <v>0</v>
      </c>
      <c r="CR37" s="3">
        <f t="shared" si="43"/>
        <v>0.37</v>
      </c>
      <c r="CS37" s="3">
        <f t="shared" si="44"/>
        <v>0</v>
      </c>
      <c r="CT37" s="3">
        <f t="shared" si="45"/>
        <v>450.24</v>
      </c>
      <c r="CU37" s="3">
        <f t="shared" si="46"/>
        <v>0</v>
      </c>
      <c r="CV37" s="3">
        <f t="shared" si="47"/>
        <v>0.63322559999999994</v>
      </c>
      <c r="CW37" s="3">
        <f t="shared" si="48"/>
        <v>0</v>
      </c>
      <c r="CX37" s="3">
        <f t="shared" si="49"/>
        <v>0</v>
      </c>
      <c r="CY37" s="3">
        <f t="shared" si="50"/>
        <v>3242.21</v>
      </c>
      <c r="CZ37" s="3">
        <f t="shared" si="51"/>
        <v>1657.13</v>
      </c>
      <c r="DB37" s="3">
        <v>19</v>
      </c>
      <c r="DC37" s="3" t="s">
        <v>3</v>
      </c>
      <c r="DD37" s="3" t="s">
        <v>31</v>
      </c>
      <c r="DE37" s="3" t="s">
        <v>32</v>
      </c>
      <c r="DF37" s="3" t="s">
        <v>32</v>
      </c>
      <c r="DG37" s="3" t="s">
        <v>32</v>
      </c>
      <c r="DH37" s="3" t="s">
        <v>3</v>
      </c>
      <c r="DI37" s="3" t="s">
        <v>32</v>
      </c>
      <c r="DJ37" s="3" t="s">
        <v>32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29</v>
      </c>
      <c r="DW37" s="3" t="s">
        <v>29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57248652</v>
      </c>
      <c r="EF37" s="3">
        <v>40</v>
      </c>
      <c r="EG37" s="3" t="s">
        <v>33</v>
      </c>
      <c r="EH37" s="3">
        <v>0</v>
      </c>
      <c r="EI37" s="3" t="s">
        <v>3</v>
      </c>
      <c r="EJ37" s="3">
        <v>2</v>
      </c>
      <c r="EK37" s="3">
        <v>68</v>
      </c>
      <c r="EL37" s="3" t="s">
        <v>34</v>
      </c>
      <c r="EM37" s="3" t="s">
        <v>35</v>
      </c>
      <c r="EO37" s="3" t="s">
        <v>36</v>
      </c>
      <c r="EQ37" s="3">
        <v>131072</v>
      </c>
      <c r="ER37" s="3">
        <v>22.52</v>
      </c>
      <c r="ES37" s="3">
        <v>1.26</v>
      </c>
      <c r="ET37" s="3">
        <v>0.06</v>
      </c>
      <c r="EU37" s="3">
        <v>0.01</v>
      </c>
      <c r="EV37" s="3">
        <v>21.2</v>
      </c>
      <c r="EW37" s="3">
        <v>1.68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90</v>
      </c>
      <c r="FY37" s="3">
        <v>46</v>
      </c>
      <c r="GA37" s="3" t="s">
        <v>3</v>
      </c>
      <c r="GD37" s="3">
        <v>1</v>
      </c>
      <c r="GF37" s="3">
        <v>-1660079002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52"/>
        <v>0</v>
      </c>
      <c r="GM37" s="3">
        <f t="shared" si="53"/>
        <v>8507.44</v>
      </c>
      <c r="GN37" s="3">
        <f t="shared" si="54"/>
        <v>0</v>
      </c>
      <c r="GO37" s="3">
        <f t="shared" si="55"/>
        <v>8507.44</v>
      </c>
      <c r="GP37" s="3">
        <f t="shared" si="56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57"/>
        <v>0</v>
      </c>
      <c r="GW37" s="3">
        <v>1</v>
      </c>
      <c r="GX37" s="3">
        <f t="shared" si="58"/>
        <v>0</v>
      </c>
      <c r="HA37" s="3">
        <v>0</v>
      </c>
      <c r="HB37" s="3">
        <v>0</v>
      </c>
      <c r="HC37" s="3">
        <f t="shared" si="59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ROW(SmtRes!A39)</f>
        <v>39</v>
      </c>
      <c r="D38" s="2">
        <f>ROW(EtalonRes!A52)</f>
        <v>52</v>
      </c>
      <c r="E38" s="2" t="s">
        <v>54</v>
      </c>
      <c r="F38" s="2" t="s">
        <v>55</v>
      </c>
      <c r="G38" s="2" t="s">
        <v>56</v>
      </c>
      <c r="H38" s="2" t="s">
        <v>29</v>
      </c>
      <c r="I38" s="2">
        <v>4</v>
      </c>
      <c r="J38" s="2">
        <v>0</v>
      </c>
      <c r="K38" s="2">
        <v>4</v>
      </c>
      <c r="L38" s="2"/>
      <c r="M38" s="2"/>
      <c r="N38" s="2"/>
      <c r="O38" s="2">
        <f t="shared" si="21"/>
        <v>17.93</v>
      </c>
      <c r="P38" s="2">
        <f t="shared" si="22"/>
        <v>0</v>
      </c>
      <c r="Q38" s="2">
        <f t="shared" si="23"/>
        <v>0</v>
      </c>
      <c r="R38" s="2">
        <f t="shared" si="24"/>
        <v>0</v>
      </c>
      <c r="S38" s="2">
        <f t="shared" si="25"/>
        <v>17.93</v>
      </c>
      <c r="T38" s="2">
        <f t="shared" si="26"/>
        <v>0</v>
      </c>
      <c r="U38" s="2">
        <f t="shared" si="27"/>
        <v>1.5076799999999999</v>
      </c>
      <c r="V38" s="2">
        <f t="shared" si="28"/>
        <v>0</v>
      </c>
      <c r="W38" s="2">
        <f t="shared" si="29"/>
        <v>0</v>
      </c>
      <c r="X38" s="2">
        <f t="shared" si="30"/>
        <v>17.03</v>
      </c>
      <c r="Y38" s="2">
        <f t="shared" si="31"/>
        <v>9.5</v>
      </c>
      <c r="Z38" s="2"/>
      <c r="AA38" s="2">
        <v>57248835</v>
      </c>
      <c r="AB38" s="2">
        <f t="shared" si="32"/>
        <v>4.2804000000000002</v>
      </c>
      <c r="AC38" s="2">
        <f t="shared" si="33"/>
        <v>0</v>
      </c>
      <c r="AD38" s="2">
        <f t="shared" si="34"/>
        <v>0</v>
      </c>
      <c r="AE38" s="2">
        <f t="shared" si="35"/>
        <v>0</v>
      </c>
      <c r="AF38" s="2">
        <f t="shared" si="36"/>
        <v>4.2804000000000002</v>
      </c>
      <c r="AG38" s="2">
        <f t="shared" si="37"/>
        <v>0</v>
      </c>
      <c r="AH38" s="2">
        <f t="shared" si="38"/>
        <v>0.36</v>
      </c>
      <c r="AI38" s="2">
        <f t="shared" si="39"/>
        <v>0</v>
      </c>
      <c r="AJ38" s="2">
        <f t="shared" si="40"/>
        <v>0</v>
      </c>
      <c r="AK38" s="2">
        <v>13.56</v>
      </c>
      <c r="AL38" s="2">
        <v>1.67</v>
      </c>
      <c r="AM38" s="2">
        <v>0</v>
      </c>
      <c r="AN38" s="2">
        <v>0</v>
      </c>
      <c r="AO38" s="2">
        <v>11.89</v>
      </c>
      <c r="AP38" s="2">
        <v>0</v>
      </c>
      <c r="AQ38" s="2">
        <v>1</v>
      </c>
      <c r="AR38" s="2">
        <v>0</v>
      </c>
      <c r="AS38" s="2">
        <v>0</v>
      </c>
      <c r="AT38" s="2">
        <v>95</v>
      </c>
      <c r="AU38" s="2">
        <v>53</v>
      </c>
      <c r="AV38" s="2">
        <v>1.0469999999999999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57</v>
      </c>
      <c r="BK38" s="2"/>
      <c r="BL38" s="2"/>
      <c r="BM38" s="2">
        <v>69</v>
      </c>
      <c r="BN38" s="2">
        <v>0</v>
      </c>
      <c r="BO38" s="2" t="s">
        <v>55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95</v>
      </c>
      <c r="CA38" s="2">
        <v>53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818</v>
      </c>
      <c r="CO38" s="2">
        <v>0</v>
      </c>
      <c r="CP38" s="2">
        <f t="shared" si="41"/>
        <v>17.93</v>
      </c>
      <c r="CQ38" s="2">
        <f t="shared" si="42"/>
        <v>0</v>
      </c>
      <c r="CR38" s="2">
        <f t="shared" si="43"/>
        <v>0</v>
      </c>
      <c r="CS38" s="2">
        <f t="shared" si="44"/>
        <v>0</v>
      </c>
      <c r="CT38" s="2">
        <f t="shared" si="45"/>
        <v>4.4800000000000004</v>
      </c>
      <c r="CU38" s="2">
        <f t="shared" si="46"/>
        <v>0</v>
      </c>
      <c r="CV38" s="2">
        <f t="shared" si="47"/>
        <v>0.37691999999999998</v>
      </c>
      <c r="CW38" s="2">
        <f t="shared" si="48"/>
        <v>0</v>
      </c>
      <c r="CX38" s="2">
        <f t="shared" si="49"/>
        <v>0</v>
      </c>
      <c r="CY38" s="2">
        <f t="shared" si="50"/>
        <v>17.03</v>
      </c>
      <c r="CZ38" s="2">
        <f t="shared" si="51"/>
        <v>9.5</v>
      </c>
      <c r="DA38" s="2"/>
      <c r="DB38" s="2">
        <v>21</v>
      </c>
      <c r="DC38" s="2" t="s">
        <v>3</v>
      </c>
      <c r="DD38" s="2" t="s">
        <v>31</v>
      </c>
      <c r="DE38" s="2" t="s">
        <v>32</v>
      </c>
      <c r="DF38" s="2" t="s">
        <v>32</v>
      </c>
      <c r="DG38" s="2" t="s">
        <v>32</v>
      </c>
      <c r="DH38" s="2" t="s">
        <v>3</v>
      </c>
      <c r="DI38" s="2" t="s">
        <v>32</v>
      </c>
      <c r="DJ38" s="2" t="s">
        <v>32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29</v>
      </c>
      <c r="DW38" s="2" t="s">
        <v>29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57248653</v>
      </c>
      <c r="EF38" s="2">
        <v>40</v>
      </c>
      <c r="EG38" s="2" t="s">
        <v>33</v>
      </c>
      <c r="EH38" s="2">
        <v>0</v>
      </c>
      <c r="EI38" s="2" t="s">
        <v>3</v>
      </c>
      <c r="EJ38" s="2">
        <v>2</v>
      </c>
      <c r="EK38" s="2">
        <v>69</v>
      </c>
      <c r="EL38" s="2" t="s">
        <v>58</v>
      </c>
      <c r="EM38" s="2" t="s">
        <v>59</v>
      </c>
      <c r="EN38" s="2"/>
      <c r="EO38" s="2" t="s">
        <v>36</v>
      </c>
      <c r="EP38" s="2"/>
      <c r="EQ38" s="2">
        <v>131072</v>
      </c>
      <c r="ER38" s="2">
        <v>13.56</v>
      </c>
      <c r="ES38" s="2">
        <v>1.67</v>
      </c>
      <c r="ET38" s="2">
        <v>0</v>
      </c>
      <c r="EU38" s="2">
        <v>0</v>
      </c>
      <c r="EV38" s="2">
        <v>11.89</v>
      </c>
      <c r="EW38" s="2">
        <v>1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95</v>
      </c>
      <c r="FY38" s="2">
        <v>53</v>
      </c>
      <c r="FZ38" s="2"/>
      <c r="GA38" s="2" t="s">
        <v>3</v>
      </c>
      <c r="GB38" s="2"/>
      <c r="GC38" s="2"/>
      <c r="GD38" s="2">
        <v>1</v>
      </c>
      <c r="GE38" s="2"/>
      <c r="GF38" s="2">
        <v>205901832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2"/>
        <v>0</v>
      </c>
      <c r="GM38" s="2">
        <f t="shared" si="53"/>
        <v>44.46</v>
      </c>
      <c r="GN38" s="2">
        <f t="shared" si="54"/>
        <v>0</v>
      </c>
      <c r="GO38" s="2">
        <f t="shared" si="55"/>
        <v>44.46</v>
      </c>
      <c r="GP38" s="2">
        <f t="shared" si="56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7"/>
        <v>0</v>
      </c>
      <c r="GW38" s="2">
        <v>1</v>
      </c>
      <c r="GX38" s="2">
        <f t="shared" si="58"/>
        <v>0</v>
      </c>
      <c r="GY38" s="2"/>
      <c r="GZ38" s="2"/>
      <c r="HA38" s="2">
        <v>0</v>
      </c>
      <c r="HB38" s="2">
        <v>0</v>
      </c>
      <c r="HC38" s="2">
        <f t="shared" si="59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ROW(SmtRes!A42)</f>
        <v>42</v>
      </c>
      <c r="D39" s="3">
        <f>ROW(EtalonRes!A56)</f>
        <v>56</v>
      </c>
      <c r="E39" s="3" t="s">
        <v>54</v>
      </c>
      <c r="F39" s="3" t="s">
        <v>55</v>
      </c>
      <c r="G39" s="3" t="s">
        <v>56</v>
      </c>
      <c r="H39" s="3" t="s">
        <v>29</v>
      </c>
      <c r="I39" s="3">
        <v>4</v>
      </c>
      <c r="J39" s="3">
        <v>0</v>
      </c>
      <c r="K39" s="3">
        <v>4</v>
      </c>
      <c r="O39" s="3">
        <f t="shared" si="21"/>
        <v>1010.36</v>
      </c>
      <c r="P39" s="3">
        <f t="shared" si="22"/>
        <v>0</v>
      </c>
      <c r="Q39" s="3">
        <f t="shared" si="23"/>
        <v>0</v>
      </c>
      <c r="R39" s="3">
        <f t="shared" si="24"/>
        <v>0</v>
      </c>
      <c r="S39" s="3">
        <f t="shared" si="25"/>
        <v>1010.36</v>
      </c>
      <c r="T39" s="3">
        <f t="shared" si="26"/>
        <v>0</v>
      </c>
      <c r="U39" s="3">
        <f t="shared" si="27"/>
        <v>1.5076799999999999</v>
      </c>
      <c r="V39" s="3">
        <f t="shared" si="28"/>
        <v>0</v>
      </c>
      <c r="W39" s="3">
        <f t="shared" si="29"/>
        <v>0</v>
      </c>
      <c r="X39" s="3">
        <f t="shared" si="30"/>
        <v>959.84</v>
      </c>
      <c r="Y39" s="3">
        <f t="shared" si="31"/>
        <v>535.49</v>
      </c>
      <c r="AA39" s="3">
        <v>57248837</v>
      </c>
      <c r="AB39" s="3">
        <f t="shared" si="32"/>
        <v>4.2804000000000002</v>
      </c>
      <c r="AC39" s="3">
        <f t="shared" si="33"/>
        <v>0</v>
      </c>
      <c r="AD39" s="3">
        <f t="shared" si="34"/>
        <v>0</v>
      </c>
      <c r="AE39" s="3">
        <f t="shared" si="35"/>
        <v>0</v>
      </c>
      <c r="AF39" s="3">
        <f t="shared" si="36"/>
        <v>4.2804000000000002</v>
      </c>
      <c r="AG39" s="3">
        <f t="shared" si="37"/>
        <v>0</v>
      </c>
      <c r="AH39" s="3">
        <f t="shared" si="38"/>
        <v>0.36</v>
      </c>
      <c r="AI39" s="3">
        <f t="shared" si="39"/>
        <v>0</v>
      </c>
      <c r="AJ39" s="3">
        <f t="shared" si="40"/>
        <v>0</v>
      </c>
      <c r="AK39" s="3">
        <v>13.56</v>
      </c>
      <c r="AL39" s="3">
        <v>1.67</v>
      </c>
      <c r="AM39" s="3">
        <v>0</v>
      </c>
      <c r="AN39" s="3">
        <v>0</v>
      </c>
      <c r="AO39" s="3">
        <v>11.89</v>
      </c>
      <c r="AP39" s="3">
        <v>0</v>
      </c>
      <c r="AQ39" s="3">
        <v>1</v>
      </c>
      <c r="AR39" s="3">
        <v>0</v>
      </c>
      <c r="AS39" s="3">
        <v>0</v>
      </c>
      <c r="AT39" s="3">
        <v>95</v>
      </c>
      <c r="AU39" s="3">
        <v>53</v>
      </c>
      <c r="AV39" s="3">
        <v>1.0469999999999999</v>
      </c>
      <c r="AW39" s="3">
        <v>1</v>
      </c>
      <c r="AZ39" s="3">
        <v>1</v>
      </c>
      <c r="BA39" s="3">
        <v>56.35</v>
      </c>
      <c r="BB39" s="3">
        <v>1</v>
      </c>
      <c r="BC39" s="3">
        <v>17.87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57</v>
      </c>
      <c r="BM39" s="3">
        <v>69</v>
      </c>
      <c r="BN39" s="3">
        <v>0</v>
      </c>
      <c r="BO39" s="3" t="s">
        <v>55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95</v>
      </c>
      <c r="CA39" s="3">
        <v>53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818</v>
      </c>
      <c r="CO39" s="3">
        <v>0</v>
      </c>
      <c r="CP39" s="3">
        <f t="shared" si="41"/>
        <v>1010.36</v>
      </c>
      <c r="CQ39" s="3">
        <f t="shared" si="42"/>
        <v>0</v>
      </c>
      <c r="CR39" s="3">
        <f t="shared" si="43"/>
        <v>0</v>
      </c>
      <c r="CS39" s="3">
        <f t="shared" si="44"/>
        <v>0</v>
      </c>
      <c r="CT39" s="3">
        <f t="shared" si="45"/>
        <v>252.45</v>
      </c>
      <c r="CU39" s="3">
        <f t="shared" si="46"/>
        <v>0</v>
      </c>
      <c r="CV39" s="3">
        <f t="shared" si="47"/>
        <v>0.37691999999999998</v>
      </c>
      <c r="CW39" s="3">
        <f t="shared" si="48"/>
        <v>0</v>
      </c>
      <c r="CX39" s="3">
        <f t="shared" si="49"/>
        <v>0</v>
      </c>
      <c r="CY39" s="3">
        <f t="shared" si="50"/>
        <v>959.84</v>
      </c>
      <c r="CZ39" s="3">
        <f t="shared" si="51"/>
        <v>535.49</v>
      </c>
      <c r="DB39" s="3">
        <v>23</v>
      </c>
      <c r="DC39" s="3" t="s">
        <v>3</v>
      </c>
      <c r="DD39" s="3" t="s">
        <v>31</v>
      </c>
      <c r="DE39" s="3" t="s">
        <v>32</v>
      </c>
      <c r="DF39" s="3" t="s">
        <v>32</v>
      </c>
      <c r="DG39" s="3" t="s">
        <v>32</v>
      </c>
      <c r="DH39" s="3" t="s">
        <v>3</v>
      </c>
      <c r="DI39" s="3" t="s">
        <v>32</v>
      </c>
      <c r="DJ39" s="3" t="s">
        <v>32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29</v>
      </c>
      <c r="DW39" s="3" t="s">
        <v>29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57248653</v>
      </c>
      <c r="EF39" s="3">
        <v>40</v>
      </c>
      <c r="EG39" s="3" t="s">
        <v>33</v>
      </c>
      <c r="EH39" s="3">
        <v>0</v>
      </c>
      <c r="EI39" s="3" t="s">
        <v>3</v>
      </c>
      <c r="EJ39" s="3">
        <v>2</v>
      </c>
      <c r="EK39" s="3">
        <v>69</v>
      </c>
      <c r="EL39" s="3" t="s">
        <v>58</v>
      </c>
      <c r="EM39" s="3" t="s">
        <v>59</v>
      </c>
      <c r="EO39" s="3" t="s">
        <v>36</v>
      </c>
      <c r="EQ39" s="3">
        <v>131072</v>
      </c>
      <c r="ER39" s="3">
        <v>13.56</v>
      </c>
      <c r="ES39" s="3">
        <v>1.67</v>
      </c>
      <c r="ET39" s="3">
        <v>0</v>
      </c>
      <c r="EU39" s="3">
        <v>0</v>
      </c>
      <c r="EV39" s="3">
        <v>11.89</v>
      </c>
      <c r="EW39" s="3">
        <v>1</v>
      </c>
      <c r="EX39" s="3">
        <v>0</v>
      </c>
      <c r="EY39" s="3">
        <v>0</v>
      </c>
      <c r="FQ39" s="3">
        <v>0</v>
      </c>
      <c r="FR39" s="3">
        <v>0</v>
      </c>
      <c r="FS39" s="3">
        <v>0</v>
      </c>
      <c r="FX39" s="3">
        <v>95</v>
      </c>
      <c r="FY39" s="3">
        <v>53</v>
      </c>
      <c r="GA39" s="3" t="s">
        <v>3</v>
      </c>
      <c r="GD39" s="3">
        <v>1</v>
      </c>
      <c r="GF39" s="3">
        <v>205901832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52"/>
        <v>0</v>
      </c>
      <c r="GM39" s="3">
        <f t="shared" si="53"/>
        <v>2505.69</v>
      </c>
      <c r="GN39" s="3">
        <f t="shared" si="54"/>
        <v>0</v>
      </c>
      <c r="GO39" s="3">
        <f t="shared" si="55"/>
        <v>2505.69</v>
      </c>
      <c r="GP39" s="3">
        <f t="shared" si="56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57"/>
        <v>0</v>
      </c>
      <c r="GW39" s="3">
        <v>1</v>
      </c>
      <c r="GX39" s="3">
        <f t="shared" si="58"/>
        <v>0</v>
      </c>
      <c r="HA39" s="3">
        <v>0</v>
      </c>
      <c r="HB39" s="3">
        <v>0</v>
      </c>
      <c r="HC39" s="3">
        <f t="shared" si="59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ROW(SmtRes!A43)</f>
        <v>43</v>
      </c>
      <c r="D40" s="2">
        <f>ROW(EtalonRes!A57)</f>
        <v>57</v>
      </c>
      <c r="E40" s="2" t="s">
        <v>60</v>
      </c>
      <c r="F40" s="2" t="s">
        <v>61</v>
      </c>
      <c r="G40" s="2" t="s">
        <v>62</v>
      </c>
      <c r="H40" s="2" t="s">
        <v>29</v>
      </c>
      <c r="I40" s="2">
        <v>4</v>
      </c>
      <c r="J40" s="2">
        <v>0</v>
      </c>
      <c r="K40" s="2">
        <v>4</v>
      </c>
      <c r="L40" s="2"/>
      <c r="M40" s="2"/>
      <c r="N40" s="2"/>
      <c r="O40" s="2">
        <f t="shared" si="21"/>
        <v>15.98</v>
      </c>
      <c r="P40" s="2">
        <f t="shared" si="22"/>
        <v>0</v>
      </c>
      <c r="Q40" s="2">
        <f t="shared" si="23"/>
        <v>0</v>
      </c>
      <c r="R40" s="2">
        <f t="shared" si="24"/>
        <v>0</v>
      </c>
      <c r="S40" s="2">
        <f t="shared" si="25"/>
        <v>15.98</v>
      </c>
      <c r="T40" s="2">
        <f t="shared" si="26"/>
        <v>0</v>
      </c>
      <c r="U40" s="2">
        <f t="shared" si="27"/>
        <v>1.2664511999999999</v>
      </c>
      <c r="V40" s="2">
        <f t="shared" si="28"/>
        <v>0</v>
      </c>
      <c r="W40" s="2">
        <f t="shared" si="29"/>
        <v>0</v>
      </c>
      <c r="X40" s="2">
        <f t="shared" si="30"/>
        <v>14.38</v>
      </c>
      <c r="Y40" s="2">
        <f t="shared" si="31"/>
        <v>7.35</v>
      </c>
      <c r="Z40" s="2"/>
      <c r="AA40" s="2">
        <v>57248835</v>
      </c>
      <c r="AB40" s="2">
        <f t="shared" si="32"/>
        <v>3.8159999999999998</v>
      </c>
      <c r="AC40" s="2">
        <f t="shared" si="33"/>
        <v>0</v>
      </c>
      <c r="AD40" s="2">
        <f t="shared" si="34"/>
        <v>0</v>
      </c>
      <c r="AE40" s="2">
        <f t="shared" si="35"/>
        <v>0</v>
      </c>
      <c r="AF40" s="2">
        <f t="shared" si="36"/>
        <v>3.8159999999999998</v>
      </c>
      <c r="AG40" s="2">
        <f t="shared" si="37"/>
        <v>0</v>
      </c>
      <c r="AH40" s="2">
        <f t="shared" si="38"/>
        <v>0.3024</v>
      </c>
      <c r="AI40" s="2">
        <f t="shared" si="39"/>
        <v>0</v>
      </c>
      <c r="AJ40" s="2">
        <f t="shared" si="40"/>
        <v>0</v>
      </c>
      <c r="AK40" s="2">
        <v>11.65</v>
      </c>
      <c r="AL40" s="2">
        <v>1.05</v>
      </c>
      <c r="AM40" s="2">
        <v>0</v>
      </c>
      <c r="AN40" s="2">
        <v>0</v>
      </c>
      <c r="AO40" s="2">
        <v>10.6</v>
      </c>
      <c r="AP40" s="2">
        <v>0</v>
      </c>
      <c r="AQ40" s="2">
        <v>0.84</v>
      </c>
      <c r="AR40" s="2">
        <v>0</v>
      </c>
      <c r="AS40" s="2">
        <v>0</v>
      </c>
      <c r="AT40" s="2">
        <v>90</v>
      </c>
      <c r="AU40" s="2">
        <v>46</v>
      </c>
      <c r="AV40" s="2">
        <v>1.0469999999999999</v>
      </c>
      <c r="AW40" s="2">
        <v>1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63</v>
      </c>
      <c r="BK40" s="2"/>
      <c r="BL40" s="2"/>
      <c r="BM40" s="2">
        <v>68</v>
      </c>
      <c r="BN40" s="2">
        <v>0</v>
      </c>
      <c r="BO40" s="2" t="s">
        <v>61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818</v>
      </c>
      <c r="CO40" s="2">
        <v>0</v>
      </c>
      <c r="CP40" s="2">
        <f t="shared" si="41"/>
        <v>15.98</v>
      </c>
      <c r="CQ40" s="2">
        <f t="shared" si="42"/>
        <v>0</v>
      </c>
      <c r="CR40" s="2">
        <f t="shared" si="43"/>
        <v>0</v>
      </c>
      <c r="CS40" s="2">
        <f t="shared" si="44"/>
        <v>0</v>
      </c>
      <c r="CT40" s="2">
        <f t="shared" si="45"/>
        <v>4</v>
      </c>
      <c r="CU40" s="2">
        <f t="shared" si="46"/>
        <v>0</v>
      </c>
      <c r="CV40" s="2">
        <f t="shared" si="47"/>
        <v>0.31661279999999997</v>
      </c>
      <c r="CW40" s="2">
        <f t="shared" si="48"/>
        <v>0</v>
      </c>
      <c r="CX40" s="2">
        <f t="shared" si="49"/>
        <v>0</v>
      </c>
      <c r="CY40" s="2">
        <f t="shared" si="50"/>
        <v>14.38</v>
      </c>
      <c r="CZ40" s="2">
        <f t="shared" si="51"/>
        <v>7.35</v>
      </c>
      <c r="DA40" s="2"/>
      <c r="DB40" s="2">
        <v>25</v>
      </c>
      <c r="DC40" s="2" t="s">
        <v>3</v>
      </c>
      <c r="DD40" s="2" t="s">
        <v>31</v>
      </c>
      <c r="DE40" s="2" t="s">
        <v>32</v>
      </c>
      <c r="DF40" s="2" t="s">
        <v>32</v>
      </c>
      <c r="DG40" s="2" t="s">
        <v>32</v>
      </c>
      <c r="DH40" s="2" t="s">
        <v>3</v>
      </c>
      <c r="DI40" s="2" t="s">
        <v>32</v>
      </c>
      <c r="DJ40" s="2" t="s">
        <v>32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29</v>
      </c>
      <c r="DW40" s="2" t="s">
        <v>29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57248652</v>
      </c>
      <c r="EF40" s="2">
        <v>40</v>
      </c>
      <c r="EG40" s="2" t="s">
        <v>33</v>
      </c>
      <c r="EH40" s="2">
        <v>0</v>
      </c>
      <c r="EI40" s="2" t="s">
        <v>3</v>
      </c>
      <c r="EJ40" s="2">
        <v>2</v>
      </c>
      <c r="EK40" s="2">
        <v>68</v>
      </c>
      <c r="EL40" s="2" t="s">
        <v>34</v>
      </c>
      <c r="EM40" s="2" t="s">
        <v>35</v>
      </c>
      <c r="EN40" s="2"/>
      <c r="EO40" s="2" t="s">
        <v>36</v>
      </c>
      <c r="EP40" s="2"/>
      <c r="EQ40" s="2">
        <v>131072</v>
      </c>
      <c r="ER40" s="2">
        <v>11.65</v>
      </c>
      <c r="ES40" s="2">
        <v>1.05</v>
      </c>
      <c r="ET40" s="2">
        <v>0</v>
      </c>
      <c r="EU40" s="2">
        <v>0</v>
      </c>
      <c r="EV40" s="2">
        <v>10.6</v>
      </c>
      <c r="EW40" s="2">
        <v>0.84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-1537307853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2"/>
        <v>0</v>
      </c>
      <c r="GM40" s="2">
        <f t="shared" si="53"/>
        <v>37.71</v>
      </c>
      <c r="GN40" s="2">
        <f t="shared" si="54"/>
        <v>0</v>
      </c>
      <c r="GO40" s="2">
        <f t="shared" si="55"/>
        <v>37.71</v>
      </c>
      <c r="GP40" s="2">
        <f t="shared" si="56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7"/>
        <v>0</v>
      </c>
      <c r="GW40" s="2">
        <v>1</v>
      </c>
      <c r="GX40" s="2">
        <f t="shared" si="58"/>
        <v>0</v>
      </c>
      <c r="GY40" s="2"/>
      <c r="GZ40" s="2"/>
      <c r="HA40" s="2">
        <v>0</v>
      </c>
      <c r="HB40" s="2">
        <v>0</v>
      </c>
      <c r="HC40" s="2">
        <f t="shared" si="59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ROW(SmtRes!A44)</f>
        <v>44</v>
      </c>
      <c r="D41" s="3">
        <f>ROW(EtalonRes!A58)</f>
        <v>58</v>
      </c>
      <c r="E41" s="3" t="s">
        <v>60</v>
      </c>
      <c r="F41" s="3" t="s">
        <v>61</v>
      </c>
      <c r="G41" s="3" t="s">
        <v>62</v>
      </c>
      <c r="H41" s="3" t="s">
        <v>29</v>
      </c>
      <c r="I41" s="3">
        <v>4</v>
      </c>
      <c r="J41" s="3">
        <v>0</v>
      </c>
      <c r="K41" s="3">
        <v>4</v>
      </c>
      <c r="O41" s="3">
        <f t="shared" si="21"/>
        <v>900.47</v>
      </c>
      <c r="P41" s="3">
        <f t="shared" si="22"/>
        <v>0</v>
      </c>
      <c r="Q41" s="3">
        <f t="shared" si="23"/>
        <v>0</v>
      </c>
      <c r="R41" s="3">
        <f t="shared" si="24"/>
        <v>0</v>
      </c>
      <c r="S41" s="3">
        <f t="shared" si="25"/>
        <v>900.47</v>
      </c>
      <c r="T41" s="3">
        <f t="shared" si="26"/>
        <v>0</v>
      </c>
      <c r="U41" s="3">
        <f t="shared" si="27"/>
        <v>1.2664511999999999</v>
      </c>
      <c r="V41" s="3">
        <f t="shared" si="28"/>
        <v>0</v>
      </c>
      <c r="W41" s="3">
        <f t="shared" si="29"/>
        <v>0</v>
      </c>
      <c r="X41" s="3">
        <f t="shared" si="30"/>
        <v>810.42</v>
      </c>
      <c r="Y41" s="3">
        <f t="shared" si="31"/>
        <v>414.22</v>
      </c>
      <c r="AA41" s="3">
        <v>57248837</v>
      </c>
      <c r="AB41" s="3">
        <f t="shared" si="32"/>
        <v>3.8159999999999998</v>
      </c>
      <c r="AC41" s="3">
        <f t="shared" si="33"/>
        <v>0</v>
      </c>
      <c r="AD41" s="3">
        <f t="shared" si="34"/>
        <v>0</v>
      </c>
      <c r="AE41" s="3">
        <f t="shared" si="35"/>
        <v>0</v>
      </c>
      <c r="AF41" s="3">
        <f t="shared" si="36"/>
        <v>3.8159999999999998</v>
      </c>
      <c r="AG41" s="3">
        <f t="shared" si="37"/>
        <v>0</v>
      </c>
      <c r="AH41" s="3">
        <f t="shared" si="38"/>
        <v>0.3024</v>
      </c>
      <c r="AI41" s="3">
        <f t="shared" si="39"/>
        <v>0</v>
      </c>
      <c r="AJ41" s="3">
        <f t="shared" si="40"/>
        <v>0</v>
      </c>
      <c r="AK41" s="3">
        <v>11.65</v>
      </c>
      <c r="AL41" s="3">
        <v>1.05</v>
      </c>
      <c r="AM41" s="3">
        <v>0</v>
      </c>
      <c r="AN41" s="3">
        <v>0</v>
      </c>
      <c r="AO41" s="3">
        <v>10.6</v>
      </c>
      <c r="AP41" s="3">
        <v>0</v>
      </c>
      <c r="AQ41" s="3">
        <v>0.84</v>
      </c>
      <c r="AR41" s="3">
        <v>0</v>
      </c>
      <c r="AS41" s="3">
        <v>0</v>
      </c>
      <c r="AT41" s="3">
        <v>90</v>
      </c>
      <c r="AU41" s="3">
        <v>46</v>
      </c>
      <c r="AV41" s="3">
        <v>1.0469999999999999</v>
      </c>
      <c r="AW41" s="3">
        <v>1</v>
      </c>
      <c r="AZ41" s="3">
        <v>1</v>
      </c>
      <c r="BA41" s="3">
        <v>56.35</v>
      </c>
      <c r="BB41" s="3">
        <v>1</v>
      </c>
      <c r="BC41" s="3">
        <v>9.84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63</v>
      </c>
      <c r="BM41" s="3">
        <v>68</v>
      </c>
      <c r="BN41" s="3">
        <v>0</v>
      </c>
      <c r="BO41" s="3" t="s">
        <v>61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818</v>
      </c>
      <c r="CO41" s="3">
        <v>0</v>
      </c>
      <c r="CP41" s="3">
        <f t="shared" si="41"/>
        <v>900.47</v>
      </c>
      <c r="CQ41" s="3">
        <f t="shared" si="42"/>
        <v>0</v>
      </c>
      <c r="CR41" s="3">
        <f t="shared" si="43"/>
        <v>0</v>
      </c>
      <c r="CS41" s="3">
        <f t="shared" si="44"/>
        <v>0</v>
      </c>
      <c r="CT41" s="3">
        <f t="shared" si="45"/>
        <v>225.4</v>
      </c>
      <c r="CU41" s="3">
        <f t="shared" si="46"/>
        <v>0</v>
      </c>
      <c r="CV41" s="3">
        <f t="shared" si="47"/>
        <v>0.31661279999999997</v>
      </c>
      <c r="CW41" s="3">
        <f t="shared" si="48"/>
        <v>0</v>
      </c>
      <c r="CX41" s="3">
        <f t="shared" si="49"/>
        <v>0</v>
      </c>
      <c r="CY41" s="3">
        <f t="shared" si="50"/>
        <v>810.42</v>
      </c>
      <c r="CZ41" s="3">
        <f t="shared" si="51"/>
        <v>414.22</v>
      </c>
      <c r="DB41" s="3">
        <v>27</v>
      </c>
      <c r="DC41" s="3" t="s">
        <v>3</v>
      </c>
      <c r="DD41" s="3" t="s">
        <v>31</v>
      </c>
      <c r="DE41" s="3" t="s">
        <v>32</v>
      </c>
      <c r="DF41" s="3" t="s">
        <v>32</v>
      </c>
      <c r="DG41" s="3" t="s">
        <v>32</v>
      </c>
      <c r="DH41" s="3" t="s">
        <v>3</v>
      </c>
      <c r="DI41" s="3" t="s">
        <v>32</v>
      </c>
      <c r="DJ41" s="3" t="s">
        <v>32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29</v>
      </c>
      <c r="DW41" s="3" t="s">
        <v>29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57248652</v>
      </c>
      <c r="EF41" s="3">
        <v>40</v>
      </c>
      <c r="EG41" s="3" t="s">
        <v>33</v>
      </c>
      <c r="EH41" s="3">
        <v>0</v>
      </c>
      <c r="EI41" s="3" t="s">
        <v>3</v>
      </c>
      <c r="EJ41" s="3">
        <v>2</v>
      </c>
      <c r="EK41" s="3">
        <v>68</v>
      </c>
      <c r="EL41" s="3" t="s">
        <v>34</v>
      </c>
      <c r="EM41" s="3" t="s">
        <v>35</v>
      </c>
      <c r="EO41" s="3" t="s">
        <v>36</v>
      </c>
      <c r="EQ41" s="3">
        <v>131072</v>
      </c>
      <c r="ER41" s="3">
        <v>11.65</v>
      </c>
      <c r="ES41" s="3">
        <v>1.05</v>
      </c>
      <c r="ET41" s="3">
        <v>0</v>
      </c>
      <c r="EU41" s="3">
        <v>0</v>
      </c>
      <c r="EV41" s="3">
        <v>10.6</v>
      </c>
      <c r="EW41" s="3">
        <v>0.84</v>
      </c>
      <c r="EX41" s="3">
        <v>0</v>
      </c>
      <c r="EY41" s="3">
        <v>0</v>
      </c>
      <c r="FQ41" s="3">
        <v>0</v>
      </c>
      <c r="FR41" s="3">
        <v>0</v>
      </c>
      <c r="FS41" s="3">
        <v>0</v>
      </c>
      <c r="FX41" s="3">
        <v>90</v>
      </c>
      <c r="FY41" s="3">
        <v>46</v>
      </c>
      <c r="GA41" s="3" t="s">
        <v>3</v>
      </c>
      <c r="GD41" s="3">
        <v>1</v>
      </c>
      <c r="GF41" s="3">
        <v>-1537307853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52"/>
        <v>0</v>
      </c>
      <c r="GM41" s="3">
        <f t="shared" si="53"/>
        <v>2125.11</v>
      </c>
      <c r="GN41" s="3">
        <f t="shared" si="54"/>
        <v>0</v>
      </c>
      <c r="GO41" s="3">
        <f t="shared" si="55"/>
        <v>2125.11</v>
      </c>
      <c r="GP41" s="3">
        <f t="shared" si="56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57"/>
        <v>0</v>
      </c>
      <c r="GW41" s="3">
        <v>1</v>
      </c>
      <c r="GX41" s="3">
        <f t="shared" si="58"/>
        <v>0</v>
      </c>
      <c r="HA41" s="3">
        <v>0</v>
      </c>
      <c r="HB41" s="3">
        <v>0</v>
      </c>
      <c r="HC41" s="3">
        <f t="shared" si="59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ROW(SmtRes!A50)</f>
        <v>50</v>
      </c>
      <c r="D42" s="2">
        <f>ROW(EtalonRes!A66)</f>
        <v>66</v>
      </c>
      <c r="E42" s="2" t="s">
        <v>64</v>
      </c>
      <c r="F42" s="2" t="s">
        <v>65</v>
      </c>
      <c r="G42" s="2" t="s">
        <v>66</v>
      </c>
      <c r="H42" s="2" t="s">
        <v>67</v>
      </c>
      <c r="I42" s="2">
        <f>ROUND((4+4+4)/100,9)</f>
        <v>0.12</v>
      </c>
      <c r="J42" s="2">
        <v>0</v>
      </c>
      <c r="K42" s="2">
        <f>ROUND((4+4+4)/100,9)</f>
        <v>0.12</v>
      </c>
      <c r="L42" s="2"/>
      <c r="M42" s="2"/>
      <c r="N42" s="2"/>
      <c r="O42" s="2">
        <f t="shared" si="21"/>
        <v>53.97</v>
      </c>
      <c r="P42" s="2">
        <f t="shared" si="22"/>
        <v>0</v>
      </c>
      <c r="Q42" s="2">
        <f t="shared" si="23"/>
        <v>4.22</v>
      </c>
      <c r="R42" s="2">
        <f t="shared" si="24"/>
        <v>0.59</v>
      </c>
      <c r="S42" s="2">
        <f t="shared" si="25"/>
        <v>49.75</v>
      </c>
      <c r="T42" s="2">
        <f t="shared" si="26"/>
        <v>0</v>
      </c>
      <c r="U42" s="2">
        <f t="shared" si="27"/>
        <v>3.8296579679999994</v>
      </c>
      <c r="V42" s="2">
        <f t="shared" si="28"/>
        <v>0</v>
      </c>
      <c r="W42" s="2">
        <f t="shared" si="29"/>
        <v>0</v>
      </c>
      <c r="X42" s="2">
        <f t="shared" si="30"/>
        <v>48.83</v>
      </c>
      <c r="Y42" s="2">
        <f t="shared" si="31"/>
        <v>25.67</v>
      </c>
      <c r="Z42" s="2"/>
      <c r="AA42" s="2">
        <v>57248835</v>
      </c>
      <c r="AB42" s="2">
        <f t="shared" si="32"/>
        <v>429.54480000000001</v>
      </c>
      <c r="AC42" s="2">
        <f t="shared" si="33"/>
        <v>0</v>
      </c>
      <c r="AD42" s="2">
        <f t="shared" si="34"/>
        <v>33.595199999999998</v>
      </c>
      <c r="AE42" s="2">
        <f t="shared" si="35"/>
        <v>4.68</v>
      </c>
      <c r="AF42" s="2">
        <f t="shared" si="36"/>
        <v>395.94959999999998</v>
      </c>
      <c r="AG42" s="2">
        <f t="shared" si="37"/>
        <v>0</v>
      </c>
      <c r="AH42" s="2">
        <f t="shared" si="38"/>
        <v>30.481199999999998</v>
      </c>
      <c r="AI42" s="2">
        <f t="shared" si="39"/>
        <v>0</v>
      </c>
      <c r="AJ42" s="2">
        <f t="shared" si="40"/>
        <v>0</v>
      </c>
      <c r="AK42" s="2">
        <v>1274.54</v>
      </c>
      <c r="AL42" s="2">
        <v>81.36</v>
      </c>
      <c r="AM42" s="2">
        <v>93.32</v>
      </c>
      <c r="AN42" s="2">
        <v>13</v>
      </c>
      <c r="AO42" s="2">
        <v>1099.8599999999999</v>
      </c>
      <c r="AP42" s="2">
        <v>0</v>
      </c>
      <c r="AQ42" s="2">
        <v>84.67</v>
      </c>
      <c r="AR42" s="2">
        <v>0</v>
      </c>
      <c r="AS42" s="2">
        <v>0</v>
      </c>
      <c r="AT42" s="2">
        <v>97</v>
      </c>
      <c r="AU42" s="2">
        <v>51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68</v>
      </c>
      <c r="BK42" s="2"/>
      <c r="BL42" s="2"/>
      <c r="BM42" s="2">
        <v>67</v>
      </c>
      <c r="BN42" s="2">
        <v>0</v>
      </c>
      <c r="BO42" s="2" t="s">
        <v>65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97</v>
      </c>
      <c r="CA42" s="2">
        <v>51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818</v>
      </c>
      <c r="CO42" s="2">
        <v>0</v>
      </c>
      <c r="CP42" s="2">
        <f t="shared" si="41"/>
        <v>53.97</v>
      </c>
      <c r="CQ42" s="2">
        <f t="shared" si="42"/>
        <v>0</v>
      </c>
      <c r="CR42" s="2">
        <f t="shared" si="43"/>
        <v>35.17</v>
      </c>
      <c r="CS42" s="2">
        <f t="shared" si="44"/>
        <v>4.9000000000000004</v>
      </c>
      <c r="CT42" s="2">
        <f t="shared" si="45"/>
        <v>414.56</v>
      </c>
      <c r="CU42" s="2">
        <f t="shared" si="46"/>
        <v>0</v>
      </c>
      <c r="CV42" s="2">
        <f t="shared" si="47"/>
        <v>31.913816399999995</v>
      </c>
      <c r="CW42" s="2">
        <f t="shared" si="48"/>
        <v>0</v>
      </c>
      <c r="CX42" s="2">
        <f t="shared" si="49"/>
        <v>0</v>
      </c>
      <c r="CY42" s="2">
        <f t="shared" si="50"/>
        <v>53.01</v>
      </c>
      <c r="CZ42" s="2">
        <f t="shared" si="51"/>
        <v>27.87</v>
      </c>
      <c r="DA42" s="2"/>
      <c r="DB42" s="2">
        <v>29</v>
      </c>
      <c r="DC42" s="2" t="s">
        <v>3</v>
      </c>
      <c r="DD42" s="2" t="s">
        <v>31</v>
      </c>
      <c r="DE42" s="2" t="s">
        <v>32</v>
      </c>
      <c r="DF42" s="2" t="s">
        <v>32</v>
      </c>
      <c r="DG42" s="2" t="s">
        <v>32</v>
      </c>
      <c r="DH42" s="2" t="s">
        <v>3</v>
      </c>
      <c r="DI42" s="2" t="s">
        <v>32</v>
      </c>
      <c r="DJ42" s="2" t="s">
        <v>32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67</v>
      </c>
      <c r="DW42" s="2" t="s">
        <v>67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57248651</v>
      </c>
      <c r="EF42" s="2">
        <v>40</v>
      </c>
      <c r="EG42" s="2" t="s">
        <v>33</v>
      </c>
      <c r="EH42" s="2">
        <v>0</v>
      </c>
      <c r="EI42" s="2" t="s">
        <v>3</v>
      </c>
      <c r="EJ42" s="2">
        <v>2</v>
      </c>
      <c r="EK42" s="2">
        <v>67</v>
      </c>
      <c r="EL42" s="2" t="s">
        <v>69</v>
      </c>
      <c r="EM42" s="2" t="s">
        <v>70</v>
      </c>
      <c r="EN42" s="2"/>
      <c r="EO42" s="2" t="s">
        <v>36</v>
      </c>
      <c r="EP42" s="2"/>
      <c r="EQ42" s="2">
        <v>131072</v>
      </c>
      <c r="ER42" s="2">
        <v>1274.54</v>
      </c>
      <c r="ES42" s="2">
        <v>81.36</v>
      </c>
      <c r="ET42" s="2">
        <v>93.32</v>
      </c>
      <c r="EU42" s="2">
        <v>13</v>
      </c>
      <c r="EV42" s="2">
        <v>1099.8599999999999</v>
      </c>
      <c r="EW42" s="2">
        <v>84.67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97</v>
      </c>
      <c r="FY42" s="2">
        <v>51</v>
      </c>
      <c r="FZ42" s="2"/>
      <c r="GA42" s="2" t="s">
        <v>3</v>
      </c>
      <c r="GB42" s="2"/>
      <c r="GC42" s="2"/>
      <c r="GD42" s="2">
        <v>1</v>
      </c>
      <c r="GE42" s="2"/>
      <c r="GF42" s="2">
        <v>-1893547232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2"/>
        <v>0</v>
      </c>
      <c r="GM42" s="2">
        <f t="shared" si="53"/>
        <v>128.47</v>
      </c>
      <c r="GN42" s="2">
        <f t="shared" si="54"/>
        <v>0</v>
      </c>
      <c r="GO42" s="2">
        <f t="shared" si="55"/>
        <v>128.47</v>
      </c>
      <c r="GP42" s="2">
        <f t="shared" si="56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7"/>
        <v>0</v>
      </c>
      <c r="GW42" s="2">
        <v>1</v>
      </c>
      <c r="GX42" s="2">
        <f t="shared" si="58"/>
        <v>0</v>
      </c>
      <c r="GY42" s="2"/>
      <c r="GZ42" s="2"/>
      <c r="HA42" s="2">
        <v>0</v>
      </c>
      <c r="HB42" s="2">
        <v>0</v>
      </c>
      <c r="HC42" s="2">
        <f t="shared" si="59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ROW(SmtRes!A56)</f>
        <v>56</v>
      </c>
      <c r="D43" s="3">
        <f>ROW(EtalonRes!A74)</f>
        <v>74</v>
      </c>
      <c r="E43" s="3" t="s">
        <v>64</v>
      </c>
      <c r="F43" s="3" t="s">
        <v>65</v>
      </c>
      <c r="G43" s="3" t="s">
        <v>66</v>
      </c>
      <c r="H43" s="3" t="s">
        <v>67</v>
      </c>
      <c r="I43" s="3">
        <f>ROUND((4+4+4)/100,9)</f>
        <v>0.12</v>
      </c>
      <c r="J43" s="3">
        <v>0</v>
      </c>
      <c r="K43" s="3">
        <f>ROUND((4+4+4)/100,9)</f>
        <v>0.12</v>
      </c>
      <c r="O43" s="3">
        <f t="shared" si="21"/>
        <v>2872.7</v>
      </c>
      <c r="P43" s="3">
        <f t="shared" si="22"/>
        <v>0</v>
      </c>
      <c r="Q43" s="3">
        <f t="shared" si="23"/>
        <v>69.290000000000006</v>
      </c>
      <c r="R43" s="3">
        <f t="shared" si="24"/>
        <v>33.25</v>
      </c>
      <c r="S43" s="3">
        <f t="shared" si="25"/>
        <v>2803.41</v>
      </c>
      <c r="T43" s="3">
        <f t="shared" si="26"/>
        <v>0</v>
      </c>
      <c r="U43" s="3">
        <f t="shared" si="27"/>
        <v>3.8296579679999994</v>
      </c>
      <c r="V43" s="3">
        <f t="shared" si="28"/>
        <v>0</v>
      </c>
      <c r="W43" s="3">
        <f t="shared" si="29"/>
        <v>0</v>
      </c>
      <c r="X43" s="3">
        <f t="shared" si="30"/>
        <v>2751.56</v>
      </c>
      <c r="Y43" s="3">
        <f t="shared" si="31"/>
        <v>1446.7</v>
      </c>
      <c r="AA43" s="3">
        <v>57248837</v>
      </c>
      <c r="AB43" s="3">
        <f t="shared" si="32"/>
        <v>429.54480000000001</v>
      </c>
      <c r="AC43" s="3">
        <f t="shared" si="33"/>
        <v>0</v>
      </c>
      <c r="AD43" s="3">
        <f t="shared" si="34"/>
        <v>33.595199999999998</v>
      </c>
      <c r="AE43" s="3">
        <f t="shared" si="35"/>
        <v>4.68</v>
      </c>
      <c r="AF43" s="3">
        <f t="shared" si="36"/>
        <v>395.94959999999998</v>
      </c>
      <c r="AG43" s="3">
        <f t="shared" si="37"/>
        <v>0</v>
      </c>
      <c r="AH43" s="3">
        <f t="shared" si="38"/>
        <v>30.481199999999998</v>
      </c>
      <c r="AI43" s="3">
        <f t="shared" si="39"/>
        <v>0</v>
      </c>
      <c r="AJ43" s="3">
        <f t="shared" si="40"/>
        <v>0</v>
      </c>
      <c r="AK43" s="3">
        <v>1274.54</v>
      </c>
      <c r="AL43" s="3">
        <v>81.36</v>
      </c>
      <c r="AM43" s="3">
        <v>93.32</v>
      </c>
      <c r="AN43" s="3">
        <v>13</v>
      </c>
      <c r="AO43" s="3">
        <v>1099.8599999999999</v>
      </c>
      <c r="AP43" s="3">
        <v>0</v>
      </c>
      <c r="AQ43" s="3">
        <v>84.67</v>
      </c>
      <c r="AR43" s="3">
        <v>0</v>
      </c>
      <c r="AS43" s="3">
        <v>0</v>
      </c>
      <c r="AT43" s="3">
        <v>97</v>
      </c>
      <c r="AU43" s="3">
        <v>51</v>
      </c>
      <c r="AV43" s="3">
        <v>1.0469999999999999</v>
      </c>
      <c r="AW43" s="3">
        <v>1</v>
      </c>
      <c r="AZ43" s="3">
        <v>1</v>
      </c>
      <c r="BA43" s="3">
        <v>56.35</v>
      </c>
      <c r="BB43" s="3">
        <v>16.420000000000002</v>
      </c>
      <c r="BC43" s="3">
        <v>10.65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68</v>
      </c>
      <c r="BM43" s="3">
        <v>67</v>
      </c>
      <c r="BN43" s="3">
        <v>0</v>
      </c>
      <c r="BO43" s="3" t="s">
        <v>65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97</v>
      </c>
      <c r="CA43" s="3">
        <v>51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818</v>
      </c>
      <c r="CO43" s="3">
        <v>0</v>
      </c>
      <c r="CP43" s="3">
        <f t="shared" si="41"/>
        <v>2872.7</v>
      </c>
      <c r="CQ43" s="3">
        <f t="shared" si="42"/>
        <v>0</v>
      </c>
      <c r="CR43" s="3">
        <f t="shared" si="43"/>
        <v>577.49</v>
      </c>
      <c r="CS43" s="3">
        <f t="shared" si="44"/>
        <v>276.12</v>
      </c>
      <c r="CT43" s="3">
        <f t="shared" si="45"/>
        <v>23360.46</v>
      </c>
      <c r="CU43" s="3">
        <f t="shared" si="46"/>
        <v>0</v>
      </c>
      <c r="CV43" s="3">
        <f t="shared" si="47"/>
        <v>31.913816399999995</v>
      </c>
      <c r="CW43" s="3">
        <f t="shared" si="48"/>
        <v>0</v>
      </c>
      <c r="CX43" s="3">
        <f t="shared" si="49"/>
        <v>0</v>
      </c>
      <c r="CY43" s="3">
        <f t="shared" si="50"/>
        <v>2987.14</v>
      </c>
      <c r="CZ43" s="3">
        <f t="shared" si="51"/>
        <v>1570.56</v>
      </c>
      <c r="DB43" s="3">
        <v>31</v>
      </c>
      <c r="DC43" s="3" t="s">
        <v>3</v>
      </c>
      <c r="DD43" s="3" t="s">
        <v>31</v>
      </c>
      <c r="DE43" s="3" t="s">
        <v>32</v>
      </c>
      <c r="DF43" s="3" t="s">
        <v>32</v>
      </c>
      <c r="DG43" s="3" t="s">
        <v>32</v>
      </c>
      <c r="DH43" s="3" t="s">
        <v>3</v>
      </c>
      <c r="DI43" s="3" t="s">
        <v>32</v>
      </c>
      <c r="DJ43" s="3" t="s">
        <v>32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1010</v>
      </c>
      <c r="DV43" s="3" t="s">
        <v>67</v>
      </c>
      <c r="DW43" s="3" t="s">
        <v>67</v>
      </c>
      <c r="DX43" s="3">
        <v>100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57248651</v>
      </c>
      <c r="EF43" s="3">
        <v>40</v>
      </c>
      <c r="EG43" s="3" t="s">
        <v>33</v>
      </c>
      <c r="EH43" s="3">
        <v>0</v>
      </c>
      <c r="EI43" s="3" t="s">
        <v>3</v>
      </c>
      <c r="EJ43" s="3">
        <v>2</v>
      </c>
      <c r="EK43" s="3">
        <v>67</v>
      </c>
      <c r="EL43" s="3" t="s">
        <v>69</v>
      </c>
      <c r="EM43" s="3" t="s">
        <v>70</v>
      </c>
      <c r="EO43" s="3" t="s">
        <v>36</v>
      </c>
      <c r="EQ43" s="3">
        <v>131072</v>
      </c>
      <c r="ER43" s="3">
        <v>1274.54</v>
      </c>
      <c r="ES43" s="3">
        <v>81.36</v>
      </c>
      <c r="ET43" s="3">
        <v>93.32</v>
      </c>
      <c r="EU43" s="3">
        <v>13</v>
      </c>
      <c r="EV43" s="3">
        <v>1099.8599999999999</v>
      </c>
      <c r="EW43" s="3">
        <v>84.67</v>
      </c>
      <c r="EX43" s="3">
        <v>0</v>
      </c>
      <c r="EY43" s="3">
        <v>0</v>
      </c>
      <c r="FQ43" s="3">
        <v>0</v>
      </c>
      <c r="FR43" s="3">
        <v>0</v>
      </c>
      <c r="FS43" s="3">
        <v>0</v>
      </c>
      <c r="FX43" s="3">
        <v>97</v>
      </c>
      <c r="FY43" s="3">
        <v>51</v>
      </c>
      <c r="GA43" s="3" t="s">
        <v>3</v>
      </c>
      <c r="GD43" s="3">
        <v>1</v>
      </c>
      <c r="GF43" s="3">
        <v>-1893547232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52"/>
        <v>0</v>
      </c>
      <c r="GM43" s="3">
        <f t="shared" si="53"/>
        <v>7070.96</v>
      </c>
      <c r="GN43" s="3">
        <f t="shared" si="54"/>
        <v>0</v>
      </c>
      <c r="GO43" s="3">
        <f t="shared" si="55"/>
        <v>7070.96</v>
      </c>
      <c r="GP43" s="3">
        <f t="shared" si="56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57"/>
        <v>0</v>
      </c>
      <c r="GW43" s="3">
        <v>1</v>
      </c>
      <c r="GX43" s="3">
        <f t="shared" si="58"/>
        <v>0</v>
      </c>
      <c r="HA43" s="3">
        <v>0</v>
      </c>
      <c r="HB43" s="3">
        <v>0</v>
      </c>
      <c r="HC43" s="3">
        <f t="shared" si="59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ROW(SmtRes!A57)</f>
        <v>57</v>
      </c>
      <c r="D44" s="2">
        <f>ROW(EtalonRes!A75)</f>
        <v>75</v>
      </c>
      <c r="E44" s="2" t="s">
        <v>71</v>
      </c>
      <c r="F44" s="2" t="s">
        <v>51</v>
      </c>
      <c r="G44" s="2" t="s">
        <v>72</v>
      </c>
      <c r="H44" s="2" t="s">
        <v>29</v>
      </c>
      <c r="I44" s="2">
        <v>4</v>
      </c>
      <c r="J44" s="2">
        <v>0</v>
      </c>
      <c r="K44" s="2">
        <v>4</v>
      </c>
      <c r="L44" s="2"/>
      <c r="M44" s="2"/>
      <c r="N44" s="2"/>
      <c r="O44" s="2">
        <f t="shared" si="21"/>
        <v>32.049999999999997</v>
      </c>
      <c r="P44" s="2">
        <f t="shared" si="22"/>
        <v>0</v>
      </c>
      <c r="Q44" s="2">
        <f t="shared" si="23"/>
        <v>0.09</v>
      </c>
      <c r="R44" s="2">
        <f t="shared" si="24"/>
        <v>0.02</v>
      </c>
      <c r="S44" s="2">
        <f t="shared" si="25"/>
        <v>31.96</v>
      </c>
      <c r="T44" s="2">
        <f t="shared" si="26"/>
        <v>0</v>
      </c>
      <c r="U44" s="2">
        <f t="shared" si="27"/>
        <v>2.5329023999999998</v>
      </c>
      <c r="V44" s="2">
        <f t="shared" si="28"/>
        <v>0</v>
      </c>
      <c r="W44" s="2">
        <f t="shared" si="29"/>
        <v>0</v>
      </c>
      <c r="X44" s="2">
        <f t="shared" si="30"/>
        <v>28.78</v>
      </c>
      <c r="Y44" s="2">
        <f t="shared" si="31"/>
        <v>14.71</v>
      </c>
      <c r="Z44" s="2"/>
      <c r="AA44" s="2">
        <v>57248835</v>
      </c>
      <c r="AB44" s="2">
        <f t="shared" si="32"/>
        <v>7.6536</v>
      </c>
      <c r="AC44" s="2">
        <f t="shared" si="33"/>
        <v>0</v>
      </c>
      <c r="AD44" s="2">
        <f t="shared" si="34"/>
        <v>2.1600000000000001E-2</v>
      </c>
      <c r="AE44" s="2">
        <f t="shared" si="35"/>
        <v>3.5999999999999999E-3</v>
      </c>
      <c r="AF44" s="2">
        <f t="shared" si="36"/>
        <v>7.6319999999999997</v>
      </c>
      <c r="AG44" s="2">
        <f t="shared" si="37"/>
        <v>0</v>
      </c>
      <c r="AH44" s="2">
        <f t="shared" si="38"/>
        <v>0.6048</v>
      </c>
      <c r="AI44" s="2">
        <f t="shared" si="39"/>
        <v>0</v>
      </c>
      <c r="AJ44" s="2">
        <f t="shared" si="40"/>
        <v>0</v>
      </c>
      <c r="AK44" s="2">
        <v>22.52</v>
      </c>
      <c r="AL44" s="2">
        <v>1.26</v>
      </c>
      <c r="AM44" s="2">
        <v>0.06</v>
      </c>
      <c r="AN44" s="2">
        <v>0.01</v>
      </c>
      <c r="AO44" s="2">
        <v>21.2</v>
      </c>
      <c r="AP44" s="2">
        <v>0</v>
      </c>
      <c r="AQ44" s="2">
        <v>1.68</v>
      </c>
      <c r="AR44" s="2">
        <v>0</v>
      </c>
      <c r="AS44" s="2">
        <v>0</v>
      </c>
      <c r="AT44" s="2">
        <v>90</v>
      </c>
      <c r="AU44" s="2">
        <v>46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2</v>
      </c>
      <c r="BJ44" s="2" t="s">
        <v>53</v>
      </c>
      <c r="BK44" s="2"/>
      <c r="BL44" s="2"/>
      <c r="BM44" s="2">
        <v>68</v>
      </c>
      <c r="BN44" s="2">
        <v>0</v>
      </c>
      <c r="BO44" s="2" t="s">
        <v>51</v>
      </c>
      <c r="BP44" s="2">
        <v>1</v>
      </c>
      <c r="BQ44" s="2">
        <v>40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90</v>
      </c>
      <c r="CA44" s="2">
        <v>46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818</v>
      </c>
      <c r="CO44" s="2">
        <v>0</v>
      </c>
      <c r="CP44" s="2">
        <f t="shared" si="41"/>
        <v>32.050000000000004</v>
      </c>
      <c r="CQ44" s="2">
        <f t="shared" si="42"/>
        <v>0</v>
      </c>
      <c r="CR44" s="2">
        <f t="shared" si="43"/>
        <v>0.02</v>
      </c>
      <c r="CS44" s="2">
        <f t="shared" si="44"/>
        <v>0</v>
      </c>
      <c r="CT44" s="2">
        <f t="shared" si="45"/>
        <v>7.99</v>
      </c>
      <c r="CU44" s="2">
        <f t="shared" si="46"/>
        <v>0</v>
      </c>
      <c r="CV44" s="2">
        <f t="shared" si="47"/>
        <v>0.63322559999999994</v>
      </c>
      <c r="CW44" s="2">
        <f t="shared" si="48"/>
        <v>0</v>
      </c>
      <c r="CX44" s="2">
        <f t="shared" si="49"/>
        <v>0</v>
      </c>
      <c r="CY44" s="2">
        <f t="shared" si="50"/>
        <v>28.76</v>
      </c>
      <c r="CZ44" s="2">
        <f t="shared" si="51"/>
        <v>14.7</v>
      </c>
      <c r="DA44" s="2"/>
      <c r="DB44" s="2">
        <v>33</v>
      </c>
      <c r="DC44" s="2" t="s">
        <v>3</v>
      </c>
      <c r="DD44" s="2" t="s">
        <v>31</v>
      </c>
      <c r="DE44" s="2" t="s">
        <v>32</v>
      </c>
      <c r="DF44" s="2" t="s">
        <v>32</v>
      </c>
      <c r="DG44" s="2" t="s">
        <v>32</v>
      </c>
      <c r="DH44" s="2" t="s">
        <v>3</v>
      </c>
      <c r="DI44" s="2" t="s">
        <v>32</v>
      </c>
      <c r="DJ44" s="2" t="s">
        <v>32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29</v>
      </c>
      <c r="DW44" s="2" t="s">
        <v>29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57248652</v>
      </c>
      <c r="EF44" s="2">
        <v>40</v>
      </c>
      <c r="EG44" s="2" t="s">
        <v>33</v>
      </c>
      <c r="EH44" s="2">
        <v>0</v>
      </c>
      <c r="EI44" s="2" t="s">
        <v>3</v>
      </c>
      <c r="EJ44" s="2">
        <v>2</v>
      </c>
      <c r="EK44" s="2">
        <v>68</v>
      </c>
      <c r="EL44" s="2" t="s">
        <v>34</v>
      </c>
      <c r="EM44" s="2" t="s">
        <v>35</v>
      </c>
      <c r="EN44" s="2"/>
      <c r="EO44" s="2" t="s">
        <v>36</v>
      </c>
      <c r="EP44" s="2"/>
      <c r="EQ44" s="2">
        <v>131072</v>
      </c>
      <c r="ER44" s="2">
        <v>22.52</v>
      </c>
      <c r="ES44" s="2">
        <v>1.26</v>
      </c>
      <c r="ET44" s="2">
        <v>0.06</v>
      </c>
      <c r="EU44" s="2">
        <v>0.01</v>
      </c>
      <c r="EV44" s="2">
        <v>21.2</v>
      </c>
      <c r="EW44" s="2">
        <v>1.68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90</v>
      </c>
      <c r="FY44" s="2">
        <v>46</v>
      </c>
      <c r="FZ44" s="2"/>
      <c r="GA44" s="2" t="s">
        <v>3</v>
      </c>
      <c r="GB44" s="2"/>
      <c r="GC44" s="2"/>
      <c r="GD44" s="2">
        <v>1</v>
      </c>
      <c r="GE44" s="2"/>
      <c r="GF44" s="2">
        <v>-324079866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2"/>
        <v>0</v>
      </c>
      <c r="GM44" s="2">
        <f t="shared" si="53"/>
        <v>75.540000000000006</v>
      </c>
      <c r="GN44" s="2">
        <f t="shared" si="54"/>
        <v>0</v>
      </c>
      <c r="GO44" s="2">
        <f t="shared" si="55"/>
        <v>75.540000000000006</v>
      </c>
      <c r="GP44" s="2">
        <f t="shared" si="56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7"/>
        <v>0</v>
      </c>
      <c r="GW44" s="2">
        <v>1</v>
      </c>
      <c r="GX44" s="2">
        <f t="shared" si="58"/>
        <v>0</v>
      </c>
      <c r="GY44" s="2"/>
      <c r="GZ44" s="2"/>
      <c r="HA44" s="2">
        <v>0</v>
      </c>
      <c r="HB44" s="2">
        <v>0</v>
      </c>
      <c r="HC44" s="2">
        <f t="shared" si="59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ROW(SmtRes!A58)</f>
        <v>58</v>
      </c>
      <c r="D45" s="3">
        <f>ROW(EtalonRes!A76)</f>
        <v>76</v>
      </c>
      <c r="E45" s="3" t="s">
        <v>71</v>
      </c>
      <c r="F45" s="3" t="s">
        <v>51</v>
      </c>
      <c r="G45" s="3" t="s">
        <v>72</v>
      </c>
      <c r="H45" s="3" t="s">
        <v>29</v>
      </c>
      <c r="I45" s="3">
        <v>4</v>
      </c>
      <c r="J45" s="3">
        <v>0</v>
      </c>
      <c r="K45" s="3">
        <v>4</v>
      </c>
      <c r="O45" s="3">
        <f t="shared" si="21"/>
        <v>1802.62</v>
      </c>
      <c r="P45" s="3">
        <f t="shared" si="22"/>
        <v>0</v>
      </c>
      <c r="Q45" s="3">
        <f t="shared" si="23"/>
        <v>1.67</v>
      </c>
      <c r="R45" s="3">
        <f t="shared" si="24"/>
        <v>1.1299999999999999</v>
      </c>
      <c r="S45" s="3">
        <f t="shared" si="25"/>
        <v>1800.95</v>
      </c>
      <c r="T45" s="3">
        <f t="shared" si="26"/>
        <v>0</v>
      </c>
      <c r="U45" s="3">
        <f t="shared" si="27"/>
        <v>2.5329023999999998</v>
      </c>
      <c r="V45" s="3">
        <f t="shared" si="28"/>
        <v>0</v>
      </c>
      <c r="W45" s="3">
        <f t="shared" si="29"/>
        <v>0</v>
      </c>
      <c r="X45" s="3">
        <f t="shared" si="30"/>
        <v>1621.87</v>
      </c>
      <c r="Y45" s="3">
        <f t="shared" si="31"/>
        <v>828.96</v>
      </c>
      <c r="AA45" s="3">
        <v>57248837</v>
      </c>
      <c r="AB45" s="3">
        <f t="shared" si="32"/>
        <v>7.6536</v>
      </c>
      <c r="AC45" s="3">
        <f t="shared" si="33"/>
        <v>0</v>
      </c>
      <c r="AD45" s="3">
        <f t="shared" si="34"/>
        <v>2.1600000000000001E-2</v>
      </c>
      <c r="AE45" s="3">
        <f t="shared" si="35"/>
        <v>3.5999999999999999E-3</v>
      </c>
      <c r="AF45" s="3">
        <f t="shared" si="36"/>
        <v>7.6319999999999997</v>
      </c>
      <c r="AG45" s="3">
        <f t="shared" si="37"/>
        <v>0</v>
      </c>
      <c r="AH45" s="3">
        <f t="shared" si="38"/>
        <v>0.6048</v>
      </c>
      <c r="AI45" s="3">
        <f t="shared" si="39"/>
        <v>0</v>
      </c>
      <c r="AJ45" s="3">
        <f t="shared" si="40"/>
        <v>0</v>
      </c>
      <c r="AK45" s="3">
        <v>22.52</v>
      </c>
      <c r="AL45" s="3">
        <v>1.26</v>
      </c>
      <c r="AM45" s="3">
        <v>0.06</v>
      </c>
      <c r="AN45" s="3">
        <v>0.01</v>
      </c>
      <c r="AO45" s="3">
        <v>21.2</v>
      </c>
      <c r="AP45" s="3">
        <v>0</v>
      </c>
      <c r="AQ45" s="3">
        <v>1.68</v>
      </c>
      <c r="AR45" s="3">
        <v>0</v>
      </c>
      <c r="AS45" s="3">
        <v>0</v>
      </c>
      <c r="AT45" s="3">
        <v>90</v>
      </c>
      <c r="AU45" s="3">
        <v>46</v>
      </c>
      <c r="AV45" s="3">
        <v>1.0469999999999999</v>
      </c>
      <c r="AW45" s="3">
        <v>1</v>
      </c>
      <c r="AZ45" s="3">
        <v>1</v>
      </c>
      <c r="BA45" s="3">
        <v>56.35</v>
      </c>
      <c r="BB45" s="3">
        <v>18.5</v>
      </c>
      <c r="BC45" s="3">
        <v>9.84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2</v>
      </c>
      <c r="BJ45" s="3" t="s">
        <v>53</v>
      </c>
      <c r="BM45" s="3">
        <v>68</v>
      </c>
      <c r="BN45" s="3">
        <v>0</v>
      </c>
      <c r="BO45" s="3" t="s">
        <v>51</v>
      </c>
      <c r="BP45" s="3">
        <v>1</v>
      </c>
      <c r="BQ45" s="3">
        <v>40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90</v>
      </c>
      <c r="CA45" s="3">
        <v>46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818</v>
      </c>
      <c r="CO45" s="3">
        <v>0</v>
      </c>
      <c r="CP45" s="3">
        <f t="shared" si="41"/>
        <v>1802.6200000000001</v>
      </c>
      <c r="CQ45" s="3">
        <f t="shared" si="42"/>
        <v>0</v>
      </c>
      <c r="CR45" s="3">
        <f t="shared" si="43"/>
        <v>0.37</v>
      </c>
      <c r="CS45" s="3">
        <f t="shared" si="44"/>
        <v>0</v>
      </c>
      <c r="CT45" s="3">
        <f t="shared" si="45"/>
        <v>450.24</v>
      </c>
      <c r="CU45" s="3">
        <f t="shared" si="46"/>
        <v>0</v>
      </c>
      <c r="CV45" s="3">
        <f t="shared" si="47"/>
        <v>0.63322559999999994</v>
      </c>
      <c r="CW45" s="3">
        <f t="shared" si="48"/>
        <v>0</v>
      </c>
      <c r="CX45" s="3">
        <f t="shared" si="49"/>
        <v>0</v>
      </c>
      <c r="CY45" s="3">
        <f t="shared" si="50"/>
        <v>1620.86</v>
      </c>
      <c r="CZ45" s="3">
        <f t="shared" si="51"/>
        <v>828.44</v>
      </c>
      <c r="DB45" s="3">
        <v>35</v>
      </c>
      <c r="DC45" s="3" t="s">
        <v>3</v>
      </c>
      <c r="DD45" s="3" t="s">
        <v>31</v>
      </c>
      <c r="DE45" s="3" t="s">
        <v>32</v>
      </c>
      <c r="DF45" s="3" t="s">
        <v>32</v>
      </c>
      <c r="DG45" s="3" t="s">
        <v>32</v>
      </c>
      <c r="DH45" s="3" t="s">
        <v>3</v>
      </c>
      <c r="DI45" s="3" t="s">
        <v>32</v>
      </c>
      <c r="DJ45" s="3" t="s">
        <v>32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29</v>
      </c>
      <c r="DW45" s="3" t="s">
        <v>29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57248652</v>
      </c>
      <c r="EF45" s="3">
        <v>40</v>
      </c>
      <c r="EG45" s="3" t="s">
        <v>33</v>
      </c>
      <c r="EH45" s="3">
        <v>0</v>
      </c>
      <c r="EI45" s="3" t="s">
        <v>3</v>
      </c>
      <c r="EJ45" s="3">
        <v>2</v>
      </c>
      <c r="EK45" s="3">
        <v>68</v>
      </c>
      <c r="EL45" s="3" t="s">
        <v>34</v>
      </c>
      <c r="EM45" s="3" t="s">
        <v>35</v>
      </c>
      <c r="EO45" s="3" t="s">
        <v>36</v>
      </c>
      <c r="EQ45" s="3">
        <v>131072</v>
      </c>
      <c r="ER45" s="3">
        <v>22.52</v>
      </c>
      <c r="ES45" s="3">
        <v>1.26</v>
      </c>
      <c r="ET45" s="3">
        <v>0.06</v>
      </c>
      <c r="EU45" s="3">
        <v>0.01</v>
      </c>
      <c r="EV45" s="3">
        <v>21.2</v>
      </c>
      <c r="EW45" s="3">
        <v>1.68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90</v>
      </c>
      <c r="FY45" s="3">
        <v>46</v>
      </c>
      <c r="GA45" s="3" t="s">
        <v>3</v>
      </c>
      <c r="GD45" s="3">
        <v>1</v>
      </c>
      <c r="GF45" s="3">
        <v>-324079866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52"/>
        <v>0</v>
      </c>
      <c r="GM45" s="3">
        <f t="shared" si="53"/>
        <v>4253.45</v>
      </c>
      <c r="GN45" s="3">
        <f t="shared" si="54"/>
        <v>0</v>
      </c>
      <c r="GO45" s="3">
        <f t="shared" si="55"/>
        <v>4253.45</v>
      </c>
      <c r="GP45" s="3">
        <f t="shared" si="56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57"/>
        <v>0</v>
      </c>
      <c r="GW45" s="3">
        <v>1</v>
      </c>
      <c r="GX45" s="3">
        <f t="shared" si="58"/>
        <v>0</v>
      </c>
      <c r="HA45" s="3">
        <v>0</v>
      </c>
      <c r="HB45" s="3">
        <v>0</v>
      </c>
      <c r="HC45" s="3">
        <f t="shared" si="59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>
        <f>ROW(SmtRes!A62)</f>
        <v>62</v>
      </c>
      <c r="D46" s="2">
        <f>ROW(EtalonRes!A82)</f>
        <v>82</v>
      </c>
      <c r="E46" s="2" t="s">
        <v>73</v>
      </c>
      <c r="F46" s="2" t="s">
        <v>74</v>
      </c>
      <c r="G46" s="2" t="s">
        <v>75</v>
      </c>
      <c r="H46" s="2" t="s">
        <v>29</v>
      </c>
      <c r="I46" s="2">
        <f>ROUND(3+2+2+2,9)</f>
        <v>9</v>
      </c>
      <c r="J46" s="2">
        <v>0</v>
      </c>
      <c r="K46" s="2">
        <f>ROUND(3+2+2+2,9)</f>
        <v>9</v>
      </c>
      <c r="L46" s="2"/>
      <c r="M46" s="2"/>
      <c r="N46" s="2"/>
      <c r="O46" s="2">
        <f t="shared" si="21"/>
        <v>33.880000000000003</v>
      </c>
      <c r="P46" s="2">
        <f t="shared" si="22"/>
        <v>0</v>
      </c>
      <c r="Q46" s="2">
        <f t="shared" si="23"/>
        <v>0.17</v>
      </c>
      <c r="R46" s="2">
        <f t="shared" si="24"/>
        <v>0</v>
      </c>
      <c r="S46" s="2">
        <f t="shared" si="25"/>
        <v>33.71</v>
      </c>
      <c r="T46" s="2">
        <f t="shared" si="26"/>
        <v>0</v>
      </c>
      <c r="U46" s="2">
        <f t="shared" si="27"/>
        <v>2.0742479999999999</v>
      </c>
      <c r="V46" s="2">
        <f t="shared" si="28"/>
        <v>0</v>
      </c>
      <c r="W46" s="2">
        <f t="shared" si="29"/>
        <v>0</v>
      </c>
      <c r="X46" s="2">
        <f t="shared" si="30"/>
        <v>31.01</v>
      </c>
      <c r="Y46" s="2">
        <f t="shared" si="31"/>
        <v>16.52</v>
      </c>
      <c r="Z46" s="2"/>
      <c r="AA46" s="2">
        <v>57248835</v>
      </c>
      <c r="AB46" s="2">
        <f t="shared" si="32"/>
        <v>3.528</v>
      </c>
      <c r="AC46" s="2">
        <f t="shared" si="33"/>
        <v>0</v>
      </c>
      <c r="AD46" s="2">
        <f t="shared" si="34"/>
        <v>1.7999999999999999E-2</v>
      </c>
      <c r="AE46" s="2">
        <f t="shared" si="35"/>
        <v>0</v>
      </c>
      <c r="AF46" s="2">
        <f t="shared" si="36"/>
        <v>3.51</v>
      </c>
      <c r="AG46" s="2">
        <f t="shared" si="37"/>
        <v>0</v>
      </c>
      <c r="AH46" s="2">
        <f t="shared" si="38"/>
        <v>0.216</v>
      </c>
      <c r="AI46" s="2">
        <f t="shared" si="39"/>
        <v>0</v>
      </c>
      <c r="AJ46" s="2">
        <f t="shared" si="40"/>
        <v>0</v>
      </c>
      <c r="AK46" s="2">
        <v>11.11</v>
      </c>
      <c r="AL46" s="2">
        <v>1.31</v>
      </c>
      <c r="AM46" s="2">
        <v>0.05</v>
      </c>
      <c r="AN46" s="2">
        <v>0</v>
      </c>
      <c r="AO46" s="2">
        <v>9.75</v>
      </c>
      <c r="AP46" s="2">
        <v>0</v>
      </c>
      <c r="AQ46" s="2">
        <v>0.6</v>
      </c>
      <c r="AR46" s="2">
        <v>0</v>
      </c>
      <c r="AS46" s="2">
        <v>0</v>
      </c>
      <c r="AT46" s="2">
        <v>92</v>
      </c>
      <c r="AU46" s="2">
        <v>49</v>
      </c>
      <c r="AV46" s="2">
        <v>1.0669999999999999</v>
      </c>
      <c r="AW46" s="2">
        <v>1.028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2</v>
      </c>
      <c r="BJ46" s="2" t="s">
        <v>76</v>
      </c>
      <c r="BK46" s="2"/>
      <c r="BL46" s="2"/>
      <c r="BM46" s="2">
        <v>84</v>
      </c>
      <c r="BN46" s="2">
        <v>0</v>
      </c>
      <c r="BO46" s="2" t="s">
        <v>74</v>
      </c>
      <c r="BP46" s="2">
        <v>1</v>
      </c>
      <c r="BQ46" s="2">
        <v>40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92</v>
      </c>
      <c r="CA46" s="2">
        <v>49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818</v>
      </c>
      <c r="CO46" s="2">
        <v>0</v>
      </c>
      <c r="CP46" s="2">
        <f t="shared" si="41"/>
        <v>33.880000000000003</v>
      </c>
      <c r="CQ46" s="2">
        <f t="shared" si="42"/>
        <v>0</v>
      </c>
      <c r="CR46" s="2">
        <f t="shared" si="43"/>
        <v>0.02</v>
      </c>
      <c r="CS46" s="2">
        <f t="shared" si="44"/>
        <v>0</v>
      </c>
      <c r="CT46" s="2">
        <f t="shared" si="45"/>
        <v>3.75</v>
      </c>
      <c r="CU46" s="2">
        <f t="shared" si="46"/>
        <v>0</v>
      </c>
      <c r="CV46" s="2">
        <f t="shared" si="47"/>
        <v>0.23047199999999998</v>
      </c>
      <c r="CW46" s="2">
        <f t="shared" si="48"/>
        <v>0</v>
      </c>
      <c r="CX46" s="2">
        <f t="shared" si="49"/>
        <v>0</v>
      </c>
      <c r="CY46" s="2">
        <f t="shared" si="50"/>
        <v>31.01</v>
      </c>
      <c r="CZ46" s="2">
        <f t="shared" si="51"/>
        <v>16.52</v>
      </c>
      <c r="DA46" s="2"/>
      <c r="DB46" s="2">
        <v>37</v>
      </c>
      <c r="DC46" s="2" t="s">
        <v>3</v>
      </c>
      <c r="DD46" s="2" t="s">
        <v>31</v>
      </c>
      <c r="DE46" s="2" t="s">
        <v>32</v>
      </c>
      <c r="DF46" s="2" t="s">
        <v>32</v>
      </c>
      <c r="DG46" s="2" t="s">
        <v>32</v>
      </c>
      <c r="DH46" s="2" t="s">
        <v>3</v>
      </c>
      <c r="DI46" s="2" t="s">
        <v>32</v>
      </c>
      <c r="DJ46" s="2" t="s">
        <v>32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29</v>
      </c>
      <c r="DW46" s="2" t="s">
        <v>29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57248668</v>
      </c>
      <c r="EF46" s="2">
        <v>40</v>
      </c>
      <c r="EG46" s="2" t="s">
        <v>33</v>
      </c>
      <c r="EH46" s="2">
        <v>0</v>
      </c>
      <c r="EI46" s="2" t="s">
        <v>3</v>
      </c>
      <c r="EJ46" s="2">
        <v>2</v>
      </c>
      <c r="EK46" s="2">
        <v>84</v>
      </c>
      <c r="EL46" s="2" t="s">
        <v>77</v>
      </c>
      <c r="EM46" s="2" t="s">
        <v>78</v>
      </c>
      <c r="EN46" s="2"/>
      <c r="EO46" s="2" t="s">
        <v>36</v>
      </c>
      <c r="EP46" s="2"/>
      <c r="EQ46" s="2">
        <v>131072</v>
      </c>
      <c r="ER46" s="2">
        <v>11.11</v>
      </c>
      <c r="ES46" s="2">
        <v>1.31</v>
      </c>
      <c r="ET46" s="2">
        <v>0.05</v>
      </c>
      <c r="EU46" s="2">
        <v>0</v>
      </c>
      <c r="EV46" s="2">
        <v>9.75</v>
      </c>
      <c r="EW46" s="2">
        <v>0.6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2</v>
      </c>
      <c r="FT46" s="2"/>
      <c r="FU46" s="2"/>
      <c r="FV46" s="2"/>
      <c r="FW46" s="2"/>
      <c r="FX46" s="2">
        <v>92</v>
      </c>
      <c r="FY46" s="2">
        <v>49</v>
      </c>
      <c r="FZ46" s="2"/>
      <c r="GA46" s="2" t="s">
        <v>3</v>
      </c>
      <c r="GB46" s="2"/>
      <c r="GC46" s="2"/>
      <c r="GD46" s="2">
        <v>1</v>
      </c>
      <c r="GE46" s="2"/>
      <c r="GF46" s="2">
        <v>-1753372494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2"/>
        <v>0</v>
      </c>
      <c r="GM46" s="2">
        <f t="shared" si="53"/>
        <v>81.41</v>
      </c>
      <c r="GN46" s="2">
        <f t="shared" si="54"/>
        <v>0</v>
      </c>
      <c r="GO46" s="2">
        <f t="shared" si="55"/>
        <v>81.41</v>
      </c>
      <c r="GP46" s="2">
        <f t="shared" si="56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7"/>
        <v>0</v>
      </c>
      <c r="GW46" s="2">
        <v>1</v>
      </c>
      <c r="GX46" s="2">
        <f t="shared" si="58"/>
        <v>0</v>
      </c>
      <c r="GY46" s="2"/>
      <c r="GZ46" s="2"/>
      <c r="HA46" s="2">
        <v>0</v>
      </c>
      <c r="HB46" s="2">
        <v>0</v>
      </c>
      <c r="HC46" s="2">
        <f t="shared" si="59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C47" s="3">
        <f>ROW(SmtRes!A66)</f>
        <v>66</v>
      </c>
      <c r="D47" s="3">
        <f>ROW(EtalonRes!A88)</f>
        <v>88</v>
      </c>
      <c r="E47" s="3" t="s">
        <v>73</v>
      </c>
      <c r="F47" s="3" t="s">
        <v>74</v>
      </c>
      <c r="G47" s="3" t="s">
        <v>75</v>
      </c>
      <c r="H47" s="3" t="s">
        <v>29</v>
      </c>
      <c r="I47" s="3">
        <f>ROUND(3+2+2+2,9)</f>
        <v>9</v>
      </c>
      <c r="J47" s="3">
        <v>0</v>
      </c>
      <c r="K47" s="3">
        <f>ROUND(3+2+2+2,9)</f>
        <v>9</v>
      </c>
      <c r="O47" s="3">
        <f t="shared" si="21"/>
        <v>1901.06</v>
      </c>
      <c r="P47" s="3">
        <f t="shared" si="22"/>
        <v>0</v>
      </c>
      <c r="Q47" s="3">
        <f t="shared" si="23"/>
        <v>1.5</v>
      </c>
      <c r="R47" s="3">
        <f t="shared" si="24"/>
        <v>0</v>
      </c>
      <c r="S47" s="3">
        <f t="shared" si="25"/>
        <v>1899.56</v>
      </c>
      <c r="T47" s="3">
        <f t="shared" si="26"/>
        <v>0</v>
      </c>
      <c r="U47" s="3">
        <f t="shared" si="27"/>
        <v>2.0742479999999999</v>
      </c>
      <c r="V47" s="3">
        <f t="shared" si="28"/>
        <v>0</v>
      </c>
      <c r="W47" s="3">
        <f t="shared" si="29"/>
        <v>0</v>
      </c>
      <c r="X47" s="3">
        <f t="shared" si="30"/>
        <v>1747.6</v>
      </c>
      <c r="Y47" s="3">
        <f t="shared" si="31"/>
        <v>930.78</v>
      </c>
      <c r="AA47" s="3">
        <v>57248837</v>
      </c>
      <c r="AB47" s="3">
        <f t="shared" si="32"/>
        <v>3.528</v>
      </c>
      <c r="AC47" s="3">
        <f t="shared" si="33"/>
        <v>0</v>
      </c>
      <c r="AD47" s="3">
        <f t="shared" si="34"/>
        <v>1.7999999999999999E-2</v>
      </c>
      <c r="AE47" s="3">
        <f t="shared" si="35"/>
        <v>0</v>
      </c>
      <c r="AF47" s="3">
        <f t="shared" si="36"/>
        <v>3.51</v>
      </c>
      <c r="AG47" s="3">
        <f t="shared" si="37"/>
        <v>0</v>
      </c>
      <c r="AH47" s="3">
        <f t="shared" si="38"/>
        <v>0.216</v>
      </c>
      <c r="AI47" s="3">
        <f t="shared" si="39"/>
        <v>0</v>
      </c>
      <c r="AJ47" s="3">
        <f t="shared" si="40"/>
        <v>0</v>
      </c>
      <c r="AK47" s="3">
        <v>11.11</v>
      </c>
      <c r="AL47" s="3">
        <v>1.31</v>
      </c>
      <c r="AM47" s="3">
        <v>0.05</v>
      </c>
      <c r="AN47" s="3">
        <v>0</v>
      </c>
      <c r="AO47" s="3">
        <v>9.75</v>
      </c>
      <c r="AP47" s="3">
        <v>0</v>
      </c>
      <c r="AQ47" s="3">
        <v>0.6</v>
      </c>
      <c r="AR47" s="3">
        <v>0</v>
      </c>
      <c r="AS47" s="3">
        <v>0</v>
      </c>
      <c r="AT47" s="3">
        <v>92</v>
      </c>
      <c r="AU47" s="3">
        <v>49</v>
      </c>
      <c r="AV47" s="3">
        <v>1.0669999999999999</v>
      </c>
      <c r="AW47" s="3">
        <v>1.028</v>
      </c>
      <c r="AZ47" s="3">
        <v>1</v>
      </c>
      <c r="BA47" s="3">
        <v>56.35</v>
      </c>
      <c r="BB47" s="3">
        <v>8.8000000000000007</v>
      </c>
      <c r="BC47" s="3">
        <v>2.9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0</v>
      </c>
      <c r="BI47" s="3">
        <v>2</v>
      </c>
      <c r="BJ47" s="3" t="s">
        <v>76</v>
      </c>
      <c r="BM47" s="3">
        <v>84</v>
      </c>
      <c r="BN47" s="3">
        <v>0</v>
      </c>
      <c r="BO47" s="3" t="s">
        <v>74</v>
      </c>
      <c r="BP47" s="3">
        <v>1</v>
      </c>
      <c r="BQ47" s="3">
        <v>40</v>
      </c>
      <c r="BR47" s="3">
        <v>0</v>
      </c>
      <c r="BS47" s="3">
        <v>56.35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92</v>
      </c>
      <c r="CA47" s="3">
        <v>49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818</v>
      </c>
      <c r="CO47" s="3">
        <v>0</v>
      </c>
      <c r="CP47" s="3">
        <f t="shared" si="41"/>
        <v>1901.06</v>
      </c>
      <c r="CQ47" s="3">
        <f t="shared" si="42"/>
        <v>0</v>
      </c>
      <c r="CR47" s="3">
        <f t="shared" si="43"/>
        <v>0.18</v>
      </c>
      <c r="CS47" s="3">
        <f t="shared" si="44"/>
        <v>0</v>
      </c>
      <c r="CT47" s="3">
        <f t="shared" si="45"/>
        <v>211.31</v>
      </c>
      <c r="CU47" s="3">
        <f t="shared" si="46"/>
        <v>0</v>
      </c>
      <c r="CV47" s="3">
        <f t="shared" si="47"/>
        <v>0.23047199999999998</v>
      </c>
      <c r="CW47" s="3">
        <f t="shared" si="48"/>
        <v>0</v>
      </c>
      <c r="CX47" s="3">
        <f t="shared" si="49"/>
        <v>0</v>
      </c>
      <c r="CY47" s="3">
        <f t="shared" si="50"/>
        <v>1747.6</v>
      </c>
      <c r="CZ47" s="3">
        <f t="shared" si="51"/>
        <v>930.78</v>
      </c>
      <c r="DB47" s="3">
        <v>39</v>
      </c>
      <c r="DC47" s="3" t="s">
        <v>3</v>
      </c>
      <c r="DD47" s="3" t="s">
        <v>31</v>
      </c>
      <c r="DE47" s="3" t="s">
        <v>32</v>
      </c>
      <c r="DF47" s="3" t="s">
        <v>32</v>
      </c>
      <c r="DG47" s="3" t="s">
        <v>32</v>
      </c>
      <c r="DH47" s="3" t="s">
        <v>3</v>
      </c>
      <c r="DI47" s="3" t="s">
        <v>32</v>
      </c>
      <c r="DJ47" s="3" t="s">
        <v>32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29</v>
      </c>
      <c r="DW47" s="3" t="s">
        <v>29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57248668</v>
      </c>
      <c r="EF47" s="3">
        <v>40</v>
      </c>
      <c r="EG47" s="3" t="s">
        <v>33</v>
      </c>
      <c r="EH47" s="3">
        <v>0</v>
      </c>
      <c r="EI47" s="3" t="s">
        <v>3</v>
      </c>
      <c r="EJ47" s="3">
        <v>2</v>
      </c>
      <c r="EK47" s="3">
        <v>84</v>
      </c>
      <c r="EL47" s="3" t="s">
        <v>77</v>
      </c>
      <c r="EM47" s="3" t="s">
        <v>78</v>
      </c>
      <c r="EO47" s="3" t="s">
        <v>36</v>
      </c>
      <c r="EQ47" s="3">
        <v>131072</v>
      </c>
      <c r="ER47" s="3">
        <v>11.11</v>
      </c>
      <c r="ES47" s="3">
        <v>1.31</v>
      </c>
      <c r="ET47" s="3">
        <v>0.05</v>
      </c>
      <c r="EU47" s="3">
        <v>0</v>
      </c>
      <c r="EV47" s="3">
        <v>9.75</v>
      </c>
      <c r="EW47" s="3">
        <v>0.6</v>
      </c>
      <c r="EX47" s="3">
        <v>0</v>
      </c>
      <c r="EY47" s="3">
        <v>0</v>
      </c>
      <c r="FQ47" s="3">
        <v>0</v>
      </c>
      <c r="FR47" s="3">
        <v>0</v>
      </c>
      <c r="FS47" s="3">
        <v>2</v>
      </c>
      <c r="FX47" s="3">
        <v>92</v>
      </c>
      <c r="FY47" s="3">
        <v>49</v>
      </c>
      <c r="GA47" s="3" t="s">
        <v>3</v>
      </c>
      <c r="GD47" s="3">
        <v>1</v>
      </c>
      <c r="GF47" s="3">
        <v>-1753372494</v>
      </c>
      <c r="GG47" s="3">
        <v>2</v>
      </c>
      <c r="GH47" s="3">
        <v>1</v>
      </c>
      <c r="GI47" s="3">
        <v>2</v>
      </c>
      <c r="GJ47" s="3">
        <v>0</v>
      </c>
      <c r="GK47" s="3">
        <v>0</v>
      </c>
      <c r="GL47" s="3">
        <f t="shared" si="52"/>
        <v>0</v>
      </c>
      <c r="GM47" s="3">
        <f t="shared" si="53"/>
        <v>4579.4399999999996</v>
      </c>
      <c r="GN47" s="3">
        <f t="shared" si="54"/>
        <v>0</v>
      </c>
      <c r="GO47" s="3">
        <f t="shared" si="55"/>
        <v>4579.4399999999996</v>
      </c>
      <c r="GP47" s="3">
        <f t="shared" si="56"/>
        <v>0</v>
      </c>
      <c r="GR47" s="3">
        <v>0</v>
      </c>
      <c r="GS47" s="3">
        <v>3</v>
      </c>
      <c r="GT47" s="3">
        <v>0</v>
      </c>
      <c r="GU47" s="3" t="s">
        <v>3</v>
      </c>
      <c r="GV47" s="3">
        <f t="shared" si="57"/>
        <v>0</v>
      </c>
      <c r="GW47" s="3">
        <v>1</v>
      </c>
      <c r="GX47" s="3">
        <f t="shared" si="58"/>
        <v>0</v>
      </c>
      <c r="HA47" s="3">
        <v>0</v>
      </c>
      <c r="HB47" s="3">
        <v>0</v>
      </c>
      <c r="HC47" s="3">
        <f t="shared" si="59"/>
        <v>0</v>
      </c>
      <c r="HE47" s="3" t="s">
        <v>3</v>
      </c>
      <c r="HF47" s="3" t="s">
        <v>3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ROW(SmtRes!A73)</f>
        <v>73</v>
      </c>
      <c r="D48" s="2">
        <f>ROW(EtalonRes!A96)</f>
        <v>96</v>
      </c>
      <c r="E48" s="2" t="s">
        <v>79</v>
      </c>
      <c r="F48" s="2" t="s">
        <v>80</v>
      </c>
      <c r="G48" s="2" t="s">
        <v>81</v>
      </c>
      <c r="H48" s="2" t="s">
        <v>82</v>
      </c>
      <c r="I48" s="2">
        <f>ROUND(4/10,9)</f>
        <v>0.4</v>
      </c>
      <c r="J48" s="2">
        <v>0</v>
      </c>
      <c r="K48" s="2">
        <f>ROUND(4/10,9)</f>
        <v>0.4</v>
      </c>
      <c r="L48" s="2"/>
      <c r="M48" s="2"/>
      <c r="N48" s="2"/>
      <c r="O48" s="2">
        <f t="shared" si="21"/>
        <v>217.15</v>
      </c>
      <c r="P48" s="2">
        <f t="shared" si="22"/>
        <v>117.09</v>
      </c>
      <c r="Q48" s="2">
        <f>(ROUND((ROUND(((((ET48*1.2)*0.6))*AV48*I48),2)*BB48),2)+ROUND((ROUND(((AE48-(((EU48*1.2)*0.6)))*AV48*I48),2)*BS48),2))</f>
        <v>35.6</v>
      </c>
      <c r="R48" s="2">
        <f>(ROUND((ROUND(((((EU48*1.2)*0.6))*AV48*I48),2)*BS48),2)+ROUND((ROUND(((AE48-(((EU48*1.2)*0.6)))*AV48*I48),2)*BS48),2))</f>
        <v>5.37</v>
      </c>
      <c r="S48" s="2">
        <f t="shared" si="25"/>
        <v>64.459999999999994</v>
      </c>
      <c r="T48" s="2">
        <f t="shared" si="26"/>
        <v>0</v>
      </c>
      <c r="U48" s="2">
        <f t="shared" si="27"/>
        <v>5.7539692799999989</v>
      </c>
      <c r="V48" s="2">
        <f t="shared" si="28"/>
        <v>0</v>
      </c>
      <c r="W48" s="2">
        <f t="shared" si="29"/>
        <v>0</v>
      </c>
      <c r="X48" s="2">
        <f>(ROUND((((S48+ROUND((ROUND(((((EU48*1.2)*0.6))*AV48*I48),2)*BS48),2))*AT48)/100),2)+ROUND(((ROUND((ROUND(((AE48-(((EU48*1.2)*0.6)))*AV48*I48),2)*BS48),2)*AT48)/100),2))</f>
        <v>64.94</v>
      </c>
      <c r="Y48" s="2">
        <f>(ROUND((((S48+ROUND((ROUND(((((EU48*1.2)*0.6))*AV48*I48),2)*BS48),2))*AU48)/100),2)+ROUND(((ROUND((ROUND(((AE48-(((EU48*1.2)*0.6)))*AV48*I48),2)*BS48),2)*AU48)/100),2))</f>
        <v>43.29</v>
      </c>
      <c r="Z48" s="2"/>
      <c r="AA48" s="2">
        <v>57248835</v>
      </c>
      <c r="AB48" s="2">
        <f t="shared" si="32"/>
        <v>522.85440000000006</v>
      </c>
      <c r="AC48" s="2">
        <f>ROUND((((ES48*1)*0.6)),6)</f>
        <v>292.72800000000001</v>
      </c>
      <c r="AD48" s="2">
        <f>ROUND((((((ET48*1.2)*0.6))-(((EU48*1.2)*0.6)))+AE48),6)</f>
        <v>81.885599999999997</v>
      </c>
      <c r="AE48" s="2">
        <f>ROUND((((EU48*1.2)*0.6)),6)</f>
        <v>12.3552</v>
      </c>
      <c r="AF48" s="2">
        <f>ROUND((((EV48*1.2)*0.6)),6)</f>
        <v>148.24080000000001</v>
      </c>
      <c r="AG48" s="2">
        <f t="shared" si="37"/>
        <v>0</v>
      </c>
      <c r="AH48" s="2">
        <f>(((EW48*1.2)*0.6))</f>
        <v>13.233599999999997</v>
      </c>
      <c r="AI48" s="2">
        <f>(((EX48*1.2)*0.6))</f>
        <v>0</v>
      </c>
      <c r="AJ48" s="2">
        <f t="shared" si="40"/>
        <v>0</v>
      </c>
      <c r="AK48" s="2">
        <v>807.5</v>
      </c>
      <c r="AL48" s="2">
        <v>487.88</v>
      </c>
      <c r="AM48" s="2">
        <v>113.73</v>
      </c>
      <c r="AN48" s="2">
        <v>17.16</v>
      </c>
      <c r="AO48" s="2">
        <v>205.89</v>
      </c>
      <c r="AP48" s="2">
        <v>0</v>
      </c>
      <c r="AQ48" s="2">
        <v>18.38</v>
      </c>
      <c r="AR48" s="2">
        <v>0</v>
      </c>
      <c r="AS48" s="2">
        <v>0</v>
      </c>
      <c r="AT48" s="2">
        <v>93</v>
      </c>
      <c r="AU48" s="2">
        <v>62</v>
      </c>
      <c r="AV48" s="2">
        <v>1.087</v>
      </c>
      <c r="AW48" s="2">
        <v>1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1</v>
      </c>
      <c r="BJ48" s="2" t="s">
        <v>83</v>
      </c>
      <c r="BK48" s="2"/>
      <c r="BL48" s="2"/>
      <c r="BM48" s="2">
        <v>13</v>
      </c>
      <c r="BN48" s="2">
        <v>0</v>
      </c>
      <c r="BO48" s="2" t="s">
        <v>80</v>
      </c>
      <c r="BP48" s="2">
        <v>1</v>
      </c>
      <c r="BQ48" s="2">
        <v>30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93</v>
      </c>
      <c r="CA48" s="2">
        <v>62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819</v>
      </c>
      <c r="CO48" s="2">
        <v>0</v>
      </c>
      <c r="CP48" s="2">
        <f t="shared" si="41"/>
        <v>217.14999999999998</v>
      </c>
      <c r="CQ48" s="2">
        <f t="shared" si="42"/>
        <v>292.73</v>
      </c>
      <c r="CR48" s="2">
        <f>(ROUND((ROUND(((((ET48*1.2)*0.6))*AV48*1),2)*BB48),2)+ROUND((ROUND(((AE48-(((EU48*1.2)*0.6)))*AV48*1),2)*BS48),2))</f>
        <v>89.01</v>
      </c>
      <c r="CS48" s="2">
        <f>(ROUND((ROUND(((((EU48*1.2)*0.6))*AV48*1),2)*BS48),2)+ROUND((ROUND(((AE48-(((EU48*1.2)*0.6)))*AV48*1),2)*BS48),2))</f>
        <v>13.43</v>
      </c>
      <c r="CT48" s="2">
        <f t="shared" si="45"/>
        <v>161.13999999999999</v>
      </c>
      <c r="CU48" s="2">
        <f t="shared" si="46"/>
        <v>0</v>
      </c>
      <c r="CV48" s="2">
        <f t="shared" si="47"/>
        <v>14.384923199999996</v>
      </c>
      <c r="CW48" s="2">
        <f t="shared" si="48"/>
        <v>0</v>
      </c>
      <c r="CX48" s="2">
        <f t="shared" si="49"/>
        <v>0</v>
      </c>
      <c r="CY48" s="2">
        <f>(ROUND((((S48+ROUND((ROUND(((((EU48*1.2)*0.6))*AV48*1),2)*BS48),2))*AT48)/100),2)+ROUND(((ROUND((ROUND(((AE48-(((EU48*1.2)*0.6)))*AV48*1),2)*BS48),2)*AT48)/100),2))</f>
        <v>72.44</v>
      </c>
      <c r="CZ48" s="2">
        <f>(ROUND((((S48+ROUND((ROUND(((((EU48*1.2)*0.6))*AV48*1),2)*BS48),2))*AU48)/100),2)+ROUND(((ROUND((ROUND(((AE48-(((EU48*1.2)*0.6)))*AV48*1),2)*BS48),2)*AU48)/100),2))</f>
        <v>48.29</v>
      </c>
      <c r="DA48" s="2"/>
      <c r="DB48" s="2">
        <v>41</v>
      </c>
      <c r="DC48" s="2" t="s">
        <v>3</v>
      </c>
      <c r="DD48" s="2" t="s">
        <v>84</v>
      </c>
      <c r="DE48" s="2" t="s">
        <v>85</v>
      </c>
      <c r="DF48" s="2" t="s">
        <v>85</v>
      </c>
      <c r="DG48" s="2" t="s">
        <v>85</v>
      </c>
      <c r="DH48" s="2" t="s">
        <v>3</v>
      </c>
      <c r="DI48" s="2" t="s">
        <v>85</v>
      </c>
      <c r="DJ48" s="2" t="s">
        <v>85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1010</v>
      </c>
      <c r="DV48" s="2" t="s">
        <v>82</v>
      </c>
      <c r="DW48" s="2" t="s">
        <v>82</v>
      </c>
      <c r="DX48" s="2">
        <v>10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57248597</v>
      </c>
      <c r="EF48" s="2">
        <v>30</v>
      </c>
      <c r="EG48" s="2" t="s">
        <v>86</v>
      </c>
      <c r="EH48" s="2">
        <v>0</v>
      </c>
      <c r="EI48" s="2" t="s">
        <v>3</v>
      </c>
      <c r="EJ48" s="2">
        <v>1</v>
      </c>
      <c r="EK48" s="2">
        <v>13</v>
      </c>
      <c r="EL48" s="2" t="s">
        <v>87</v>
      </c>
      <c r="EM48" s="2" t="s">
        <v>88</v>
      </c>
      <c r="EN48" s="2"/>
      <c r="EO48" s="2" t="s">
        <v>89</v>
      </c>
      <c r="EP48" s="2"/>
      <c r="EQ48" s="2">
        <v>131072</v>
      </c>
      <c r="ER48" s="2">
        <v>807.5</v>
      </c>
      <c r="ES48" s="2">
        <v>487.88</v>
      </c>
      <c r="ET48" s="2">
        <v>113.73</v>
      </c>
      <c r="EU48" s="2">
        <v>17.16</v>
      </c>
      <c r="EV48" s="2">
        <v>205.89</v>
      </c>
      <c r="EW48" s="2">
        <v>18.38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0</v>
      </c>
      <c r="FT48" s="2"/>
      <c r="FU48" s="2"/>
      <c r="FV48" s="2"/>
      <c r="FW48" s="2"/>
      <c r="FX48" s="2">
        <v>93</v>
      </c>
      <c r="FY48" s="2">
        <v>62</v>
      </c>
      <c r="FZ48" s="2"/>
      <c r="GA48" s="2" t="s">
        <v>3</v>
      </c>
      <c r="GB48" s="2"/>
      <c r="GC48" s="2"/>
      <c r="GD48" s="2">
        <v>1</v>
      </c>
      <c r="GE48" s="2"/>
      <c r="GF48" s="2">
        <v>-39335557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52"/>
        <v>0</v>
      </c>
      <c r="GM48" s="2">
        <f t="shared" si="53"/>
        <v>325.38</v>
      </c>
      <c r="GN48" s="2">
        <f t="shared" si="54"/>
        <v>325.38</v>
      </c>
      <c r="GO48" s="2">
        <f t="shared" si="55"/>
        <v>0</v>
      </c>
      <c r="GP48" s="2">
        <f t="shared" si="56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57"/>
        <v>0</v>
      </c>
      <c r="GW48" s="2">
        <v>1</v>
      </c>
      <c r="GX48" s="2">
        <f t="shared" si="58"/>
        <v>0</v>
      </c>
      <c r="GY48" s="2"/>
      <c r="GZ48" s="2"/>
      <c r="HA48" s="2">
        <v>0</v>
      </c>
      <c r="HB48" s="2">
        <v>0</v>
      </c>
      <c r="HC48" s="2">
        <f t="shared" si="59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ROW(SmtRes!A80)</f>
        <v>80</v>
      </c>
      <c r="D49" s="3">
        <f>ROW(EtalonRes!A104)</f>
        <v>104</v>
      </c>
      <c r="E49" s="3" t="s">
        <v>79</v>
      </c>
      <c r="F49" s="3" t="s">
        <v>80</v>
      </c>
      <c r="G49" s="3" t="s">
        <v>81</v>
      </c>
      <c r="H49" s="3" t="s">
        <v>82</v>
      </c>
      <c r="I49" s="3">
        <f>ROUND(4/10,9)</f>
        <v>0.4</v>
      </c>
      <c r="J49" s="3">
        <v>0</v>
      </c>
      <c r="K49" s="3">
        <f>ROUND(4/10,9)</f>
        <v>0.4</v>
      </c>
      <c r="O49" s="3">
        <f t="shared" si="21"/>
        <v>4987.6099999999997</v>
      </c>
      <c r="P49" s="3">
        <f t="shared" si="22"/>
        <v>749.38</v>
      </c>
      <c r="Q49" s="3">
        <f>(ROUND((ROUND(((((ET49*1.2)*0.6))*AV49*I49),2)*BB49),2)+ROUND((ROUND(((AE49-(((EU49*1.2)*0.6)))*AV49*I49),2)*BS49),2))</f>
        <v>605.91</v>
      </c>
      <c r="R49" s="3">
        <f>(ROUND((ROUND(((((EU49*1.2)*0.6))*AV49*I49),2)*BS49),2)+ROUND((ROUND(((AE49-(((EU49*1.2)*0.6)))*AV49*I49),2)*BS49),2))</f>
        <v>302.60000000000002</v>
      </c>
      <c r="S49" s="3">
        <f t="shared" si="25"/>
        <v>3632.32</v>
      </c>
      <c r="T49" s="3">
        <f t="shared" si="26"/>
        <v>0</v>
      </c>
      <c r="U49" s="3">
        <f t="shared" si="27"/>
        <v>5.7539692799999989</v>
      </c>
      <c r="V49" s="3">
        <f t="shared" si="28"/>
        <v>0</v>
      </c>
      <c r="W49" s="3">
        <f t="shared" si="29"/>
        <v>0</v>
      </c>
      <c r="X49" s="3">
        <f>(ROUND((((S49+ROUND((ROUND(((((EU49*1.2)*0.6))*AV49*I49),2)*BS49),2))*AT49)/100),2)+ROUND(((ROUND((ROUND(((AE49-(((EU49*1.2)*0.6)))*AV49*I49),2)*BS49),2)*AT49)/100),2))</f>
        <v>3659.48</v>
      </c>
      <c r="Y49" s="3">
        <f>(ROUND((((S49+ROUND((ROUND(((((EU49*1.2)*0.6))*AV49*I49),2)*BS49),2))*AU49)/100),2)+ROUND(((ROUND((ROUND(((AE49-(((EU49*1.2)*0.6)))*AV49*I49),2)*BS49),2)*AU49)/100),2))</f>
        <v>2439.65</v>
      </c>
      <c r="AA49" s="3">
        <v>57248837</v>
      </c>
      <c r="AB49" s="3">
        <f t="shared" si="32"/>
        <v>522.85440000000006</v>
      </c>
      <c r="AC49" s="3">
        <f>ROUND((((ES49*1)*0.6)),6)</f>
        <v>292.72800000000001</v>
      </c>
      <c r="AD49" s="3">
        <f>ROUND((((((ET49*1.2)*0.6))-(((EU49*1.2)*0.6)))+AE49),6)</f>
        <v>81.885599999999997</v>
      </c>
      <c r="AE49" s="3">
        <f>ROUND((((EU49*1.2)*0.6)),6)</f>
        <v>12.3552</v>
      </c>
      <c r="AF49" s="3">
        <f>ROUND((((EV49*1.2)*0.6)),6)</f>
        <v>148.24080000000001</v>
      </c>
      <c r="AG49" s="3">
        <f t="shared" si="37"/>
        <v>0</v>
      </c>
      <c r="AH49" s="3">
        <f>(((EW49*1.2)*0.6))</f>
        <v>13.233599999999997</v>
      </c>
      <c r="AI49" s="3">
        <f>(((EX49*1.2)*0.6))</f>
        <v>0</v>
      </c>
      <c r="AJ49" s="3">
        <f t="shared" si="40"/>
        <v>0</v>
      </c>
      <c r="AK49" s="3">
        <v>807.5</v>
      </c>
      <c r="AL49" s="3">
        <v>487.88</v>
      </c>
      <c r="AM49" s="3">
        <v>113.73</v>
      </c>
      <c r="AN49" s="3">
        <v>17.16</v>
      </c>
      <c r="AO49" s="3">
        <v>205.89</v>
      </c>
      <c r="AP49" s="3">
        <v>0</v>
      </c>
      <c r="AQ49" s="3">
        <v>18.38</v>
      </c>
      <c r="AR49" s="3">
        <v>0</v>
      </c>
      <c r="AS49" s="3">
        <v>0</v>
      </c>
      <c r="AT49" s="3">
        <v>93</v>
      </c>
      <c r="AU49" s="3">
        <v>62</v>
      </c>
      <c r="AV49" s="3">
        <v>1.087</v>
      </c>
      <c r="AW49" s="3">
        <v>1</v>
      </c>
      <c r="AZ49" s="3">
        <v>1</v>
      </c>
      <c r="BA49" s="3">
        <v>56.35</v>
      </c>
      <c r="BB49" s="3">
        <v>17.02</v>
      </c>
      <c r="BC49" s="3">
        <v>6.4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1</v>
      </c>
      <c r="BJ49" s="3" t="s">
        <v>83</v>
      </c>
      <c r="BM49" s="3">
        <v>13</v>
      </c>
      <c r="BN49" s="3">
        <v>0</v>
      </c>
      <c r="BO49" s="3" t="s">
        <v>80</v>
      </c>
      <c r="BP49" s="3">
        <v>1</v>
      </c>
      <c r="BQ49" s="3">
        <v>30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93</v>
      </c>
      <c r="CA49" s="3">
        <v>62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819</v>
      </c>
      <c r="CO49" s="3">
        <v>0</v>
      </c>
      <c r="CP49" s="3">
        <f t="shared" si="41"/>
        <v>4987.6100000000006</v>
      </c>
      <c r="CQ49" s="3">
        <f t="shared" si="42"/>
        <v>1873.47</v>
      </c>
      <c r="CR49" s="3">
        <f>(ROUND((ROUND(((((ET49*1.2)*0.6))*AV49*1),2)*BB49),2)+ROUND((ROUND(((AE49-(((EU49*1.2)*0.6)))*AV49*1),2)*BS49),2))</f>
        <v>1514.95</v>
      </c>
      <c r="CS49" s="3">
        <f>(ROUND((ROUND(((((EU49*1.2)*0.6))*AV49*1),2)*BS49),2)+ROUND((ROUND(((AE49-(((EU49*1.2)*0.6)))*AV49*1),2)*BS49),2))</f>
        <v>756.78</v>
      </c>
      <c r="CT49" s="3">
        <f t="shared" si="45"/>
        <v>9080.24</v>
      </c>
      <c r="CU49" s="3">
        <f t="shared" si="46"/>
        <v>0</v>
      </c>
      <c r="CV49" s="3">
        <f t="shared" si="47"/>
        <v>14.384923199999996</v>
      </c>
      <c r="CW49" s="3">
        <f t="shared" si="48"/>
        <v>0</v>
      </c>
      <c r="CX49" s="3">
        <f t="shared" si="49"/>
        <v>0</v>
      </c>
      <c r="CY49" s="3">
        <f>(ROUND((((S49+ROUND((ROUND(((((EU49*1.2)*0.6))*AV49*1),2)*BS49),2))*AT49)/100),2)+ROUND(((ROUND((ROUND(((AE49-(((EU49*1.2)*0.6)))*AV49*1),2)*BS49),2)*AT49)/100),2))</f>
        <v>4081.86</v>
      </c>
      <c r="CZ49" s="3">
        <f>(ROUND((((S49+ROUND((ROUND(((((EU49*1.2)*0.6))*AV49*1),2)*BS49),2))*AU49)/100),2)+ROUND(((ROUND((ROUND(((AE49-(((EU49*1.2)*0.6)))*AV49*1),2)*BS49),2)*AU49)/100),2))</f>
        <v>2721.24</v>
      </c>
      <c r="DB49" s="3">
        <v>43</v>
      </c>
      <c r="DC49" s="3" t="s">
        <v>3</v>
      </c>
      <c r="DD49" s="3" t="s">
        <v>84</v>
      </c>
      <c r="DE49" s="3" t="s">
        <v>85</v>
      </c>
      <c r="DF49" s="3" t="s">
        <v>85</v>
      </c>
      <c r="DG49" s="3" t="s">
        <v>85</v>
      </c>
      <c r="DH49" s="3" t="s">
        <v>3</v>
      </c>
      <c r="DI49" s="3" t="s">
        <v>85</v>
      </c>
      <c r="DJ49" s="3" t="s">
        <v>85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1010</v>
      </c>
      <c r="DV49" s="3" t="s">
        <v>82</v>
      </c>
      <c r="DW49" s="3" t="s">
        <v>82</v>
      </c>
      <c r="DX49" s="3">
        <v>10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57248597</v>
      </c>
      <c r="EF49" s="3">
        <v>30</v>
      </c>
      <c r="EG49" s="3" t="s">
        <v>86</v>
      </c>
      <c r="EH49" s="3">
        <v>0</v>
      </c>
      <c r="EI49" s="3" t="s">
        <v>3</v>
      </c>
      <c r="EJ49" s="3">
        <v>1</v>
      </c>
      <c r="EK49" s="3">
        <v>13</v>
      </c>
      <c r="EL49" s="3" t="s">
        <v>87</v>
      </c>
      <c r="EM49" s="3" t="s">
        <v>88</v>
      </c>
      <c r="EO49" s="3" t="s">
        <v>89</v>
      </c>
      <c r="EQ49" s="3">
        <v>131072</v>
      </c>
      <c r="ER49" s="3">
        <v>807.5</v>
      </c>
      <c r="ES49" s="3">
        <v>487.88</v>
      </c>
      <c r="ET49" s="3">
        <v>113.73</v>
      </c>
      <c r="EU49" s="3">
        <v>17.16</v>
      </c>
      <c r="EV49" s="3">
        <v>205.89</v>
      </c>
      <c r="EW49" s="3">
        <v>18.38</v>
      </c>
      <c r="EX49" s="3">
        <v>0</v>
      </c>
      <c r="EY49" s="3">
        <v>0</v>
      </c>
      <c r="FQ49" s="3">
        <v>0</v>
      </c>
      <c r="FR49" s="3">
        <v>0</v>
      </c>
      <c r="FS49" s="3">
        <v>0</v>
      </c>
      <c r="FX49" s="3">
        <v>93</v>
      </c>
      <c r="FY49" s="3">
        <v>62</v>
      </c>
      <c r="GA49" s="3" t="s">
        <v>3</v>
      </c>
      <c r="GD49" s="3">
        <v>1</v>
      </c>
      <c r="GF49" s="3">
        <v>-39335557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52"/>
        <v>0</v>
      </c>
      <c r="GM49" s="3">
        <f t="shared" si="53"/>
        <v>11086.74</v>
      </c>
      <c r="GN49" s="3">
        <f t="shared" si="54"/>
        <v>11086.74</v>
      </c>
      <c r="GO49" s="3">
        <f t="shared" si="55"/>
        <v>0</v>
      </c>
      <c r="GP49" s="3">
        <f t="shared" si="56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57"/>
        <v>0</v>
      </c>
      <c r="GW49" s="3">
        <v>1</v>
      </c>
      <c r="GX49" s="3">
        <f t="shared" si="58"/>
        <v>0</v>
      </c>
      <c r="HA49" s="3">
        <v>0</v>
      </c>
      <c r="HB49" s="3">
        <v>0</v>
      </c>
      <c r="HC49" s="3">
        <f t="shared" si="59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17</v>
      </c>
      <c r="B50" s="2">
        <v>1</v>
      </c>
      <c r="C50" s="2">
        <f>ROW(SmtRes!A81)</f>
        <v>81</v>
      </c>
      <c r="D50" s="2">
        <f>ROW(EtalonRes!A106)</f>
        <v>106</v>
      </c>
      <c r="E50" s="2" t="s">
        <v>90</v>
      </c>
      <c r="F50" s="2" t="s">
        <v>91</v>
      </c>
      <c r="G50" s="2" t="s">
        <v>92</v>
      </c>
      <c r="H50" s="2" t="s">
        <v>93</v>
      </c>
      <c r="I50" s="2">
        <f>ROUND(4*2,9)</f>
        <v>8</v>
      </c>
      <c r="J50" s="2">
        <v>0</v>
      </c>
      <c r="K50" s="2">
        <f>ROUND(4*2,9)</f>
        <v>8</v>
      </c>
      <c r="L50" s="2"/>
      <c r="M50" s="2"/>
      <c r="N50" s="2"/>
      <c r="O50" s="2">
        <f t="shared" si="21"/>
        <v>2.35</v>
      </c>
      <c r="P50" s="2">
        <f t="shared" si="22"/>
        <v>0</v>
      </c>
      <c r="Q50" s="2">
        <f>(ROUND((ROUND(((((ET50*1.2)*0.3))*AV50*I50),2)*BB50),2)+ROUND((ROUND(((AE50-(((EU50*1.2)*0.3)))*AV50*I50),2)*BS50),2))</f>
        <v>0</v>
      </c>
      <c r="R50" s="2">
        <f>(ROUND((ROUND(((((EU50*1.2)*0.3))*AV50*I50),2)*BS50),2)+ROUND((ROUND(((AE50-(((EU50*1.2)*0.3)))*AV50*I50),2)*BS50),2))</f>
        <v>0</v>
      </c>
      <c r="S50" s="2">
        <f t="shared" si="25"/>
        <v>2.35</v>
      </c>
      <c r="T50" s="2">
        <f t="shared" si="26"/>
        <v>0</v>
      </c>
      <c r="U50" s="2">
        <f t="shared" si="27"/>
        <v>0.21107519999999999</v>
      </c>
      <c r="V50" s="2">
        <f t="shared" si="28"/>
        <v>0</v>
      </c>
      <c r="W50" s="2">
        <f t="shared" si="29"/>
        <v>0</v>
      </c>
      <c r="X50" s="2">
        <f>(ROUND((((S50+ROUND((ROUND(((((EU50*1.2)*0.3))*AV50*I50),2)*BS50),2))*AT50)/100),2)+ROUND(((ROUND((ROUND(((AE50-(((EU50*1.2)*0.3)))*AV50*I50),2)*BS50),2)*AT50)/100),2))</f>
        <v>2.12</v>
      </c>
      <c r="Y50" s="2">
        <f>(ROUND((((S50+ROUND((ROUND(((((EU50*1.2)*0.3))*AV50*I50),2)*BS50),2))*AU50)/100),2)+ROUND(((ROUND((ROUND(((AE50-(((EU50*1.2)*0.3)))*AV50*I50),2)*BS50),2)*AU50)/100),2))</f>
        <v>1.08</v>
      </c>
      <c r="Z50" s="2"/>
      <c r="AA50" s="2">
        <v>57248835</v>
      </c>
      <c r="AB50" s="2">
        <f t="shared" si="32"/>
        <v>0.28079999999999999</v>
      </c>
      <c r="AC50" s="2">
        <f>ROUND((((ES50*1)*0)),6)</f>
        <v>0</v>
      </c>
      <c r="AD50" s="2">
        <f>ROUND((((((ET50*1.2)*0.3))-(((EU50*1.2)*0.3)))+AE50),6)</f>
        <v>0</v>
      </c>
      <c r="AE50" s="2">
        <f>ROUND((((EU50*1.2)*0.3)),6)</f>
        <v>0</v>
      </c>
      <c r="AF50" s="2">
        <f>ROUND((((EV50*1.2)*0.3)),6)</f>
        <v>0.28079999999999999</v>
      </c>
      <c r="AG50" s="2">
        <f t="shared" si="37"/>
        <v>0</v>
      </c>
      <c r="AH50" s="2">
        <f>(((EW50*1.2)*0.3))</f>
        <v>2.52E-2</v>
      </c>
      <c r="AI50" s="2">
        <f>(((EX50*1.2)*0.3))</f>
        <v>0</v>
      </c>
      <c r="AJ50" s="2">
        <f t="shared" si="40"/>
        <v>0</v>
      </c>
      <c r="AK50" s="2">
        <v>0.78</v>
      </c>
      <c r="AL50" s="2">
        <v>0</v>
      </c>
      <c r="AM50" s="2">
        <v>0</v>
      </c>
      <c r="AN50" s="2">
        <v>0</v>
      </c>
      <c r="AO50" s="2">
        <v>0.78</v>
      </c>
      <c r="AP50" s="2">
        <v>0</v>
      </c>
      <c r="AQ50" s="2">
        <v>7.0000000000000007E-2</v>
      </c>
      <c r="AR50" s="2">
        <v>0</v>
      </c>
      <c r="AS50" s="2">
        <v>0</v>
      </c>
      <c r="AT50" s="2">
        <v>90</v>
      </c>
      <c r="AU50" s="2">
        <v>46</v>
      </c>
      <c r="AV50" s="2">
        <v>1.0469999999999999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0</v>
      </c>
      <c r="BI50" s="2">
        <v>2</v>
      </c>
      <c r="BJ50" s="2" t="s">
        <v>94</v>
      </c>
      <c r="BK50" s="2"/>
      <c r="BL50" s="2"/>
      <c r="BM50" s="2">
        <v>68</v>
      </c>
      <c r="BN50" s="2">
        <v>0</v>
      </c>
      <c r="BO50" s="2" t="s">
        <v>91</v>
      </c>
      <c r="BP50" s="2">
        <v>1</v>
      </c>
      <c r="BQ50" s="2">
        <v>40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818</v>
      </c>
      <c r="CO50" s="2">
        <v>0</v>
      </c>
      <c r="CP50" s="2">
        <f t="shared" si="41"/>
        <v>2.35</v>
      </c>
      <c r="CQ50" s="2">
        <f t="shared" si="42"/>
        <v>0</v>
      </c>
      <c r="CR50" s="2">
        <f>(ROUND((ROUND(((((ET50*1.2)*0.3))*AV50*1),2)*BB50),2)+ROUND((ROUND(((AE50-(((EU50*1.2)*0.3)))*AV50*1),2)*BS50),2))</f>
        <v>0</v>
      </c>
      <c r="CS50" s="2">
        <f>(ROUND((ROUND(((((EU50*1.2)*0.3))*AV50*1),2)*BS50),2)+ROUND((ROUND(((AE50-(((EU50*1.2)*0.3)))*AV50*1),2)*BS50),2))</f>
        <v>0</v>
      </c>
      <c r="CT50" s="2">
        <f t="shared" si="45"/>
        <v>0.28999999999999998</v>
      </c>
      <c r="CU50" s="2">
        <f t="shared" si="46"/>
        <v>0</v>
      </c>
      <c r="CV50" s="2">
        <f t="shared" si="47"/>
        <v>2.6384399999999999E-2</v>
      </c>
      <c r="CW50" s="2">
        <f t="shared" si="48"/>
        <v>0</v>
      </c>
      <c r="CX50" s="2">
        <f t="shared" si="49"/>
        <v>0</v>
      </c>
      <c r="CY50" s="2">
        <f>(ROUND((((S50+ROUND((ROUND(((((EU50*1.2)*0.3))*AV50*1),2)*BS50),2))*AT50)/100),2)+ROUND(((ROUND((ROUND(((AE50-(((EU50*1.2)*0.3)))*AV50*1),2)*BS50),2)*AT50)/100),2))</f>
        <v>2.12</v>
      </c>
      <c r="CZ50" s="2">
        <f>(ROUND((((S50+ROUND((ROUND(((((EU50*1.2)*0.3))*AV50*1),2)*BS50),2))*AU50)/100),2)+ROUND(((ROUND((ROUND(((AE50-(((EU50*1.2)*0.3)))*AV50*1),2)*BS50),2)*AU50)/100),2))</f>
        <v>1.08</v>
      </c>
      <c r="DA50" s="2"/>
      <c r="DB50" s="2">
        <v>45</v>
      </c>
      <c r="DC50" s="2" t="s">
        <v>3</v>
      </c>
      <c r="DD50" s="2" t="s">
        <v>31</v>
      </c>
      <c r="DE50" s="2" t="s">
        <v>32</v>
      </c>
      <c r="DF50" s="2" t="s">
        <v>32</v>
      </c>
      <c r="DG50" s="2" t="s">
        <v>32</v>
      </c>
      <c r="DH50" s="2" t="s">
        <v>3</v>
      </c>
      <c r="DI50" s="2" t="s">
        <v>32</v>
      </c>
      <c r="DJ50" s="2" t="s">
        <v>32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1013</v>
      </c>
      <c r="DV50" s="2" t="s">
        <v>93</v>
      </c>
      <c r="DW50" s="2" t="s">
        <v>93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57248652</v>
      </c>
      <c r="EF50" s="2">
        <v>40</v>
      </c>
      <c r="EG50" s="2" t="s">
        <v>33</v>
      </c>
      <c r="EH50" s="2">
        <v>0</v>
      </c>
      <c r="EI50" s="2" t="s">
        <v>3</v>
      </c>
      <c r="EJ50" s="2">
        <v>2</v>
      </c>
      <c r="EK50" s="2">
        <v>68</v>
      </c>
      <c r="EL50" s="2" t="s">
        <v>34</v>
      </c>
      <c r="EM50" s="2" t="s">
        <v>35</v>
      </c>
      <c r="EN50" s="2"/>
      <c r="EO50" s="2" t="s">
        <v>36</v>
      </c>
      <c r="EP50" s="2"/>
      <c r="EQ50" s="2">
        <v>131072</v>
      </c>
      <c r="ER50" s="2">
        <v>0.78</v>
      </c>
      <c r="ES50" s="2">
        <v>0</v>
      </c>
      <c r="ET50" s="2">
        <v>0</v>
      </c>
      <c r="EU50" s="2">
        <v>0</v>
      </c>
      <c r="EV50" s="2">
        <v>0.78</v>
      </c>
      <c r="EW50" s="2">
        <v>7.0000000000000007E-2</v>
      </c>
      <c r="EX50" s="2">
        <v>0</v>
      </c>
      <c r="EY50" s="2">
        <v>0</v>
      </c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v>0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3</v>
      </c>
      <c r="GB50" s="2"/>
      <c r="GC50" s="2"/>
      <c r="GD50" s="2">
        <v>1</v>
      </c>
      <c r="GE50" s="2"/>
      <c r="GF50" s="2">
        <v>1577802063</v>
      </c>
      <c r="GG50" s="2">
        <v>2</v>
      </c>
      <c r="GH50" s="2">
        <v>1</v>
      </c>
      <c r="GI50" s="2">
        <v>2</v>
      </c>
      <c r="GJ50" s="2">
        <v>0</v>
      </c>
      <c r="GK50" s="2">
        <v>0</v>
      </c>
      <c r="GL50" s="2">
        <f t="shared" si="52"/>
        <v>0</v>
      </c>
      <c r="GM50" s="2">
        <f t="shared" si="53"/>
        <v>5.55</v>
      </c>
      <c r="GN50" s="2">
        <f t="shared" si="54"/>
        <v>0</v>
      </c>
      <c r="GO50" s="2">
        <f t="shared" si="55"/>
        <v>5.55</v>
      </c>
      <c r="GP50" s="2">
        <f t="shared" si="56"/>
        <v>0</v>
      </c>
      <c r="GQ50" s="2"/>
      <c r="GR50" s="2">
        <v>0</v>
      </c>
      <c r="GS50" s="2">
        <v>3</v>
      </c>
      <c r="GT50" s="2">
        <v>0</v>
      </c>
      <c r="GU50" s="2" t="s">
        <v>3</v>
      </c>
      <c r="GV50" s="2">
        <f t="shared" si="57"/>
        <v>0</v>
      </c>
      <c r="GW50" s="2">
        <v>1</v>
      </c>
      <c r="GX50" s="2">
        <f t="shared" si="58"/>
        <v>0</v>
      </c>
      <c r="GY50" s="2"/>
      <c r="GZ50" s="2"/>
      <c r="HA50" s="2">
        <v>0</v>
      </c>
      <c r="HB50" s="2">
        <v>0</v>
      </c>
      <c r="HC50" s="2">
        <f t="shared" si="59"/>
        <v>0</v>
      </c>
      <c r="HD50" s="2"/>
      <c r="HE50" s="2" t="s">
        <v>3</v>
      </c>
      <c r="HF50" s="2" t="s">
        <v>3</v>
      </c>
      <c r="HG50" s="2"/>
      <c r="HH50" s="2"/>
      <c r="HI50" s="2"/>
      <c r="HJ50" s="2"/>
      <c r="HK50" s="2"/>
      <c r="HL50" s="2"/>
      <c r="HM50" s="2" t="s">
        <v>3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17</v>
      </c>
      <c r="B51" s="3">
        <v>1</v>
      </c>
      <c r="C51" s="3">
        <f>ROW(SmtRes!A82)</f>
        <v>82</v>
      </c>
      <c r="D51" s="3">
        <f>ROW(EtalonRes!A108)</f>
        <v>108</v>
      </c>
      <c r="E51" s="3" t="s">
        <v>90</v>
      </c>
      <c r="F51" s="3" t="s">
        <v>91</v>
      </c>
      <c r="G51" s="3" t="s">
        <v>92</v>
      </c>
      <c r="H51" s="3" t="s">
        <v>93</v>
      </c>
      <c r="I51" s="3">
        <f>ROUND(4*2,9)</f>
        <v>8</v>
      </c>
      <c r="J51" s="3">
        <v>0</v>
      </c>
      <c r="K51" s="3">
        <f>ROUND(4*2,9)</f>
        <v>8</v>
      </c>
      <c r="O51" s="3">
        <f t="shared" si="21"/>
        <v>132.41999999999999</v>
      </c>
      <c r="P51" s="3">
        <f t="shared" si="22"/>
        <v>0</v>
      </c>
      <c r="Q51" s="3">
        <f>(ROUND((ROUND(((((ET51*1.2)*0.3))*AV51*I51),2)*BB51),2)+ROUND((ROUND(((AE51-(((EU51*1.2)*0.3)))*AV51*I51),2)*BS51),2))</f>
        <v>0</v>
      </c>
      <c r="R51" s="3">
        <f>(ROUND((ROUND(((((EU51*1.2)*0.3))*AV51*I51),2)*BS51),2)+ROUND((ROUND(((AE51-(((EU51*1.2)*0.3)))*AV51*I51),2)*BS51),2))</f>
        <v>0</v>
      </c>
      <c r="S51" s="3">
        <f t="shared" si="25"/>
        <v>132.41999999999999</v>
      </c>
      <c r="T51" s="3">
        <f t="shared" si="26"/>
        <v>0</v>
      </c>
      <c r="U51" s="3">
        <f t="shared" si="27"/>
        <v>0.21107519999999999</v>
      </c>
      <c r="V51" s="3">
        <f t="shared" si="28"/>
        <v>0</v>
      </c>
      <c r="W51" s="3">
        <f t="shared" si="29"/>
        <v>0</v>
      </c>
      <c r="X51" s="3">
        <f>(ROUND((((S51+ROUND((ROUND(((((EU51*1.2)*0.3))*AV51*I51),2)*BS51),2))*AT51)/100),2)+ROUND(((ROUND((ROUND(((AE51-(((EU51*1.2)*0.3)))*AV51*I51),2)*BS51),2)*AT51)/100),2))</f>
        <v>119.18</v>
      </c>
      <c r="Y51" s="3">
        <f>(ROUND((((S51+ROUND((ROUND(((((EU51*1.2)*0.3))*AV51*I51),2)*BS51),2))*AU51)/100),2)+ROUND(((ROUND((ROUND(((AE51-(((EU51*1.2)*0.3)))*AV51*I51),2)*BS51),2)*AU51)/100),2))</f>
        <v>60.91</v>
      </c>
      <c r="AA51" s="3">
        <v>57248837</v>
      </c>
      <c r="AB51" s="3">
        <f t="shared" si="32"/>
        <v>0.28079999999999999</v>
      </c>
      <c r="AC51" s="3">
        <f>ROUND((((ES51*1)*0)),6)</f>
        <v>0</v>
      </c>
      <c r="AD51" s="3">
        <f>ROUND((((((ET51*1.2)*0.3))-(((EU51*1.2)*0.3)))+AE51),6)</f>
        <v>0</v>
      </c>
      <c r="AE51" s="3">
        <f>ROUND((((EU51*1.2)*0.3)),6)</f>
        <v>0</v>
      </c>
      <c r="AF51" s="3">
        <f>ROUND((((EV51*1.2)*0.3)),6)</f>
        <v>0.28079999999999999</v>
      </c>
      <c r="AG51" s="3">
        <f t="shared" si="37"/>
        <v>0</v>
      </c>
      <c r="AH51" s="3">
        <f>(((EW51*1.2)*0.3))</f>
        <v>2.52E-2</v>
      </c>
      <c r="AI51" s="3">
        <f>(((EX51*1.2)*0.3))</f>
        <v>0</v>
      </c>
      <c r="AJ51" s="3">
        <f t="shared" si="40"/>
        <v>0</v>
      </c>
      <c r="AK51" s="3">
        <v>0.78</v>
      </c>
      <c r="AL51" s="3">
        <v>0</v>
      </c>
      <c r="AM51" s="3">
        <v>0</v>
      </c>
      <c r="AN51" s="3">
        <v>0</v>
      </c>
      <c r="AO51" s="3">
        <v>0.78</v>
      </c>
      <c r="AP51" s="3">
        <v>0</v>
      </c>
      <c r="AQ51" s="3">
        <v>7.0000000000000007E-2</v>
      </c>
      <c r="AR51" s="3">
        <v>0</v>
      </c>
      <c r="AS51" s="3">
        <v>0</v>
      </c>
      <c r="AT51" s="3">
        <v>90</v>
      </c>
      <c r="AU51" s="3">
        <v>46</v>
      </c>
      <c r="AV51" s="3">
        <v>1.0469999999999999</v>
      </c>
      <c r="AW51" s="3">
        <v>1</v>
      </c>
      <c r="AZ51" s="3">
        <v>1</v>
      </c>
      <c r="BA51" s="3">
        <v>56.35</v>
      </c>
      <c r="BB51" s="3">
        <v>1</v>
      </c>
      <c r="BC51" s="3">
        <v>1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0</v>
      </c>
      <c r="BI51" s="3">
        <v>2</v>
      </c>
      <c r="BJ51" s="3" t="s">
        <v>94</v>
      </c>
      <c r="BM51" s="3">
        <v>68</v>
      </c>
      <c r="BN51" s="3">
        <v>0</v>
      </c>
      <c r="BO51" s="3" t="s">
        <v>91</v>
      </c>
      <c r="BP51" s="3">
        <v>1</v>
      </c>
      <c r="BQ51" s="3">
        <v>40</v>
      </c>
      <c r="BR51" s="3">
        <v>0</v>
      </c>
      <c r="BS51" s="3">
        <v>56.35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818</v>
      </c>
      <c r="CO51" s="3">
        <v>0</v>
      </c>
      <c r="CP51" s="3">
        <f t="shared" si="41"/>
        <v>132.41999999999999</v>
      </c>
      <c r="CQ51" s="3">
        <f t="shared" si="42"/>
        <v>0</v>
      </c>
      <c r="CR51" s="3">
        <f>(ROUND((ROUND(((((ET51*1.2)*0.3))*AV51*1),2)*BB51),2)+ROUND((ROUND(((AE51-(((EU51*1.2)*0.3)))*AV51*1),2)*BS51),2))</f>
        <v>0</v>
      </c>
      <c r="CS51" s="3">
        <f>(ROUND((ROUND(((((EU51*1.2)*0.3))*AV51*1),2)*BS51),2)+ROUND((ROUND(((AE51-(((EU51*1.2)*0.3)))*AV51*1),2)*BS51),2))</f>
        <v>0</v>
      </c>
      <c r="CT51" s="3">
        <f t="shared" si="45"/>
        <v>16.34</v>
      </c>
      <c r="CU51" s="3">
        <f t="shared" si="46"/>
        <v>0</v>
      </c>
      <c r="CV51" s="3">
        <f t="shared" si="47"/>
        <v>2.6384399999999999E-2</v>
      </c>
      <c r="CW51" s="3">
        <f t="shared" si="48"/>
        <v>0</v>
      </c>
      <c r="CX51" s="3">
        <f t="shared" si="49"/>
        <v>0</v>
      </c>
      <c r="CY51" s="3">
        <f>(ROUND((((S51+ROUND((ROUND(((((EU51*1.2)*0.3))*AV51*1),2)*BS51),2))*AT51)/100),2)+ROUND(((ROUND((ROUND(((AE51-(((EU51*1.2)*0.3)))*AV51*1),2)*BS51),2)*AT51)/100),2))</f>
        <v>119.18</v>
      </c>
      <c r="CZ51" s="3">
        <f>(ROUND((((S51+ROUND((ROUND(((((EU51*1.2)*0.3))*AV51*1),2)*BS51),2))*AU51)/100),2)+ROUND(((ROUND((ROUND(((AE51-(((EU51*1.2)*0.3)))*AV51*1),2)*BS51),2)*AU51)/100),2))</f>
        <v>60.91</v>
      </c>
      <c r="DB51" s="3">
        <v>47</v>
      </c>
      <c r="DC51" s="3" t="s">
        <v>3</v>
      </c>
      <c r="DD51" s="3" t="s">
        <v>31</v>
      </c>
      <c r="DE51" s="3" t="s">
        <v>32</v>
      </c>
      <c r="DF51" s="3" t="s">
        <v>32</v>
      </c>
      <c r="DG51" s="3" t="s">
        <v>32</v>
      </c>
      <c r="DH51" s="3" t="s">
        <v>3</v>
      </c>
      <c r="DI51" s="3" t="s">
        <v>32</v>
      </c>
      <c r="DJ51" s="3" t="s">
        <v>32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1013</v>
      </c>
      <c r="DV51" s="3" t="s">
        <v>93</v>
      </c>
      <c r="DW51" s="3" t="s">
        <v>93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57248652</v>
      </c>
      <c r="EF51" s="3">
        <v>40</v>
      </c>
      <c r="EG51" s="3" t="s">
        <v>33</v>
      </c>
      <c r="EH51" s="3">
        <v>0</v>
      </c>
      <c r="EI51" s="3" t="s">
        <v>3</v>
      </c>
      <c r="EJ51" s="3">
        <v>2</v>
      </c>
      <c r="EK51" s="3">
        <v>68</v>
      </c>
      <c r="EL51" s="3" t="s">
        <v>34</v>
      </c>
      <c r="EM51" s="3" t="s">
        <v>35</v>
      </c>
      <c r="EO51" s="3" t="s">
        <v>36</v>
      </c>
      <c r="EQ51" s="3">
        <v>131072</v>
      </c>
      <c r="ER51" s="3">
        <v>0.78</v>
      </c>
      <c r="ES51" s="3">
        <v>0</v>
      </c>
      <c r="ET51" s="3">
        <v>0</v>
      </c>
      <c r="EU51" s="3">
        <v>0</v>
      </c>
      <c r="EV51" s="3">
        <v>0.78</v>
      </c>
      <c r="EW51" s="3">
        <v>7.0000000000000007E-2</v>
      </c>
      <c r="EX51" s="3">
        <v>0</v>
      </c>
      <c r="EY51" s="3">
        <v>0</v>
      </c>
      <c r="FQ51" s="3">
        <v>0</v>
      </c>
      <c r="FR51" s="3">
        <v>0</v>
      </c>
      <c r="FS51" s="3">
        <v>0</v>
      </c>
      <c r="FX51" s="3">
        <v>90</v>
      </c>
      <c r="FY51" s="3">
        <v>46</v>
      </c>
      <c r="GA51" s="3" t="s">
        <v>3</v>
      </c>
      <c r="GD51" s="3">
        <v>1</v>
      </c>
      <c r="GF51" s="3">
        <v>1577802063</v>
      </c>
      <c r="GG51" s="3">
        <v>2</v>
      </c>
      <c r="GH51" s="3">
        <v>1</v>
      </c>
      <c r="GI51" s="3">
        <v>2</v>
      </c>
      <c r="GJ51" s="3">
        <v>0</v>
      </c>
      <c r="GK51" s="3">
        <v>0</v>
      </c>
      <c r="GL51" s="3">
        <f t="shared" si="52"/>
        <v>0</v>
      </c>
      <c r="GM51" s="3">
        <f t="shared" si="53"/>
        <v>312.51</v>
      </c>
      <c r="GN51" s="3">
        <f t="shared" si="54"/>
        <v>0</v>
      </c>
      <c r="GO51" s="3">
        <f t="shared" si="55"/>
        <v>312.51</v>
      </c>
      <c r="GP51" s="3">
        <f t="shared" si="56"/>
        <v>0</v>
      </c>
      <c r="GR51" s="3">
        <v>0</v>
      </c>
      <c r="GS51" s="3">
        <v>3</v>
      </c>
      <c r="GT51" s="3">
        <v>0</v>
      </c>
      <c r="GU51" s="3" t="s">
        <v>3</v>
      </c>
      <c r="GV51" s="3">
        <f t="shared" si="57"/>
        <v>0</v>
      </c>
      <c r="GW51" s="3">
        <v>1</v>
      </c>
      <c r="GX51" s="3">
        <f t="shared" si="58"/>
        <v>0</v>
      </c>
      <c r="HA51" s="3">
        <v>0</v>
      </c>
      <c r="HB51" s="3">
        <v>0</v>
      </c>
      <c r="HC51" s="3">
        <f t="shared" si="59"/>
        <v>0</v>
      </c>
      <c r="HE51" s="3" t="s">
        <v>3</v>
      </c>
      <c r="HF51" s="3" t="s">
        <v>3</v>
      </c>
      <c r="HM51" s="3" t="s">
        <v>3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ROW(SmtRes!A88)</f>
        <v>88</v>
      </c>
      <c r="D52" s="2">
        <f>ROW(EtalonRes!A115)</f>
        <v>115</v>
      </c>
      <c r="E52" s="2" t="s">
        <v>95</v>
      </c>
      <c r="F52" s="2" t="s">
        <v>96</v>
      </c>
      <c r="G52" s="2" t="s">
        <v>97</v>
      </c>
      <c r="H52" s="2" t="s">
        <v>67</v>
      </c>
      <c r="I52" s="2">
        <f>ROUND(4/100,9)</f>
        <v>0.04</v>
      </c>
      <c r="J52" s="2">
        <v>0</v>
      </c>
      <c r="K52" s="2">
        <f>ROUND(4/100,9)</f>
        <v>0.04</v>
      </c>
      <c r="L52" s="2"/>
      <c r="M52" s="2"/>
      <c r="N52" s="2"/>
      <c r="O52" s="2">
        <f t="shared" si="21"/>
        <v>9.82</v>
      </c>
      <c r="P52" s="2">
        <f t="shared" si="22"/>
        <v>3.18</v>
      </c>
      <c r="Q52" s="2">
        <f t="shared" ref="Q52:Q57" si="60">(ROUND((ROUND(((((ET52*1.2)*0.6))*AV52*I52),2)*BB52),2)+ROUND((ROUND(((AE52-(((EU52*1.2)*0.6)))*AV52*I52),2)*BS52),2))</f>
        <v>0.59</v>
      </c>
      <c r="R52" s="2">
        <f t="shared" ref="R52:R57" si="61">(ROUND((ROUND(((((EU52*1.2)*0.6))*AV52*I52),2)*BS52),2)+ROUND((ROUND(((AE52-(((EU52*1.2)*0.6)))*AV52*I52),2)*BS52),2))</f>
        <v>7.0000000000000007E-2</v>
      </c>
      <c r="S52" s="2">
        <f t="shared" si="25"/>
        <v>6.05</v>
      </c>
      <c r="T52" s="2">
        <f t="shared" si="26"/>
        <v>0</v>
      </c>
      <c r="U52" s="2">
        <f t="shared" si="27"/>
        <v>0.36220579199999997</v>
      </c>
      <c r="V52" s="2">
        <f t="shared" si="28"/>
        <v>0</v>
      </c>
      <c r="W52" s="2">
        <f t="shared" si="29"/>
        <v>0</v>
      </c>
      <c r="X52" s="2">
        <f t="shared" ref="X52:X57" si="62">(ROUND((((S52+ROUND((ROUND(((((EU52*1.2)*0.6))*AV52*I52),2)*BS52),2))*AT52)/100),2)+ROUND(((ROUND((ROUND(((AE52-(((EU52*1.2)*0.6)))*AV52*I52),2)*BS52),2)*AT52)/100),2))</f>
        <v>5.69</v>
      </c>
      <c r="Y52" s="2">
        <f t="shared" ref="Y52:Y57" si="63">(ROUND((((S52+ROUND((ROUND(((((EU52*1.2)*0.6))*AV52*I52),2)*BS52),2))*AU52)/100),2)+ROUND(((ROUND((ROUND(((AE52-(((EU52*1.2)*0.6)))*AV52*I52),2)*BS52),2)*AU52)/100),2))</f>
        <v>3.79</v>
      </c>
      <c r="Z52" s="2"/>
      <c r="AA52" s="2">
        <v>57248835</v>
      </c>
      <c r="AB52" s="2">
        <f t="shared" si="32"/>
        <v>231.9144</v>
      </c>
      <c r="AC52" s="2">
        <f t="shared" ref="AC52:AC57" si="64">ROUND((((ES52*1)*0.6)),6)</f>
        <v>79.403999999999996</v>
      </c>
      <c r="AD52" s="2">
        <f t="shared" ref="AD52:AD57" si="65">ROUND((((((ET52*1.2)*0.6))-(((EU52*1.2)*0.6)))+AE52),6)</f>
        <v>13.456799999999999</v>
      </c>
      <c r="AE52" s="2">
        <f t="shared" ref="AE52:AF57" si="66">ROUND((((EU52*1.2)*0.6)),6)</f>
        <v>1.6344000000000001</v>
      </c>
      <c r="AF52" s="2">
        <f t="shared" si="66"/>
        <v>139.05359999999999</v>
      </c>
      <c r="AG52" s="2">
        <f t="shared" si="37"/>
        <v>0</v>
      </c>
      <c r="AH52" s="2">
        <f t="shared" ref="AH52:AI57" si="67">(((EW52*1.2)*0.6))</f>
        <v>8.3303999999999991</v>
      </c>
      <c r="AI52" s="2">
        <f t="shared" si="67"/>
        <v>0</v>
      </c>
      <c r="AJ52" s="2">
        <f t="shared" si="40"/>
        <v>0</v>
      </c>
      <c r="AK52" s="2">
        <v>344.16</v>
      </c>
      <c r="AL52" s="2">
        <v>132.34</v>
      </c>
      <c r="AM52" s="2">
        <v>18.690000000000001</v>
      </c>
      <c r="AN52" s="2">
        <v>2.27</v>
      </c>
      <c r="AO52" s="2">
        <v>193.13</v>
      </c>
      <c r="AP52" s="2">
        <v>0</v>
      </c>
      <c r="AQ52" s="2">
        <v>11.57</v>
      </c>
      <c r="AR52" s="2">
        <v>0</v>
      </c>
      <c r="AS52" s="2">
        <v>0</v>
      </c>
      <c r="AT52" s="2">
        <v>93</v>
      </c>
      <c r="AU52" s="2">
        <v>62</v>
      </c>
      <c r="AV52" s="2">
        <v>1.087</v>
      </c>
      <c r="AW52" s="2">
        <v>1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1</v>
      </c>
      <c r="BJ52" s="2" t="s">
        <v>98</v>
      </c>
      <c r="BK52" s="2"/>
      <c r="BL52" s="2"/>
      <c r="BM52" s="2">
        <v>55</v>
      </c>
      <c r="BN52" s="2">
        <v>0</v>
      </c>
      <c r="BO52" s="2" t="s">
        <v>96</v>
      </c>
      <c r="BP52" s="2">
        <v>1</v>
      </c>
      <c r="BQ52" s="2">
        <v>30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93</v>
      </c>
      <c r="CA52" s="2">
        <v>62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819</v>
      </c>
      <c r="CO52" s="2">
        <v>0</v>
      </c>
      <c r="CP52" s="2">
        <f t="shared" si="41"/>
        <v>9.82</v>
      </c>
      <c r="CQ52" s="2">
        <f t="shared" si="42"/>
        <v>79.400000000000006</v>
      </c>
      <c r="CR52" s="2">
        <f t="shared" ref="CR52:CR57" si="68">(ROUND((ROUND(((((ET52*1.2)*0.6))*AV52*1),2)*BB52),2)+ROUND((ROUND(((AE52-(((EU52*1.2)*0.6)))*AV52*1),2)*BS52),2))</f>
        <v>14.63</v>
      </c>
      <c r="CS52" s="2">
        <f t="shared" ref="CS52:CS57" si="69">(ROUND((ROUND(((((EU52*1.2)*0.6))*AV52*1),2)*BS52),2)+ROUND((ROUND(((AE52-(((EU52*1.2)*0.6)))*AV52*1),2)*BS52),2))</f>
        <v>1.78</v>
      </c>
      <c r="CT52" s="2">
        <f t="shared" si="45"/>
        <v>151.15</v>
      </c>
      <c r="CU52" s="2">
        <f t="shared" si="46"/>
        <v>0</v>
      </c>
      <c r="CV52" s="2">
        <f t="shared" si="47"/>
        <v>9.055144799999999</v>
      </c>
      <c r="CW52" s="2">
        <f t="shared" si="48"/>
        <v>0</v>
      </c>
      <c r="CX52" s="2">
        <f t="shared" si="49"/>
        <v>0</v>
      </c>
      <c r="CY52" s="2">
        <f t="shared" ref="CY52:CY57" si="70">(ROUND((((S52+ROUND((ROUND(((((EU52*1.2)*0.6))*AV52*1),2)*BS52),2))*AT52)/100),2)+ROUND(((ROUND((ROUND(((AE52-(((EU52*1.2)*0.6)))*AV52*1),2)*BS52),2)*AT52)/100),2))</f>
        <v>7.28</v>
      </c>
      <c r="CZ52" s="2">
        <f t="shared" ref="CZ52:CZ57" si="71">(ROUND((((S52+ROUND((ROUND(((((EU52*1.2)*0.6))*AV52*1),2)*BS52),2))*AU52)/100),2)+ROUND(((ROUND((ROUND(((AE52-(((EU52*1.2)*0.6)))*AV52*1),2)*BS52),2)*AU52)/100),2))</f>
        <v>4.8499999999999996</v>
      </c>
      <c r="DA52" s="2"/>
      <c r="DB52" s="2">
        <v>49</v>
      </c>
      <c r="DC52" s="2" t="s">
        <v>3</v>
      </c>
      <c r="DD52" s="2" t="s">
        <v>84</v>
      </c>
      <c r="DE52" s="2" t="s">
        <v>85</v>
      </c>
      <c r="DF52" s="2" t="s">
        <v>85</v>
      </c>
      <c r="DG52" s="2" t="s">
        <v>85</v>
      </c>
      <c r="DH52" s="2" t="s">
        <v>3</v>
      </c>
      <c r="DI52" s="2" t="s">
        <v>85</v>
      </c>
      <c r="DJ52" s="2" t="s">
        <v>85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1010</v>
      </c>
      <c r="DV52" s="2" t="s">
        <v>67</v>
      </c>
      <c r="DW52" s="2" t="s">
        <v>67</v>
      </c>
      <c r="DX52" s="2">
        <v>100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57248639</v>
      </c>
      <c r="EF52" s="2">
        <v>30</v>
      </c>
      <c r="EG52" s="2" t="s">
        <v>86</v>
      </c>
      <c r="EH52" s="2">
        <v>0</v>
      </c>
      <c r="EI52" s="2" t="s">
        <v>3</v>
      </c>
      <c r="EJ52" s="2">
        <v>1</v>
      </c>
      <c r="EK52" s="2">
        <v>55</v>
      </c>
      <c r="EL52" s="2" t="s">
        <v>99</v>
      </c>
      <c r="EM52" s="2" t="s">
        <v>100</v>
      </c>
      <c r="EN52" s="2"/>
      <c r="EO52" s="2" t="s">
        <v>89</v>
      </c>
      <c r="EP52" s="2"/>
      <c r="EQ52" s="2">
        <v>131072</v>
      </c>
      <c r="ER52" s="2">
        <v>344.16</v>
      </c>
      <c r="ES52" s="2">
        <v>132.34</v>
      </c>
      <c r="ET52" s="2">
        <v>18.690000000000001</v>
      </c>
      <c r="EU52" s="2">
        <v>2.27</v>
      </c>
      <c r="EV52" s="2">
        <v>193.13</v>
      </c>
      <c r="EW52" s="2">
        <v>11.57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0</v>
      </c>
      <c r="FT52" s="2"/>
      <c r="FU52" s="2"/>
      <c r="FV52" s="2"/>
      <c r="FW52" s="2"/>
      <c r="FX52" s="2">
        <v>93</v>
      </c>
      <c r="FY52" s="2">
        <v>62</v>
      </c>
      <c r="FZ52" s="2"/>
      <c r="GA52" s="2" t="s">
        <v>3</v>
      </c>
      <c r="GB52" s="2"/>
      <c r="GC52" s="2"/>
      <c r="GD52" s="2">
        <v>1</v>
      </c>
      <c r="GE52" s="2"/>
      <c r="GF52" s="2">
        <v>-208235524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52"/>
        <v>0</v>
      </c>
      <c r="GM52" s="2">
        <f t="shared" si="53"/>
        <v>19.3</v>
      </c>
      <c r="GN52" s="2">
        <f t="shared" si="54"/>
        <v>19.3</v>
      </c>
      <c r="GO52" s="2">
        <f t="shared" si="55"/>
        <v>0</v>
      </c>
      <c r="GP52" s="2">
        <f t="shared" si="56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57"/>
        <v>0</v>
      </c>
      <c r="GW52" s="2">
        <v>1</v>
      </c>
      <c r="GX52" s="2">
        <f t="shared" si="58"/>
        <v>0</v>
      </c>
      <c r="GY52" s="2"/>
      <c r="GZ52" s="2"/>
      <c r="HA52" s="2">
        <v>0</v>
      </c>
      <c r="HB52" s="2">
        <v>0</v>
      </c>
      <c r="HC52" s="2">
        <f t="shared" si="59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ROW(SmtRes!A94)</f>
        <v>94</v>
      </c>
      <c r="D53" s="3">
        <f>ROW(EtalonRes!A122)</f>
        <v>122</v>
      </c>
      <c r="E53" s="3" t="s">
        <v>95</v>
      </c>
      <c r="F53" s="3" t="s">
        <v>96</v>
      </c>
      <c r="G53" s="3" t="s">
        <v>97</v>
      </c>
      <c r="H53" s="3" t="s">
        <v>67</v>
      </c>
      <c r="I53" s="3">
        <f>ROUND(4/100,9)</f>
        <v>0.04</v>
      </c>
      <c r="J53" s="3">
        <v>0</v>
      </c>
      <c r="K53" s="3">
        <f>ROUND(4/100,9)</f>
        <v>0.04</v>
      </c>
      <c r="O53" s="3">
        <f t="shared" si="21"/>
        <v>361.11</v>
      </c>
      <c r="P53" s="3">
        <f t="shared" si="22"/>
        <v>11</v>
      </c>
      <c r="Q53" s="3">
        <f t="shared" si="60"/>
        <v>9.19</v>
      </c>
      <c r="R53" s="3">
        <f t="shared" si="61"/>
        <v>3.94</v>
      </c>
      <c r="S53" s="3">
        <f t="shared" si="25"/>
        <v>340.92</v>
      </c>
      <c r="T53" s="3">
        <f t="shared" si="26"/>
        <v>0</v>
      </c>
      <c r="U53" s="3">
        <f t="shared" si="27"/>
        <v>0.36220579199999997</v>
      </c>
      <c r="V53" s="3">
        <f t="shared" si="28"/>
        <v>0</v>
      </c>
      <c r="W53" s="3">
        <f t="shared" si="29"/>
        <v>0</v>
      </c>
      <c r="X53" s="3">
        <f t="shared" si="62"/>
        <v>320.72000000000003</v>
      </c>
      <c r="Y53" s="3">
        <f t="shared" si="63"/>
        <v>213.81</v>
      </c>
      <c r="AA53" s="3">
        <v>57248837</v>
      </c>
      <c r="AB53" s="3">
        <f t="shared" si="32"/>
        <v>231.9144</v>
      </c>
      <c r="AC53" s="3">
        <f t="shared" si="64"/>
        <v>79.403999999999996</v>
      </c>
      <c r="AD53" s="3">
        <f t="shared" si="65"/>
        <v>13.456799999999999</v>
      </c>
      <c r="AE53" s="3">
        <f t="shared" si="66"/>
        <v>1.6344000000000001</v>
      </c>
      <c r="AF53" s="3">
        <f t="shared" si="66"/>
        <v>139.05359999999999</v>
      </c>
      <c r="AG53" s="3">
        <f t="shared" si="37"/>
        <v>0</v>
      </c>
      <c r="AH53" s="3">
        <f t="shared" si="67"/>
        <v>8.3303999999999991</v>
      </c>
      <c r="AI53" s="3">
        <f t="shared" si="67"/>
        <v>0</v>
      </c>
      <c r="AJ53" s="3">
        <f t="shared" si="40"/>
        <v>0</v>
      </c>
      <c r="AK53" s="3">
        <v>344.16</v>
      </c>
      <c r="AL53" s="3">
        <v>132.34</v>
      </c>
      <c r="AM53" s="3">
        <v>18.690000000000001</v>
      </c>
      <c r="AN53" s="3">
        <v>2.27</v>
      </c>
      <c r="AO53" s="3">
        <v>193.13</v>
      </c>
      <c r="AP53" s="3">
        <v>0</v>
      </c>
      <c r="AQ53" s="3">
        <v>11.57</v>
      </c>
      <c r="AR53" s="3">
        <v>0</v>
      </c>
      <c r="AS53" s="3">
        <v>0</v>
      </c>
      <c r="AT53" s="3">
        <v>93</v>
      </c>
      <c r="AU53" s="3">
        <v>62</v>
      </c>
      <c r="AV53" s="3">
        <v>1.087</v>
      </c>
      <c r="AW53" s="3">
        <v>1</v>
      </c>
      <c r="AZ53" s="3">
        <v>1</v>
      </c>
      <c r="BA53" s="3">
        <v>56.35</v>
      </c>
      <c r="BB53" s="3">
        <v>15.58</v>
      </c>
      <c r="BC53" s="3">
        <v>3.46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1</v>
      </c>
      <c r="BJ53" s="3" t="s">
        <v>98</v>
      </c>
      <c r="BM53" s="3">
        <v>55</v>
      </c>
      <c r="BN53" s="3">
        <v>0</v>
      </c>
      <c r="BO53" s="3" t="s">
        <v>96</v>
      </c>
      <c r="BP53" s="3">
        <v>1</v>
      </c>
      <c r="BQ53" s="3">
        <v>30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93</v>
      </c>
      <c r="CA53" s="3">
        <v>62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819</v>
      </c>
      <c r="CO53" s="3">
        <v>0</v>
      </c>
      <c r="CP53" s="3">
        <f t="shared" si="41"/>
        <v>361.11</v>
      </c>
      <c r="CQ53" s="3">
        <f t="shared" si="42"/>
        <v>274.72000000000003</v>
      </c>
      <c r="CR53" s="3">
        <f t="shared" si="68"/>
        <v>227.94</v>
      </c>
      <c r="CS53" s="3">
        <f t="shared" si="69"/>
        <v>100.3</v>
      </c>
      <c r="CT53" s="3">
        <f t="shared" si="45"/>
        <v>8517.2999999999993</v>
      </c>
      <c r="CU53" s="3">
        <f t="shared" si="46"/>
        <v>0</v>
      </c>
      <c r="CV53" s="3">
        <f t="shared" si="47"/>
        <v>9.055144799999999</v>
      </c>
      <c r="CW53" s="3">
        <f t="shared" si="48"/>
        <v>0</v>
      </c>
      <c r="CX53" s="3">
        <f t="shared" si="49"/>
        <v>0</v>
      </c>
      <c r="CY53" s="3">
        <f t="shared" si="70"/>
        <v>410.33</v>
      </c>
      <c r="CZ53" s="3">
        <f t="shared" si="71"/>
        <v>273.56</v>
      </c>
      <c r="DB53" s="3">
        <v>51</v>
      </c>
      <c r="DC53" s="3" t="s">
        <v>3</v>
      </c>
      <c r="DD53" s="3" t="s">
        <v>84</v>
      </c>
      <c r="DE53" s="3" t="s">
        <v>85</v>
      </c>
      <c r="DF53" s="3" t="s">
        <v>85</v>
      </c>
      <c r="DG53" s="3" t="s">
        <v>85</v>
      </c>
      <c r="DH53" s="3" t="s">
        <v>3</v>
      </c>
      <c r="DI53" s="3" t="s">
        <v>85</v>
      </c>
      <c r="DJ53" s="3" t="s">
        <v>85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1010</v>
      </c>
      <c r="DV53" s="3" t="s">
        <v>67</v>
      </c>
      <c r="DW53" s="3" t="s">
        <v>67</v>
      </c>
      <c r="DX53" s="3">
        <v>100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57248639</v>
      </c>
      <c r="EF53" s="3">
        <v>30</v>
      </c>
      <c r="EG53" s="3" t="s">
        <v>86</v>
      </c>
      <c r="EH53" s="3">
        <v>0</v>
      </c>
      <c r="EI53" s="3" t="s">
        <v>3</v>
      </c>
      <c r="EJ53" s="3">
        <v>1</v>
      </c>
      <c r="EK53" s="3">
        <v>55</v>
      </c>
      <c r="EL53" s="3" t="s">
        <v>99</v>
      </c>
      <c r="EM53" s="3" t="s">
        <v>100</v>
      </c>
      <c r="EO53" s="3" t="s">
        <v>89</v>
      </c>
      <c r="EQ53" s="3">
        <v>131072</v>
      </c>
      <c r="ER53" s="3">
        <v>344.16</v>
      </c>
      <c r="ES53" s="3">
        <v>132.34</v>
      </c>
      <c r="ET53" s="3">
        <v>18.690000000000001</v>
      </c>
      <c r="EU53" s="3">
        <v>2.27</v>
      </c>
      <c r="EV53" s="3">
        <v>193.13</v>
      </c>
      <c r="EW53" s="3">
        <v>11.57</v>
      </c>
      <c r="EX53" s="3">
        <v>0</v>
      </c>
      <c r="EY53" s="3">
        <v>0</v>
      </c>
      <c r="FQ53" s="3">
        <v>0</v>
      </c>
      <c r="FR53" s="3">
        <v>0</v>
      </c>
      <c r="FS53" s="3">
        <v>0</v>
      </c>
      <c r="FX53" s="3">
        <v>93</v>
      </c>
      <c r="FY53" s="3">
        <v>62</v>
      </c>
      <c r="GA53" s="3" t="s">
        <v>3</v>
      </c>
      <c r="GD53" s="3">
        <v>1</v>
      </c>
      <c r="GF53" s="3">
        <v>-208235524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52"/>
        <v>0</v>
      </c>
      <c r="GM53" s="3">
        <f t="shared" si="53"/>
        <v>895.64</v>
      </c>
      <c r="GN53" s="3">
        <f t="shared" si="54"/>
        <v>895.64</v>
      </c>
      <c r="GO53" s="3">
        <f t="shared" si="55"/>
        <v>0</v>
      </c>
      <c r="GP53" s="3">
        <f t="shared" si="56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57"/>
        <v>0</v>
      </c>
      <c r="GW53" s="3">
        <v>1</v>
      </c>
      <c r="GX53" s="3">
        <f t="shared" si="58"/>
        <v>0</v>
      </c>
      <c r="HA53" s="3">
        <v>0</v>
      </c>
      <c r="HB53" s="3">
        <v>0</v>
      </c>
      <c r="HC53" s="3">
        <f t="shared" si="59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17</v>
      </c>
      <c r="B54" s="2">
        <v>1</v>
      </c>
      <c r="C54" s="2">
        <f>ROW(SmtRes!A98)</f>
        <v>98</v>
      </c>
      <c r="D54" s="2">
        <f>ROW(EtalonRes!A128)</f>
        <v>128</v>
      </c>
      <c r="E54" s="2" t="s">
        <v>101</v>
      </c>
      <c r="F54" s="2" t="s">
        <v>102</v>
      </c>
      <c r="G54" s="2" t="s">
        <v>103</v>
      </c>
      <c r="H54" s="2" t="s">
        <v>104</v>
      </c>
      <c r="I54" s="2">
        <v>4</v>
      </c>
      <c r="J54" s="2">
        <v>0</v>
      </c>
      <c r="K54" s="2">
        <v>4</v>
      </c>
      <c r="L54" s="2"/>
      <c r="M54" s="2"/>
      <c r="N54" s="2"/>
      <c r="O54" s="2">
        <f t="shared" si="21"/>
        <v>48.57</v>
      </c>
      <c r="P54" s="2">
        <f t="shared" si="22"/>
        <v>9.02</v>
      </c>
      <c r="Q54" s="2">
        <f t="shared" si="60"/>
        <v>2.8</v>
      </c>
      <c r="R54" s="2">
        <f t="shared" si="61"/>
        <v>0.4</v>
      </c>
      <c r="S54" s="2">
        <f t="shared" si="25"/>
        <v>36.75</v>
      </c>
      <c r="T54" s="2">
        <f t="shared" si="26"/>
        <v>0</v>
      </c>
      <c r="U54" s="2">
        <f t="shared" si="27"/>
        <v>3.1651487999999994</v>
      </c>
      <c r="V54" s="2">
        <f t="shared" si="28"/>
        <v>0</v>
      </c>
      <c r="W54" s="2">
        <f t="shared" si="29"/>
        <v>0</v>
      </c>
      <c r="X54" s="2">
        <f t="shared" si="62"/>
        <v>44.95</v>
      </c>
      <c r="Y54" s="2">
        <f t="shared" si="63"/>
        <v>26.75</v>
      </c>
      <c r="Z54" s="2"/>
      <c r="AA54" s="2">
        <v>57248835</v>
      </c>
      <c r="AB54" s="2">
        <f t="shared" si="32"/>
        <v>11.522399999999999</v>
      </c>
      <c r="AC54" s="2">
        <f t="shared" si="64"/>
        <v>2.2559999999999998</v>
      </c>
      <c r="AD54" s="2">
        <f t="shared" si="65"/>
        <v>0.6552</v>
      </c>
      <c r="AE54" s="2">
        <f t="shared" si="66"/>
        <v>9.3600000000000003E-2</v>
      </c>
      <c r="AF54" s="2">
        <f t="shared" si="66"/>
        <v>8.6112000000000002</v>
      </c>
      <c r="AG54" s="2">
        <f t="shared" si="37"/>
        <v>0</v>
      </c>
      <c r="AH54" s="2">
        <f t="shared" si="67"/>
        <v>0.74159999999999993</v>
      </c>
      <c r="AI54" s="2">
        <f t="shared" si="67"/>
        <v>0</v>
      </c>
      <c r="AJ54" s="2">
        <f t="shared" si="40"/>
        <v>0</v>
      </c>
      <c r="AK54" s="2">
        <v>16.63</v>
      </c>
      <c r="AL54" s="2">
        <v>3.76</v>
      </c>
      <c r="AM54" s="2">
        <v>0.91</v>
      </c>
      <c r="AN54" s="2">
        <v>0.13</v>
      </c>
      <c r="AO54" s="2">
        <v>11.96</v>
      </c>
      <c r="AP54" s="2">
        <v>0</v>
      </c>
      <c r="AQ54" s="2">
        <v>1.03</v>
      </c>
      <c r="AR54" s="2">
        <v>0</v>
      </c>
      <c r="AS54" s="2">
        <v>0</v>
      </c>
      <c r="AT54" s="2">
        <v>121</v>
      </c>
      <c r="AU54" s="2">
        <v>72</v>
      </c>
      <c r="AV54" s="2">
        <v>1.0669999999999999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0</v>
      </c>
      <c r="BI54" s="2">
        <v>1</v>
      </c>
      <c r="BJ54" s="2" t="s">
        <v>105</v>
      </c>
      <c r="BK54" s="2"/>
      <c r="BL54" s="2"/>
      <c r="BM54" s="2">
        <v>25</v>
      </c>
      <c r="BN54" s="2">
        <v>0</v>
      </c>
      <c r="BO54" s="2" t="s">
        <v>102</v>
      </c>
      <c r="BP54" s="2">
        <v>1</v>
      </c>
      <c r="BQ54" s="2">
        <v>30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121</v>
      </c>
      <c r="CA54" s="2">
        <v>72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819</v>
      </c>
      <c r="CO54" s="2">
        <v>0</v>
      </c>
      <c r="CP54" s="2">
        <f t="shared" si="41"/>
        <v>48.57</v>
      </c>
      <c r="CQ54" s="2">
        <f t="shared" si="42"/>
        <v>2.2599999999999998</v>
      </c>
      <c r="CR54" s="2">
        <f t="shared" si="68"/>
        <v>0.7</v>
      </c>
      <c r="CS54" s="2">
        <f t="shared" si="69"/>
        <v>0.1</v>
      </c>
      <c r="CT54" s="2">
        <f t="shared" si="45"/>
        <v>9.19</v>
      </c>
      <c r="CU54" s="2">
        <f t="shared" si="46"/>
        <v>0</v>
      </c>
      <c r="CV54" s="2">
        <f t="shared" si="47"/>
        <v>0.79128719999999986</v>
      </c>
      <c r="CW54" s="2">
        <f t="shared" si="48"/>
        <v>0</v>
      </c>
      <c r="CX54" s="2">
        <f t="shared" si="49"/>
        <v>0</v>
      </c>
      <c r="CY54" s="2">
        <f t="shared" si="70"/>
        <v>44.59</v>
      </c>
      <c r="CZ54" s="2">
        <f t="shared" si="71"/>
        <v>26.53</v>
      </c>
      <c r="DA54" s="2"/>
      <c r="DB54" s="2">
        <v>53</v>
      </c>
      <c r="DC54" s="2" t="s">
        <v>3</v>
      </c>
      <c r="DD54" s="2" t="s">
        <v>84</v>
      </c>
      <c r="DE54" s="2" t="s">
        <v>85</v>
      </c>
      <c r="DF54" s="2" t="s">
        <v>85</v>
      </c>
      <c r="DG54" s="2" t="s">
        <v>85</v>
      </c>
      <c r="DH54" s="2" t="s">
        <v>3</v>
      </c>
      <c r="DI54" s="2" t="s">
        <v>85</v>
      </c>
      <c r="DJ54" s="2" t="s">
        <v>85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1013</v>
      </c>
      <c r="DV54" s="2" t="s">
        <v>104</v>
      </c>
      <c r="DW54" s="2" t="s">
        <v>104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57248609</v>
      </c>
      <c r="EF54" s="2">
        <v>30</v>
      </c>
      <c r="EG54" s="2" t="s">
        <v>86</v>
      </c>
      <c r="EH54" s="2">
        <v>0</v>
      </c>
      <c r="EI54" s="2" t="s">
        <v>3</v>
      </c>
      <c r="EJ54" s="2">
        <v>1</v>
      </c>
      <c r="EK54" s="2">
        <v>25</v>
      </c>
      <c r="EL54" s="2" t="s">
        <v>106</v>
      </c>
      <c r="EM54" s="2" t="s">
        <v>107</v>
      </c>
      <c r="EN54" s="2"/>
      <c r="EO54" s="2" t="s">
        <v>89</v>
      </c>
      <c r="EP54" s="2"/>
      <c r="EQ54" s="2">
        <v>131072</v>
      </c>
      <c r="ER54" s="2">
        <v>16.63</v>
      </c>
      <c r="ES54" s="2">
        <v>3.76</v>
      </c>
      <c r="ET54" s="2">
        <v>0.91</v>
      </c>
      <c r="EU54" s="2">
        <v>0.13</v>
      </c>
      <c r="EV54" s="2">
        <v>11.96</v>
      </c>
      <c r="EW54" s="2">
        <v>1.03</v>
      </c>
      <c r="EX54" s="2">
        <v>0</v>
      </c>
      <c r="EY54" s="2">
        <v>0</v>
      </c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121</v>
      </c>
      <c r="FY54" s="2">
        <v>72</v>
      </c>
      <c r="FZ54" s="2"/>
      <c r="GA54" s="2" t="s">
        <v>3</v>
      </c>
      <c r="GB54" s="2"/>
      <c r="GC54" s="2"/>
      <c r="GD54" s="2">
        <v>1</v>
      </c>
      <c r="GE54" s="2"/>
      <c r="GF54" s="2">
        <v>-2031960075</v>
      </c>
      <c r="GG54" s="2">
        <v>2</v>
      </c>
      <c r="GH54" s="2">
        <v>1</v>
      </c>
      <c r="GI54" s="2">
        <v>2</v>
      </c>
      <c r="GJ54" s="2">
        <v>0</v>
      </c>
      <c r="GK54" s="2">
        <v>0</v>
      </c>
      <c r="GL54" s="2">
        <f t="shared" si="52"/>
        <v>0</v>
      </c>
      <c r="GM54" s="2">
        <f t="shared" si="53"/>
        <v>120.27</v>
      </c>
      <c r="GN54" s="2">
        <f t="shared" si="54"/>
        <v>120.27</v>
      </c>
      <c r="GO54" s="2">
        <f t="shared" si="55"/>
        <v>0</v>
      </c>
      <c r="GP54" s="2">
        <f t="shared" si="56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57"/>
        <v>0</v>
      </c>
      <c r="GW54" s="2">
        <v>1</v>
      </c>
      <c r="GX54" s="2">
        <f t="shared" si="58"/>
        <v>0</v>
      </c>
      <c r="GY54" s="2"/>
      <c r="GZ54" s="2"/>
      <c r="HA54" s="2">
        <v>0</v>
      </c>
      <c r="HB54" s="2">
        <v>0</v>
      </c>
      <c r="HC54" s="2">
        <f t="shared" si="59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17</v>
      </c>
      <c r="B55" s="3">
        <v>1</v>
      </c>
      <c r="C55" s="3">
        <f>ROW(SmtRes!A102)</f>
        <v>102</v>
      </c>
      <c r="D55" s="3">
        <f>ROW(EtalonRes!A134)</f>
        <v>134</v>
      </c>
      <c r="E55" s="3" t="s">
        <v>101</v>
      </c>
      <c r="F55" s="3" t="s">
        <v>102</v>
      </c>
      <c r="G55" s="3" t="s">
        <v>103</v>
      </c>
      <c r="H55" s="3" t="s">
        <v>104</v>
      </c>
      <c r="I55" s="3">
        <v>4</v>
      </c>
      <c r="J55" s="3">
        <v>0</v>
      </c>
      <c r="K55" s="3">
        <v>4</v>
      </c>
      <c r="O55" s="3">
        <f t="shared" si="21"/>
        <v>2175.85</v>
      </c>
      <c r="P55" s="3">
        <f t="shared" si="22"/>
        <v>58.99</v>
      </c>
      <c r="Q55" s="3">
        <f t="shared" si="60"/>
        <v>46</v>
      </c>
      <c r="R55" s="3">
        <f t="shared" si="61"/>
        <v>22.54</v>
      </c>
      <c r="S55" s="3">
        <f t="shared" si="25"/>
        <v>2070.86</v>
      </c>
      <c r="T55" s="3">
        <f t="shared" si="26"/>
        <v>0</v>
      </c>
      <c r="U55" s="3">
        <f t="shared" si="27"/>
        <v>3.1651487999999994</v>
      </c>
      <c r="V55" s="3">
        <f t="shared" si="28"/>
        <v>0</v>
      </c>
      <c r="W55" s="3">
        <f t="shared" si="29"/>
        <v>0</v>
      </c>
      <c r="X55" s="3">
        <f t="shared" si="62"/>
        <v>2533.0100000000002</v>
      </c>
      <c r="Y55" s="3">
        <f t="shared" si="63"/>
        <v>1507.25</v>
      </c>
      <c r="AA55" s="3">
        <v>57248837</v>
      </c>
      <c r="AB55" s="3">
        <f t="shared" si="32"/>
        <v>11.522399999999999</v>
      </c>
      <c r="AC55" s="3">
        <f t="shared" si="64"/>
        <v>2.2559999999999998</v>
      </c>
      <c r="AD55" s="3">
        <f t="shared" si="65"/>
        <v>0.6552</v>
      </c>
      <c r="AE55" s="3">
        <f t="shared" si="66"/>
        <v>9.3600000000000003E-2</v>
      </c>
      <c r="AF55" s="3">
        <f t="shared" si="66"/>
        <v>8.6112000000000002</v>
      </c>
      <c r="AG55" s="3">
        <f t="shared" si="37"/>
        <v>0</v>
      </c>
      <c r="AH55" s="3">
        <f t="shared" si="67"/>
        <v>0.74159999999999993</v>
      </c>
      <c r="AI55" s="3">
        <f t="shared" si="67"/>
        <v>0</v>
      </c>
      <c r="AJ55" s="3">
        <f t="shared" si="40"/>
        <v>0</v>
      </c>
      <c r="AK55" s="3">
        <v>16.63</v>
      </c>
      <c r="AL55" s="3">
        <v>3.76</v>
      </c>
      <c r="AM55" s="3">
        <v>0.91</v>
      </c>
      <c r="AN55" s="3">
        <v>0.13</v>
      </c>
      <c r="AO55" s="3">
        <v>11.96</v>
      </c>
      <c r="AP55" s="3">
        <v>0</v>
      </c>
      <c r="AQ55" s="3">
        <v>1.03</v>
      </c>
      <c r="AR55" s="3">
        <v>0</v>
      </c>
      <c r="AS55" s="3">
        <v>0</v>
      </c>
      <c r="AT55" s="3">
        <v>121</v>
      </c>
      <c r="AU55" s="3">
        <v>72</v>
      </c>
      <c r="AV55" s="3">
        <v>1.0669999999999999</v>
      </c>
      <c r="AW55" s="3">
        <v>1</v>
      </c>
      <c r="AZ55" s="3">
        <v>1</v>
      </c>
      <c r="BA55" s="3">
        <v>56.35</v>
      </c>
      <c r="BB55" s="3">
        <v>16.43</v>
      </c>
      <c r="BC55" s="3">
        <v>6.54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0</v>
      </c>
      <c r="BI55" s="3">
        <v>1</v>
      </c>
      <c r="BJ55" s="3" t="s">
        <v>105</v>
      </c>
      <c r="BM55" s="3">
        <v>25</v>
      </c>
      <c r="BN55" s="3">
        <v>0</v>
      </c>
      <c r="BO55" s="3" t="s">
        <v>102</v>
      </c>
      <c r="BP55" s="3">
        <v>1</v>
      </c>
      <c r="BQ55" s="3">
        <v>30</v>
      </c>
      <c r="BR55" s="3">
        <v>0</v>
      </c>
      <c r="BS55" s="3">
        <v>56.35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121</v>
      </c>
      <c r="CA55" s="3">
        <v>72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819</v>
      </c>
      <c r="CO55" s="3">
        <v>0</v>
      </c>
      <c r="CP55" s="3">
        <f t="shared" si="41"/>
        <v>2175.8500000000004</v>
      </c>
      <c r="CQ55" s="3">
        <f t="shared" si="42"/>
        <v>14.78</v>
      </c>
      <c r="CR55" s="3">
        <f t="shared" si="68"/>
        <v>11.5</v>
      </c>
      <c r="CS55" s="3">
        <f t="shared" si="69"/>
        <v>5.64</v>
      </c>
      <c r="CT55" s="3">
        <f t="shared" si="45"/>
        <v>517.86</v>
      </c>
      <c r="CU55" s="3">
        <f t="shared" si="46"/>
        <v>0</v>
      </c>
      <c r="CV55" s="3">
        <f t="shared" si="47"/>
        <v>0.79128719999999986</v>
      </c>
      <c r="CW55" s="3">
        <f t="shared" si="48"/>
        <v>0</v>
      </c>
      <c r="CX55" s="3">
        <f t="shared" si="49"/>
        <v>0</v>
      </c>
      <c r="CY55" s="3">
        <f t="shared" si="70"/>
        <v>2512.5700000000002</v>
      </c>
      <c r="CZ55" s="3">
        <f t="shared" si="71"/>
        <v>1495.08</v>
      </c>
      <c r="DB55" s="3">
        <v>55</v>
      </c>
      <c r="DC55" s="3" t="s">
        <v>3</v>
      </c>
      <c r="DD55" s="3" t="s">
        <v>84</v>
      </c>
      <c r="DE55" s="3" t="s">
        <v>85</v>
      </c>
      <c r="DF55" s="3" t="s">
        <v>85</v>
      </c>
      <c r="DG55" s="3" t="s">
        <v>85</v>
      </c>
      <c r="DH55" s="3" t="s">
        <v>3</v>
      </c>
      <c r="DI55" s="3" t="s">
        <v>85</v>
      </c>
      <c r="DJ55" s="3" t="s">
        <v>85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1013</v>
      </c>
      <c r="DV55" s="3" t="s">
        <v>104</v>
      </c>
      <c r="DW55" s="3" t="s">
        <v>104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57248609</v>
      </c>
      <c r="EF55" s="3">
        <v>30</v>
      </c>
      <c r="EG55" s="3" t="s">
        <v>86</v>
      </c>
      <c r="EH55" s="3">
        <v>0</v>
      </c>
      <c r="EI55" s="3" t="s">
        <v>3</v>
      </c>
      <c r="EJ55" s="3">
        <v>1</v>
      </c>
      <c r="EK55" s="3">
        <v>25</v>
      </c>
      <c r="EL55" s="3" t="s">
        <v>106</v>
      </c>
      <c r="EM55" s="3" t="s">
        <v>107</v>
      </c>
      <c r="EO55" s="3" t="s">
        <v>89</v>
      </c>
      <c r="EQ55" s="3">
        <v>131072</v>
      </c>
      <c r="ER55" s="3">
        <v>16.63</v>
      </c>
      <c r="ES55" s="3">
        <v>3.76</v>
      </c>
      <c r="ET55" s="3">
        <v>0.91</v>
      </c>
      <c r="EU55" s="3">
        <v>0.13</v>
      </c>
      <c r="EV55" s="3">
        <v>11.96</v>
      </c>
      <c r="EW55" s="3">
        <v>1.03</v>
      </c>
      <c r="EX55" s="3">
        <v>0</v>
      </c>
      <c r="EY55" s="3">
        <v>0</v>
      </c>
      <c r="FQ55" s="3">
        <v>0</v>
      </c>
      <c r="FR55" s="3">
        <v>0</v>
      </c>
      <c r="FS55" s="3">
        <v>0</v>
      </c>
      <c r="FX55" s="3">
        <v>121</v>
      </c>
      <c r="FY55" s="3">
        <v>72</v>
      </c>
      <c r="GA55" s="3" t="s">
        <v>3</v>
      </c>
      <c r="GD55" s="3">
        <v>1</v>
      </c>
      <c r="GF55" s="3">
        <v>-2031960075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52"/>
        <v>0</v>
      </c>
      <c r="GM55" s="3">
        <f t="shared" si="53"/>
        <v>6216.11</v>
      </c>
      <c r="GN55" s="3">
        <f t="shared" si="54"/>
        <v>6216.11</v>
      </c>
      <c r="GO55" s="3">
        <f t="shared" si="55"/>
        <v>0</v>
      </c>
      <c r="GP55" s="3">
        <f t="shared" si="56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57"/>
        <v>0</v>
      </c>
      <c r="GW55" s="3">
        <v>1</v>
      </c>
      <c r="GX55" s="3">
        <f t="shared" si="58"/>
        <v>0</v>
      </c>
      <c r="HA55" s="3">
        <v>0</v>
      </c>
      <c r="HB55" s="3">
        <v>0</v>
      </c>
      <c r="HC55" s="3">
        <f t="shared" si="59"/>
        <v>0</v>
      </c>
      <c r="HE55" s="3" t="s">
        <v>3</v>
      </c>
      <c r="HF55" s="3" t="s">
        <v>3</v>
      </c>
      <c r="HM55" s="3" t="s">
        <v>3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ROW(SmtRes!A107)</f>
        <v>107</v>
      </c>
      <c r="D56" s="2">
        <f>ROW(EtalonRes!A141)</f>
        <v>141</v>
      </c>
      <c r="E56" s="2" t="s">
        <v>108</v>
      </c>
      <c r="F56" s="2" t="s">
        <v>109</v>
      </c>
      <c r="G56" s="2" t="s">
        <v>110</v>
      </c>
      <c r="H56" s="2" t="s">
        <v>67</v>
      </c>
      <c r="I56" s="2">
        <f>ROUND(4/100,9)</f>
        <v>0.04</v>
      </c>
      <c r="J56" s="2">
        <v>0</v>
      </c>
      <c r="K56" s="2">
        <f>ROUND(4/100,9)</f>
        <v>0.04</v>
      </c>
      <c r="L56" s="2"/>
      <c r="M56" s="2"/>
      <c r="N56" s="2"/>
      <c r="O56" s="2">
        <f t="shared" si="21"/>
        <v>17.3</v>
      </c>
      <c r="P56" s="2">
        <f t="shared" si="22"/>
        <v>8.5399999999999991</v>
      </c>
      <c r="Q56" s="2">
        <f t="shared" si="60"/>
        <v>0.24</v>
      </c>
      <c r="R56" s="2">
        <f t="shared" si="61"/>
        <v>0.01</v>
      </c>
      <c r="S56" s="2">
        <f t="shared" si="25"/>
        <v>8.52</v>
      </c>
      <c r="T56" s="2">
        <f t="shared" si="26"/>
        <v>0</v>
      </c>
      <c r="U56" s="2">
        <f t="shared" si="27"/>
        <v>0.76209407999999979</v>
      </c>
      <c r="V56" s="2">
        <f t="shared" si="28"/>
        <v>0</v>
      </c>
      <c r="W56" s="2">
        <f t="shared" si="29"/>
        <v>0</v>
      </c>
      <c r="X56" s="2">
        <f t="shared" si="62"/>
        <v>10.32</v>
      </c>
      <c r="Y56" s="2">
        <f t="shared" si="63"/>
        <v>6.14</v>
      </c>
      <c r="Z56" s="2"/>
      <c r="AA56" s="2">
        <v>57248835</v>
      </c>
      <c r="AB56" s="2">
        <f t="shared" si="32"/>
        <v>418.84559999999999</v>
      </c>
      <c r="AC56" s="2">
        <f t="shared" si="64"/>
        <v>213.624</v>
      </c>
      <c r="AD56" s="2">
        <f t="shared" si="65"/>
        <v>5.6303999999999998</v>
      </c>
      <c r="AE56" s="2">
        <f t="shared" si="66"/>
        <v>0.18</v>
      </c>
      <c r="AF56" s="2">
        <f t="shared" si="66"/>
        <v>199.59119999999999</v>
      </c>
      <c r="AG56" s="2">
        <f t="shared" si="37"/>
        <v>0</v>
      </c>
      <c r="AH56" s="2">
        <f t="shared" si="67"/>
        <v>17.855999999999998</v>
      </c>
      <c r="AI56" s="2">
        <f t="shared" si="67"/>
        <v>0</v>
      </c>
      <c r="AJ56" s="2">
        <f t="shared" si="40"/>
        <v>0</v>
      </c>
      <c r="AK56" s="2">
        <v>641.07000000000005</v>
      </c>
      <c r="AL56" s="2">
        <v>356.04</v>
      </c>
      <c r="AM56" s="2">
        <v>7.82</v>
      </c>
      <c r="AN56" s="2">
        <v>0.25</v>
      </c>
      <c r="AO56" s="2">
        <v>277.20999999999998</v>
      </c>
      <c r="AP56" s="2">
        <v>0</v>
      </c>
      <c r="AQ56" s="2">
        <v>24.8</v>
      </c>
      <c r="AR56" s="2">
        <v>0</v>
      </c>
      <c r="AS56" s="2">
        <v>0</v>
      </c>
      <c r="AT56" s="2">
        <v>121</v>
      </c>
      <c r="AU56" s="2">
        <v>72</v>
      </c>
      <c r="AV56" s="2">
        <v>1.0669999999999999</v>
      </c>
      <c r="AW56" s="2">
        <v>1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1</v>
      </c>
      <c r="BJ56" s="2" t="s">
        <v>111</v>
      </c>
      <c r="BK56" s="2"/>
      <c r="BL56" s="2"/>
      <c r="BM56" s="2">
        <v>22</v>
      </c>
      <c r="BN56" s="2">
        <v>0</v>
      </c>
      <c r="BO56" s="2" t="s">
        <v>109</v>
      </c>
      <c r="BP56" s="2">
        <v>1</v>
      </c>
      <c r="BQ56" s="2">
        <v>30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121</v>
      </c>
      <c r="CA56" s="2">
        <v>72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819</v>
      </c>
      <c r="CO56" s="2">
        <v>0</v>
      </c>
      <c r="CP56" s="2">
        <f t="shared" si="41"/>
        <v>17.299999999999997</v>
      </c>
      <c r="CQ56" s="2">
        <f t="shared" si="42"/>
        <v>213.62</v>
      </c>
      <c r="CR56" s="2">
        <f t="shared" si="68"/>
        <v>6.01</v>
      </c>
      <c r="CS56" s="2">
        <f t="shared" si="69"/>
        <v>0.19</v>
      </c>
      <c r="CT56" s="2">
        <f t="shared" si="45"/>
        <v>212.96</v>
      </c>
      <c r="CU56" s="2">
        <f t="shared" si="46"/>
        <v>0</v>
      </c>
      <c r="CV56" s="2">
        <f t="shared" si="47"/>
        <v>19.052351999999996</v>
      </c>
      <c r="CW56" s="2">
        <f t="shared" si="48"/>
        <v>0</v>
      </c>
      <c r="CX56" s="2">
        <f t="shared" si="49"/>
        <v>0</v>
      </c>
      <c r="CY56" s="2">
        <f t="shared" si="70"/>
        <v>10.54</v>
      </c>
      <c r="CZ56" s="2">
        <f t="shared" si="71"/>
        <v>6.27</v>
      </c>
      <c r="DA56" s="2"/>
      <c r="DB56" s="2">
        <v>57</v>
      </c>
      <c r="DC56" s="2" t="s">
        <v>3</v>
      </c>
      <c r="DD56" s="2" t="s">
        <v>84</v>
      </c>
      <c r="DE56" s="2" t="s">
        <v>85</v>
      </c>
      <c r="DF56" s="2" t="s">
        <v>85</v>
      </c>
      <c r="DG56" s="2" t="s">
        <v>85</v>
      </c>
      <c r="DH56" s="2" t="s">
        <v>3</v>
      </c>
      <c r="DI56" s="2" t="s">
        <v>85</v>
      </c>
      <c r="DJ56" s="2" t="s">
        <v>85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1010</v>
      </c>
      <c r="DV56" s="2" t="s">
        <v>67</v>
      </c>
      <c r="DW56" s="2" t="s">
        <v>67</v>
      </c>
      <c r="DX56" s="2">
        <v>100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57248606</v>
      </c>
      <c r="EF56" s="2">
        <v>30</v>
      </c>
      <c r="EG56" s="2" t="s">
        <v>86</v>
      </c>
      <c r="EH56" s="2">
        <v>0</v>
      </c>
      <c r="EI56" s="2" t="s">
        <v>3</v>
      </c>
      <c r="EJ56" s="2">
        <v>1</v>
      </c>
      <c r="EK56" s="2">
        <v>22</v>
      </c>
      <c r="EL56" s="2" t="s">
        <v>112</v>
      </c>
      <c r="EM56" s="2" t="s">
        <v>113</v>
      </c>
      <c r="EN56" s="2"/>
      <c r="EO56" s="2" t="s">
        <v>89</v>
      </c>
      <c r="EP56" s="2"/>
      <c r="EQ56" s="2">
        <v>131072</v>
      </c>
      <c r="ER56" s="2">
        <v>641.07000000000005</v>
      </c>
      <c r="ES56" s="2">
        <v>356.04</v>
      </c>
      <c r="ET56" s="2">
        <v>7.82</v>
      </c>
      <c r="EU56" s="2">
        <v>0.25</v>
      </c>
      <c r="EV56" s="2">
        <v>277.20999999999998</v>
      </c>
      <c r="EW56" s="2">
        <v>24.8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0</v>
      </c>
      <c r="FT56" s="2"/>
      <c r="FU56" s="2"/>
      <c r="FV56" s="2"/>
      <c r="FW56" s="2"/>
      <c r="FX56" s="2">
        <v>121</v>
      </c>
      <c r="FY56" s="2">
        <v>72</v>
      </c>
      <c r="FZ56" s="2"/>
      <c r="GA56" s="2" t="s">
        <v>3</v>
      </c>
      <c r="GB56" s="2"/>
      <c r="GC56" s="2"/>
      <c r="GD56" s="2">
        <v>1</v>
      </c>
      <c r="GE56" s="2"/>
      <c r="GF56" s="2">
        <v>-1508474127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52"/>
        <v>0</v>
      </c>
      <c r="GM56" s="2">
        <f t="shared" si="53"/>
        <v>33.76</v>
      </c>
      <c r="GN56" s="2">
        <f t="shared" si="54"/>
        <v>33.76</v>
      </c>
      <c r="GO56" s="2">
        <f t="shared" si="55"/>
        <v>0</v>
      </c>
      <c r="GP56" s="2">
        <f t="shared" si="56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57"/>
        <v>0</v>
      </c>
      <c r="GW56" s="2">
        <v>1</v>
      </c>
      <c r="GX56" s="2">
        <f t="shared" si="58"/>
        <v>0</v>
      </c>
      <c r="GY56" s="2"/>
      <c r="GZ56" s="2"/>
      <c r="HA56" s="2">
        <v>0</v>
      </c>
      <c r="HB56" s="2">
        <v>0</v>
      </c>
      <c r="HC56" s="2">
        <f t="shared" si="59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ROW(SmtRes!A112)</f>
        <v>112</v>
      </c>
      <c r="D57" s="3">
        <f>ROW(EtalonRes!A148)</f>
        <v>148</v>
      </c>
      <c r="E57" s="3" t="s">
        <v>108</v>
      </c>
      <c r="F57" s="3" t="s">
        <v>109</v>
      </c>
      <c r="G57" s="3" t="s">
        <v>110</v>
      </c>
      <c r="H57" s="3" t="s">
        <v>67</v>
      </c>
      <c r="I57" s="3">
        <f>ROUND(4/100,9)</f>
        <v>0.04</v>
      </c>
      <c r="J57" s="3">
        <v>0</v>
      </c>
      <c r="K57" s="3">
        <f>ROUND(4/100,9)</f>
        <v>0.04</v>
      </c>
      <c r="O57" s="3">
        <f t="shared" si="21"/>
        <v>511.99</v>
      </c>
      <c r="P57" s="3">
        <f t="shared" si="22"/>
        <v>29.21</v>
      </c>
      <c r="Q57" s="3">
        <f t="shared" si="60"/>
        <v>2.68</v>
      </c>
      <c r="R57" s="3">
        <f t="shared" si="61"/>
        <v>0.56000000000000005</v>
      </c>
      <c r="S57" s="3">
        <f t="shared" si="25"/>
        <v>480.1</v>
      </c>
      <c r="T57" s="3">
        <f t="shared" si="26"/>
        <v>0</v>
      </c>
      <c r="U57" s="3">
        <f t="shared" si="27"/>
        <v>0.76209407999999979</v>
      </c>
      <c r="V57" s="3">
        <f t="shared" si="28"/>
        <v>0</v>
      </c>
      <c r="W57" s="3">
        <f t="shared" si="29"/>
        <v>0</v>
      </c>
      <c r="X57" s="3">
        <f t="shared" si="62"/>
        <v>581.6</v>
      </c>
      <c r="Y57" s="3">
        <f t="shared" si="63"/>
        <v>346.08</v>
      </c>
      <c r="AA57" s="3">
        <v>57248837</v>
      </c>
      <c r="AB57" s="3">
        <f t="shared" si="32"/>
        <v>418.84559999999999</v>
      </c>
      <c r="AC57" s="3">
        <f t="shared" si="64"/>
        <v>213.624</v>
      </c>
      <c r="AD57" s="3">
        <f t="shared" si="65"/>
        <v>5.6303999999999998</v>
      </c>
      <c r="AE57" s="3">
        <f t="shared" si="66"/>
        <v>0.18</v>
      </c>
      <c r="AF57" s="3">
        <f t="shared" si="66"/>
        <v>199.59119999999999</v>
      </c>
      <c r="AG57" s="3">
        <f t="shared" si="37"/>
        <v>0</v>
      </c>
      <c r="AH57" s="3">
        <f t="shared" si="67"/>
        <v>17.855999999999998</v>
      </c>
      <c r="AI57" s="3">
        <f t="shared" si="67"/>
        <v>0</v>
      </c>
      <c r="AJ57" s="3">
        <f t="shared" si="40"/>
        <v>0</v>
      </c>
      <c r="AK57" s="3">
        <v>641.07000000000005</v>
      </c>
      <c r="AL57" s="3">
        <v>356.04</v>
      </c>
      <c r="AM57" s="3">
        <v>7.82</v>
      </c>
      <c r="AN57" s="3">
        <v>0.25</v>
      </c>
      <c r="AO57" s="3">
        <v>277.20999999999998</v>
      </c>
      <c r="AP57" s="3">
        <v>0</v>
      </c>
      <c r="AQ57" s="3">
        <v>24.8</v>
      </c>
      <c r="AR57" s="3">
        <v>0</v>
      </c>
      <c r="AS57" s="3">
        <v>0</v>
      </c>
      <c r="AT57" s="3">
        <v>121</v>
      </c>
      <c r="AU57" s="3">
        <v>72</v>
      </c>
      <c r="AV57" s="3">
        <v>1.0669999999999999</v>
      </c>
      <c r="AW57" s="3">
        <v>1</v>
      </c>
      <c r="AZ57" s="3">
        <v>1</v>
      </c>
      <c r="BA57" s="3">
        <v>56.35</v>
      </c>
      <c r="BB57" s="3">
        <v>11.16</v>
      </c>
      <c r="BC57" s="3">
        <v>3.42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1</v>
      </c>
      <c r="BJ57" s="3" t="s">
        <v>111</v>
      </c>
      <c r="BM57" s="3">
        <v>22</v>
      </c>
      <c r="BN57" s="3">
        <v>0</v>
      </c>
      <c r="BO57" s="3" t="s">
        <v>109</v>
      </c>
      <c r="BP57" s="3">
        <v>1</v>
      </c>
      <c r="BQ57" s="3">
        <v>30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121</v>
      </c>
      <c r="CA57" s="3">
        <v>72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819</v>
      </c>
      <c r="CO57" s="3">
        <v>0</v>
      </c>
      <c r="CP57" s="3">
        <f t="shared" si="41"/>
        <v>511.99</v>
      </c>
      <c r="CQ57" s="3">
        <f t="shared" si="42"/>
        <v>730.58</v>
      </c>
      <c r="CR57" s="3">
        <f t="shared" si="68"/>
        <v>67.069999999999993</v>
      </c>
      <c r="CS57" s="3">
        <f t="shared" si="69"/>
        <v>10.71</v>
      </c>
      <c r="CT57" s="3">
        <f t="shared" si="45"/>
        <v>12000.3</v>
      </c>
      <c r="CU57" s="3">
        <f t="shared" si="46"/>
        <v>0</v>
      </c>
      <c r="CV57" s="3">
        <f t="shared" si="47"/>
        <v>19.052351999999996</v>
      </c>
      <c r="CW57" s="3">
        <f t="shared" si="48"/>
        <v>0</v>
      </c>
      <c r="CX57" s="3">
        <f t="shared" si="49"/>
        <v>0</v>
      </c>
      <c r="CY57" s="3">
        <f t="shared" si="70"/>
        <v>593.88</v>
      </c>
      <c r="CZ57" s="3">
        <f t="shared" si="71"/>
        <v>353.38</v>
      </c>
      <c r="DB57" s="3">
        <v>59</v>
      </c>
      <c r="DC57" s="3" t="s">
        <v>3</v>
      </c>
      <c r="DD57" s="3" t="s">
        <v>84</v>
      </c>
      <c r="DE57" s="3" t="s">
        <v>85</v>
      </c>
      <c r="DF57" s="3" t="s">
        <v>85</v>
      </c>
      <c r="DG57" s="3" t="s">
        <v>85</v>
      </c>
      <c r="DH57" s="3" t="s">
        <v>3</v>
      </c>
      <c r="DI57" s="3" t="s">
        <v>85</v>
      </c>
      <c r="DJ57" s="3" t="s">
        <v>85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1010</v>
      </c>
      <c r="DV57" s="3" t="s">
        <v>67</v>
      </c>
      <c r="DW57" s="3" t="s">
        <v>67</v>
      </c>
      <c r="DX57" s="3">
        <v>100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57248606</v>
      </c>
      <c r="EF57" s="3">
        <v>30</v>
      </c>
      <c r="EG57" s="3" t="s">
        <v>86</v>
      </c>
      <c r="EH57" s="3">
        <v>0</v>
      </c>
      <c r="EI57" s="3" t="s">
        <v>3</v>
      </c>
      <c r="EJ57" s="3">
        <v>1</v>
      </c>
      <c r="EK57" s="3">
        <v>22</v>
      </c>
      <c r="EL57" s="3" t="s">
        <v>112</v>
      </c>
      <c r="EM57" s="3" t="s">
        <v>113</v>
      </c>
      <c r="EO57" s="3" t="s">
        <v>89</v>
      </c>
      <c r="EQ57" s="3">
        <v>131072</v>
      </c>
      <c r="ER57" s="3">
        <v>641.07000000000005</v>
      </c>
      <c r="ES57" s="3">
        <v>356.04</v>
      </c>
      <c r="ET57" s="3">
        <v>7.82</v>
      </c>
      <c r="EU57" s="3">
        <v>0.25</v>
      </c>
      <c r="EV57" s="3">
        <v>277.20999999999998</v>
      </c>
      <c r="EW57" s="3">
        <v>24.8</v>
      </c>
      <c r="EX57" s="3">
        <v>0</v>
      </c>
      <c r="EY57" s="3">
        <v>0</v>
      </c>
      <c r="FQ57" s="3">
        <v>0</v>
      </c>
      <c r="FR57" s="3">
        <v>0</v>
      </c>
      <c r="FS57" s="3">
        <v>0</v>
      </c>
      <c r="FX57" s="3">
        <v>121</v>
      </c>
      <c r="FY57" s="3">
        <v>72</v>
      </c>
      <c r="GA57" s="3" t="s">
        <v>3</v>
      </c>
      <c r="GD57" s="3">
        <v>1</v>
      </c>
      <c r="GF57" s="3">
        <v>-1508474127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52"/>
        <v>0</v>
      </c>
      <c r="GM57" s="3">
        <f t="shared" si="53"/>
        <v>1439.67</v>
      </c>
      <c r="GN57" s="3">
        <f t="shared" si="54"/>
        <v>1439.67</v>
      </c>
      <c r="GO57" s="3">
        <f t="shared" si="55"/>
        <v>0</v>
      </c>
      <c r="GP57" s="3">
        <f t="shared" si="56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57"/>
        <v>0</v>
      </c>
      <c r="GW57" s="3">
        <v>1</v>
      </c>
      <c r="GX57" s="3">
        <f t="shared" si="58"/>
        <v>0</v>
      </c>
      <c r="HA57" s="3">
        <v>0</v>
      </c>
      <c r="HB57" s="3">
        <v>0</v>
      </c>
      <c r="HC57" s="3">
        <f t="shared" si="59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17</v>
      </c>
      <c r="B58" s="2">
        <v>1</v>
      </c>
      <c r="C58" s="2">
        <f>ROW(SmtRes!A113)</f>
        <v>113</v>
      </c>
      <c r="D58" s="2">
        <f>ROW(EtalonRes!A149)</f>
        <v>149</v>
      </c>
      <c r="E58" s="2" t="s">
        <v>114</v>
      </c>
      <c r="F58" s="2" t="s">
        <v>115</v>
      </c>
      <c r="G58" s="2" t="s">
        <v>116</v>
      </c>
      <c r="H58" s="2" t="s">
        <v>117</v>
      </c>
      <c r="I58" s="2">
        <f>ROUND(92/100,9)</f>
        <v>0.92</v>
      </c>
      <c r="J58" s="2">
        <v>0</v>
      </c>
      <c r="K58" s="2">
        <f>ROUND(92/100,9)</f>
        <v>0.92</v>
      </c>
      <c r="L58" s="2"/>
      <c r="M58" s="2"/>
      <c r="N58" s="2"/>
      <c r="O58" s="2">
        <f t="shared" si="21"/>
        <v>113.88</v>
      </c>
      <c r="P58" s="2">
        <f t="shared" si="22"/>
        <v>0</v>
      </c>
      <c r="Q58" s="2">
        <f>(ROUND((ROUND((((ET58*1.2))*AV58*I58),2)*BB58),2)+ROUND((ROUND(((AE58-((EU58*1.2)))*AV58*I58),2)*BS58),2))</f>
        <v>0</v>
      </c>
      <c r="R58" s="2">
        <f>(ROUND((ROUND((((EU58*1.2))*AV58*I58),2)*BS58),2)+ROUND((ROUND(((AE58-((EU58*1.2)))*AV58*I58),2)*BS58),2))</f>
        <v>0</v>
      </c>
      <c r="S58" s="2">
        <f t="shared" si="25"/>
        <v>113.88</v>
      </c>
      <c r="T58" s="2">
        <f t="shared" si="26"/>
        <v>0</v>
      </c>
      <c r="U58" s="2">
        <f t="shared" si="27"/>
        <v>11.142760319999999</v>
      </c>
      <c r="V58" s="2">
        <f t="shared" si="28"/>
        <v>0</v>
      </c>
      <c r="W58" s="2">
        <f t="shared" si="29"/>
        <v>0</v>
      </c>
      <c r="X58" s="2">
        <f>(ROUND((((S58+ROUND((ROUND((((EU58*1.2))*AV58*I58),2)*BS58),2))*AT58)/100),2)+ROUND(((ROUND((ROUND(((AE58-((EU58*1.2)))*AV58*I58),2)*BS58),2)*AT58)/100),2))</f>
        <v>103.63</v>
      </c>
      <c r="Y58" s="2">
        <f>(ROUND((((S58+ROUND((ROUND((((EU58*1.2))*AV58*I58),2)*BS58),2))*AU58)/100),2)+ROUND(((ROUND((ROUND(((AE58-((EU58*1.2)))*AV58*I58),2)*BS58),2)*AU58)/100),2))</f>
        <v>54.66</v>
      </c>
      <c r="Z58" s="2"/>
      <c r="AA58" s="2">
        <v>57248835</v>
      </c>
      <c r="AB58" s="2">
        <f t="shared" si="32"/>
        <v>118.224</v>
      </c>
      <c r="AC58" s="2">
        <f>ROUND(((ES58*1)),6)</f>
        <v>0</v>
      </c>
      <c r="AD58" s="2">
        <f>ROUND(((((ET58*1.2))-((EU58*1.2)))+AE58),6)</f>
        <v>0</v>
      </c>
      <c r="AE58" s="2">
        <f t="shared" ref="AE58:AF61" si="72">ROUND(((EU58*1.2)),6)</f>
        <v>0</v>
      </c>
      <c r="AF58" s="2">
        <f t="shared" si="72"/>
        <v>118.224</v>
      </c>
      <c r="AG58" s="2">
        <f t="shared" si="37"/>
        <v>0</v>
      </c>
      <c r="AH58" s="2">
        <f t="shared" ref="AH58:AI61" si="73">((EW58*1.2))</f>
        <v>11.568</v>
      </c>
      <c r="AI58" s="2">
        <f t="shared" si="73"/>
        <v>0</v>
      </c>
      <c r="AJ58" s="2">
        <f t="shared" si="40"/>
        <v>0</v>
      </c>
      <c r="AK58" s="2">
        <v>98.52</v>
      </c>
      <c r="AL58" s="2">
        <v>0</v>
      </c>
      <c r="AM58" s="2">
        <v>0</v>
      </c>
      <c r="AN58" s="2">
        <v>0</v>
      </c>
      <c r="AO58" s="2">
        <v>98.52</v>
      </c>
      <c r="AP58" s="2">
        <v>0</v>
      </c>
      <c r="AQ58" s="2">
        <v>9.64</v>
      </c>
      <c r="AR58" s="2">
        <v>0</v>
      </c>
      <c r="AS58" s="2">
        <v>0</v>
      </c>
      <c r="AT58" s="2">
        <v>91</v>
      </c>
      <c r="AU58" s="2">
        <v>48</v>
      </c>
      <c r="AV58" s="2">
        <v>1.0469999999999999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0</v>
      </c>
      <c r="BI58" s="2">
        <v>1</v>
      </c>
      <c r="BJ58" s="2" t="s">
        <v>118</v>
      </c>
      <c r="BK58" s="2"/>
      <c r="BL58" s="2"/>
      <c r="BM58" s="2">
        <v>106</v>
      </c>
      <c r="BN58" s="2">
        <v>0</v>
      </c>
      <c r="BO58" s="2" t="s">
        <v>115</v>
      </c>
      <c r="BP58" s="2">
        <v>1</v>
      </c>
      <c r="BQ58" s="2">
        <v>60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91</v>
      </c>
      <c r="CA58" s="2">
        <v>48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820</v>
      </c>
      <c r="CO58" s="2">
        <v>0</v>
      </c>
      <c r="CP58" s="2">
        <f t="shared" si="41"/>
        <v>113.88</v>
      </c>
      <c r="CQ58" s="2">
        <f t="shared" si="42"/>
        <v>0</v>
      </c>
      <c r="CR58" s="2">
        <f>(ROUND((ROUND((((ET58*1.2))*AV58*1),2)*BB58),2)+ROUND((ROUND(((AE58-((EU58*1.2)))*AV58*1),2)*BS58),2))</f>
        <v>0</v>
      </c>
      <c r="CS58" s="2">
        <f>(ROUND((ROUND((((EU58*1.2))*AV58*1),2)*BS58),2)+ROUND((ROUND(((AE58-((EU58*1.2)))*AV58*1),2)*BS58),2))</f>
        <v>0</v>
      </c>
      <c r="CT58" s="2">
        <f t="shared" si="45"/>
        <v>123.78</v>
      </c>
      <c r="CU58" s="2">
        <f t="shared" si="46"/>
        <v>0</v>
      </c>
      <c r="CV58" s="2">
        <f t="shared" si="47"/>
        <v>12.111695999999998</v>
      </c>
      <c r="CW58" s="2">
        <f t="shared" si="48"/>
        <v>0</v>
      </c>
      <c r="CX58" s="2">
        <f t="shared" si="49"/>
        <v>0</v>
      </c>
      <c r="CY58" s="2">
        <f>(ROUND((((S58+ROUND((ROUND((((EU58*1.2))*AV58*1),2)*BS58),2))*AT58)/100),2)+ROUND(((ROUND((ROUND(((AE58-((EU58*1.2)))*AV58*1),2)*BS58),2)*AT58)/100),2))</f>
        <v>103.63</v>
      </c>
      <c r="CZ58" s="2">
        <f>(ROUND((((S58+ROUND((ROUND((((EU58*1.2))*AV58*1),2)*BS58),2))*AU58)/100),2)+ROUND(((ROUND((ROUND(((AE58-((EU58*1.2)))*AV58*1),2)*BS58),2)*AU58)/100),2))</f>
        <v>54.66</v>
      </c>
      <c r="DA58" s="2"/>
      <c r="DB58" s="2">
        <v>61</v>
      </c>
      <c r="DC58" s="2" t="s">
        <v>3</v>
      </c>
      <c r="DD58" s="2" t="s">
        <v>119</v>
      </c>
      <c r="DE58" s="2" t="s">
        <v>120</v>
      </c>
      <c r="DF58" s="2" t="s">
        <v>120</v>
      </c>
      <c r="DG58" s="2" t="s">
        <v>120</v>
      </c>
      <c r="DH58" s="2" t="s">
        <v>3</v>
      </c>
      <c r="DI58" s="2" t="s">
        <v>120</v>
      </c>
      <c r="DJ58" s="2" t="s">
        <v>120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1003</v>
      </c>
      <c r="DV58" s="2" t="s">
        <v>117</v>
      </c>
      <c r="DW58" s="2" t="s">
        <v>117</v>
      </c>
      <c r="DX58" s="2">
        <v>100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57248690</v>
      </c>
      <c r="EF58" s="2">
        <v>60</v>
      </c>
      <c r="EG58" s="2" t="s">
        <v>121</v>
      </c>
      <c r="EH58" s="2">
        <v>0</v>
      </c>
      <c r="EI58" s="2" t="s">
        <v>3</v>
      </c>
      <c r="EJ58" s="2">
        <v>1</v>
      </c>
      <c r="EK58" s="2">
        <v>106</v>
      </c>
      <c r="EL58" s="2" t="s">
        <v>122</v>
      </c>
      <c r="EM58" s="2" t="s">
        <v>123</v>
      </c>
      <c r="EN58" s="2"/>
      <c r="EO58" s="2" t="s">
        <v>124</v>
      </c>
      <c r="EP58" s="2"/>
      <c r="EQ58" s="2">
        <v>131072</v>
      </c>
      <c r="ER58" s="2">
        <v>98.52</v>
      </c>
      <c r="ES58" s="2">
        <v>0</v>
      </c>
      <c r="ET58" s="2">
        <v>0</v>
      </c>
      <c r="EU58" s="2">
        <v>0</v>
      </c>
      <c r="EV58" s="2">
        <v>98.52</v>
      </c>
      <c r="EW58" s="2">
        <v>9.64</v>
      </c>
      <c r="EX58" s="2">
        <v>0</v>
      </c>
      <c r="EY58" s="2">
        <v>0</v>
      </c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91</v>
      </c>
      <c r="FY58" s="2">
        <v>48</v>
      </c>
      <c r="FZ58" s="2"/>
      <c r="GA58" s="2" t="s">
        <v>3</v>
      </c>
      <c r="GB58" s="2"/>
      <c r="GC58" s="2"/>
      <c r="GD58" s="2">
        <v>1</v>
      </c>
      <c r="GE58" s="2"/>
      <c r="GF58" s="2">
        <v>1114236003</v>
      </c>
      <c r="GG58" s="2">
        <v>2</v>
      </c>
      <c r="GH58" s="2">
        <v>1</v>
      </c>
      <c r="GI58" s="2">
        <v>2</v>
      </c>
      <c r="GJ58" s="2">
        <v>0</v>
      </c>
      <c r="GK58" s="2">
        <v>0</v>
      </c>
      <c r="GL58" s="2">
        <f t="shared" si="52"/>
        <v>0</v>
      </c>
      <c r="GM58" s="2">
        <f t="shared" si="53"/>
        <v>272.17</v>
      </c>
      <c r="GN58" s="2">
        <f t="shared" si="54"/>
        <v>272.17</v>
      </c>
      <c r="GO58" s="2">
        <f t="shared" si="55"/>
        <v>0</v>
      </c>
      <c r="GP58" s="2">
        <f t="shared" si="56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57"/>
        <v>0</v>
      </c>
      <c r="GW58" s="2">
        <v>1</v>
      </c>
      <c r="GX58" s="2">
        <f t="shared" si="58"/>
        <v>0</v>
      </c>
      <c r="GY58" s="2"/>
      <c r="GZ58" s="2"/>
      <c r="HA58" s="2">
        <v>0</v>
      </c>
      <c r="HB58" s="2">
        <v>0</v>
      </c>
      <c r="HC58" s="2">
        <f t="shared" si="59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17</v>
      </c>
      <c r="B59" s="3">
        <v>1</v>
      </c>
      <c r="C59" s="3">
        <f>ROW(SmtRes!A114)</f>
        <v>114</v>
      </c>
      <c r="D59" s="3">
        <f>ROW(EtalonRes!A150)</f>
        <v>150</v>
      </c>
      <c r="E59" s="3" t="s">
        <v>114</v>
      </c>
      <c r="F59" s="3" t="s">
        <v>115</v>
      </c>
      <c r="G59" s="3" t="s">
        <v>116</v>
      </c>
      <c r="H59" s="3" t="s">
        <v>117</v>
      </c>
      <c r="I59" s="3">
        <f>ROUND(92/100,9)</f>
        <v>0.92</v>
      </c>
      <c r="J59" s="3">
        <v>0</v>
      </c>
      <c r="K59" s="3">
        <f>ROUND(92/100,9)</f>
        <v>0.92</v>
      </c>
      <c r="O59" s="3">
        <f t="shared" si="21"/>
        <v>6417.14</v>
      </c>
      <c r="P59" s="3">
        <f t="shared" si="22"/>
        <v>0</v>
      </c>
      <c r="Q59" s="3">
        <f>(ROUND((ROUND((((ET59*1.2))*AV59*I59),2)*BB59),2)+ROUND((ROUND(((AE59-((EU59*1.2)))*AV59*I59),2)*BS59),2))</f>
        <v>0</v>
      </c>
      <c r="R59" s="3">
        <f>(ROUND((ROUND((((EU59*1.2))*AV59*I59),2)*BS59),2)+ROUND((ROUND(((AE59-((EU59*1.2)))*AV59*I59),2)*BS59),2))</f>
        <v>0</v>
      </c>
      <c r="S59" s="3">
        <f t="shared" si="25"/>
        <v>6417.14</v>
      </c>
      <c r="T59" s="3">
        <f t="shared" si="26"/>
        <v>0</v>
      </c>
      <c r="U59" s="3">
        <f t="shared" si="27"/>
        <v>11.142760319999999</v>
      </c>
      <c r="V59" s="3">
        <f t="shared" si="28"/>
        <v>0</v>
      </c>
      <c r="W59" s="3">
        <f t="shared" si="29"/>
        <v>0</v>
      </c>
      <c r="X59" s="3">
        <f>(ROUND((((S59+ROUND((ROUND((((EU59*1.2))*AV59*I59),2)*BS59),2))*AT59)/100),2)+ROUND(((ROUND((ROUND(((AE59-((EU59*1.2)))*AV59*I59),2)*BS59),2)*AT59)/100),2))</f>
        <v>5839.6</v>
      </c>
      <c r="Y59" s="3">
        <f>(ROUND((((S59+ROUND((ROUND((((EU59*1.2))*AV59*I59),2)*BS59),2))*AU59)/100),2)+ROUND(((ROUND((ROUND(((AE59-((EU59*1.2)))*AV59*I59),2)*BS59),2)*AU59)/100),2))</f>
        <v>3080.23</v>
      </c>
      <c r="AA59" s="3">
        <v>57248837</v>
      </c>
      <c r="AB59" s="3">
        <f t="shared" si="32"/>
        <v>118.224</v>
      </c>
      <c r="AC59" s="3">
        <f>ROUND(((ES59*1)),6)</f>
        <v>0</v>
      </c>
      <c r="AD59" s="3">
        <f>ROUND(((((ET59*1.2))-((EU59*1.2)))+AE59),6)</f>
        <v>0</v>
      </c>
      <c r="AE59" s="3">
        <f t="shared" si="72"/>
        <v>0</v>
      </c>
      <c r="AF59" s="3">
        <f t="shared" si="72"/>
        <v>118.224</v>
      </c>
      <c r="AG59" s="3">
        <f t="shared" si="37"/>
        <v>0</v>
      </c>
      <c r="AH59" s="3">
        <f t="shared" si="73"/>
        <v>11.568</v>
      </c>
      <c r="AI59" s="3">
        <f t="shared" si="73"/>
        <v>0</v>
      </c>
      <c r="AJ59" s="3">
        <f t="shared" si="40"/>
        <v>0</v>
      </c>
      <c r="AK59" s="3">
        <v>98.52</v>
      </c>
      <c r="AL59" s="3">
        <v>0</v>
      </c>
      <c r="AM59" s="3">
        <v>0</v>
      </c>
      <c r="AN59" s="3">
        <v>0</v>
      </c>
      <c r="AO59" s="3">
        <v>98.52</v>
      </c>
      <c r="AP59" s="3">
        <v>0</v>
      </c>
      <c r="AQ59" s="3">
        <v>9.64</v>
      </c>
      <c r="AR59" s="3">
        <v>0</v>
      </c>
      <c r="AS59" s="3">
        <v>0</v>
      </c>
      <c r="AT59" s="3">
        <v>91</v>
      </c>
      <c r="AU59" s="3">
        <v>48</v>
      </c>
      <c r="AV59" s="3">
        <v>1.0469999999999999</v>
      </c>
      <c r="AW59" s="3">
        <v>1</v>
      </c>
      <c r="AZ59" s="3">
        <v>1</v>
      </c>
      <c r="BA59" s="3">
        <v>56.35</v>
      </c>
      <c r="BB59" s="3">
        <v>1</v>
      </c>
      <c r="BC59" s="3">
        <v>1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0</v>
      </c>
      <c r="BI59" s="3">
        <v>1</v>
      </c>
      <c r="BJ59" s="3" t="s">
        <v>118</v>
      </c>
      <c r="BM59" s="3">
        <v>106</v>
      </c>
      <c r="BN59" s="3">
        <v>0</v>
      </c>
      <c r="BO59" s="3" t="s">
        <v>115</v>
      </c>
      <c r="BP59" s="3">
        <v>1</v>
      </c>
      <c r="BQ59" s="3">
        <v>60</v>
      </c>
      <c r="BR59" s="3">
        <v>0</v>
      </c>
      <c r="BS59" s="3">
        <v>56.35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91</v>
      </c>
      <c r="CA59" s="3">
        <v>48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820</v>
      </c>
      <c r="CO59" s="3">
        <v>0</v>
      </c>
      <c r="CP59" s="3">
        <f t="shared" si="41"/>
        <v>6417.14</v>
      </c>
      <c r="CQ59" s="3">
        <f t="shared" si="42"/>
        <v>0</v>
      </c>
      <c r="CR59" s="3">
        <f>(ROUND((ROUND((((ET59*1.2))*AV59*1),2)*BB59),2)+ROUND((ROUND(((AE59-((EU59*1.2)))*AV59*1),2)*BS59),2))</f>
        <v>0</v>
      </c>
      <c r="CS59" s="3">
        <f>(ROUND((ROUND((((EU59*1.2))*AV59*1),2)*BS59),2)+ROUND((ROUND(((AE59-((EU59*1.2)))*AV59*1),2)*BS59),2))</f>
        <v>0</v>
      </c>
      <c r="CT59" s="3">
        <f t="shared" si="45"/>
        <v>6975</v>
      </c>
      <c r="CU59" s="3">
        <f t="shared" si="46"/>
        <v>0</v>
      </c>
      <c r="CV59" s="3">
        <f t="shared" si="47"/>
        <v>12.111695999999998</v>
      </c>
      <c r="CW59" s="3">
        <f t="shared" si="48"/>
        <v>0</v>
      </c>
      <c r="CX59" s="3">
        <f t="shared" si="49"/>
        <v>0</v>
      </c>
      <c r="CY59" s="3">
        <f>(ROUND((((S59+ROUND((ROUND((((EU59*1.2))*AV59*1),2)*BS59),2))*AT59)/100),2)+ROUND(((ROUND((ROUND(((AE59-((EU59*1.2)))*AV59*1),2)*BS59),2)*AT59)/100),2))</f>
        <v>5839.6</v>
      </c>
      <c r="CZ59" s="3">
        <f>(ROUND((((S59+ROUND((ROUND((((EU59*1.2))*AV59*1),2)*BS59),2))*AU59)/100),2)+ROUND(((ROUND((ROUND(((AE59-((EU59*1.2)))*AV59*1),2)*BS59),2)*AU59)/100),2))</f>
        <v>3080.23</v>
      </c>
      <c r="DB59" s="3">
        <v>62</v>
      </c>
      <c r="DC59" s="3" t="s">
        <v>3</v>
      </c>
      <c r="DD59" s="3" t="s">
        <v>119</v>
      </c>
      <c r="DE59" s="3" t="s">
        <v>120</v>
      </c>
      <c r="DF59" s="3" t="s">
        <v>120</v>
      </c>
      <c r="DG59" s="3" t="s">
        <v>120</v>
      </c>
      <c r="DH59" s="3" t="s">
        <v>3</v>
      </c>
      <c r="DI59" s="3" t="s">
        <v>120</v>
      </c>
      <c r="DJ59" s="3" t="s">
        <v>120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1003</v>
      </c>
      <c r="DV59" s="3" t="s">
        <v>117</v>
      </c>
      <c r="DW59" s="3" t="s">
        <v>117</v>
      </c>
      <c r="DX59" s="3">
        <v>100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57248690</v>
      </c>
      <c r="EF59" s="3">
        <v>60</v>
      </c>
      <c r="EG59" s="3" t="s">
        <v>121</v>
      </c>
      <c r="EH59" s="3">
        <v>0</v>
      </c>
      <c r="EI59" s="3" t="s">
        <v>3</v>
      </c>
      <c r="EJ59" s="3">
        <v>1</v>
      </c>
      <c r="EK59" s="3">
        <v>106</v>
      </c>
      <c r="EL59" s="3" t="s">
        <v>122</v>
      </c>
      <c r="EM59" s="3" t="s">
        <v>123</v>
      </c>
      <c r="EO59" s="3" t="s">
        <v>124</v>
      </c>
      <c r="EQ59" s="3">
        <v>131072</v>
      </c>
      <c r="ER59" s="3">
        <v>98.52</v>
      </c>
      <c r="ES59" s="3">
        <v>0</v>
      </c>
      <c r="ET59" s="3">
        <v>0</v>
      </c>
      <c r="EU59" s="3">
        <v>0</v>
      </c>
      <c r="EV59" s="3">
        <v>98.52</v>
      </c>
      <c r="EW59" s="3">
        <v>9.64</v>
      </c>
      <c r="EX59" s="3">
        <v>0</v>
      </c>
      <c r="EY59" s="3">
        <v>0</v>
      </c>
      <c r="FQ59" s="3">
        <v>0</v>
      </c>
      <c r="FR59" s="3">
        <v>0</v>
      </c>
      <c r="FS59" s="3">
        <v>0</v>
      </c>
      <c r="FX59" s="3">
        <v>91</v>
      </c>
      <c r="FY59" s="3">
        <v>48</v>
      </c>
      <c r="GA59" s="3" t="s">
        <v>3</v>
      </c>
      <c r="GD59" s="3">
        <v>1</v>
      </c>
      <c r="GF59" s="3">
        <v>1114236003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52"/>
        <v>0</v>
      </c>
      <c r="GM59" s="3">
        <f t="shared" si="53"/>
        <v>15336.97</v>
      </c>
      <c r="GN59" s="3">
        <f t="shared" si="54"/>
        <v>15336.97</v>
      </c>
      <c r="GO59" s="3">
        <f t="shared" si="55"/>
        <v>0</v>
      </c>
      <c r="GP59" s="3">
        <f t="shared" si="56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57"/>
        <v>0</v>
      </c>
      <c r="GW59" s="3">
        <v>1</v>
      </c>
      <c r="GX59" s="3">
        <f t="shared" si="58"/>
        <v>0</v>
      </c>
      <c r="HA59" s="3">
        <v>0</v>
      </c>
      <c r="HB59" s="3">
        <v>0</v>
      </c>
      <c r="HC59" s="3">
        <f t="shared" si="59"/>
        <v>0</v>
      </c>
      <c r="HE59" s="3" t="s">
        <v>3</v>
      </c>
      <c r="HF59" s="3" t="s">
        <v>3</v>
      </c>
      <c r="HM59" s="3" t="s">
        <v>3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17</v>
      </c>
      <c r="B60" s="2">
        <v>1</v>
      </c>
      <c r="C60" s="2">
        <f>ROW(SmtRes!A116)</f>
        <v>116</v>
      </c>
      <c r="D60" s="2">
        <f>ROW(EtalonRes!A152)</f>
        <v>152</v>
      </c>
      <c r="E60" s="2" t="s">
        <v>3</v>
      </c>
      <c r="F60" s="2" t="s">
        <v>125</v>
      </c>
      <c r="G60" s="2" t="s">
        <v>126</v>
      </c>
      <c r="H60" s="2" t="s">
        <v>117</v>
      </c>
      <c r="I60" s="2">
        <f>ROUND((642+150+2)/100,9)</f>
        <v>7.94</v>
      </c>
      <c r="J60" s="2">
        <v>0</v>
      </c>
      <c r="K60" s="2">
        <f>ROUND((642+150+2)/100,9)</f>
        <v>7.94</v>
      </c>
      <c r="L60" s="2"/>
      <c r="M60" s="2"/>
      <c r="N60" s="2"/>
      <c r="O60" s="2">
        <f t="shared" si="21"/>
        <v>3194.56</v>
      </c>
      <c r="P60" s="2">
        <f t="shared" si="22"/>
        <v>0</v>
      </c>
      <c r="Q60" s="2">
        <f>(ROUND((ROUND((((ET60*1.2))*AV60*I60),2)*BB60),2)+ROUND((ROUND(((AE60-((EU60*1.2)))*AV60*I60),2)*BS60),2))</f>
        <v>0</v>
      </c>
      <c r="R60" s="2">
        <f>(ROUND((ROUND((((EU60*1.2))*AV60*I60),2)*BS60),2)+ROUND((ROUND(((AE60-((EU60*1.2)))*AV60*I60),2)*BS60),2))</f>
        <v>0</v>
      </c>
      <c r="S60" s="2">
        <f t="shared" si="25"/>
        <v>3194.56</v>
      </c>
      <c r="T60" s="2">
        <f t="shared" si="26"/>
        <v>0</v>
      </c>
      <c r="U60" s="2">
        <f t="shared" si="27"/>
        <v>303.66383903999997</v>
      </c>
      <c r="V60" s="2">
        <f t="shared" si="28"/>
        <v>0</v>
      </c>
      <c r="W60" s="2">
        <f t="shared" si="29"/>
        <v>0</v>
      </c>
      <c r="X60" s="2">
        <f>(ROUND((((S60+ROUND((ROUND((((EU60*1.2))*AV60*I60),2)*BS60),2))*AT60)/100),2)+ROUND(((ROUND((ROUND(((AE60-((EU60*1.2)))*AV60*I60),2)*BS60),2)*AT60)/100),2))</f>
        <v>2907.05</v>
      </c>
      <c r="Y60" s="2">
        <f>(ROUND((((S60+ROUND((ROUND((((EU60*1.2))*AV60*I60),2)*BS60),2))*AU60)/100),2)+ROUND(((ROUND((ROUND(((AE60-((EU60*1.2)))*AV60*I60),2)*BS60),2)*AU60)/100),2))</f>
        <v>1533.39</v>
      </c>
      <c r="Z60" s="2"/>
      <c r="AA60" s="2">
        <v>-1</v>
      </c>
      <c r="AB60" s="2">
        <f t="shared" si="32"/>
        <v>384.27600000000001</v>
      </c>
      <c r="AC60" s="2">
        <f>ROUND(((ES60*1)),6)</f>
        <v>0</v>
      </c>
      <c r="AD60" s="2">
        <f>ROUND(((((ET60*1.2))-((EU60*1.2)))+AE60),6)</f>
        <v>0</v>
      </c>
      <c r="AE60" s="2">
        <f t="shared" si="72"/>
        <v>0</v>
      </c>
      <c r="AF60" s="2">
        <f t="shared" si="72"/>
        <v>384.27600000000001</v>
      </c>
      <c r="AG60" s="2">
        <f t="shared" si="37"/>
        <v>0</v>
      </c>
      <c r="AH60" s="2">
        <f t="shared" si="73"/>
        <v>36.527999999999999</v>
      </c>
      <c r="AI60" s="2">
        <f t="shared" si="73"/>
        <v>0</v>
      </c>
      <c r="AJ60" s="2">
        <f t="shared" si="40"/>
        <v>0</v>
      </c>
      <c r="AK60" s="2">
        <v>320.23</v>
      </c>
      <c r="AL60" s="2">
        <v>0</v>
      </c>
      <c r="AM60" s="2">
        <v>0</v>
      </c>
      <c r="AN60" s="2">
        <v>0</v>
      </c>
      <c r="AO60" s="2">
        <v>320.23</v>
      </c>
      <c r="AP60" s="2">
        <v>0</v>
      </c>
      <c r="AQ60" s="2">
        <v>30.44</v>
      </c>
      <c r="AR60" s="2">
        <v>0</v>
      </c>
      <c r="AS60" s="2">
        <v>0</v>
      </c>
      <c r="AT60" s="2">
        <v>91</v>
      </c>
      <c r="AU60" s="2">
        <v>48</v>
      </c>
      <c r="AV60" s="2">
        <v>1.0469999999999999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0</v>
      </c>
      <c r="BI60" s="2">
        <v>1</v>
      </c>
      <c r="BJ60" s="2" t="s">
        <v>127</v>
      </c>
      <c r="BK60" s="2"/>
      <c r="BL60" s="2"/>
      <c r="BM60" s="2">
        <v>106</v>
      </c>
      <c r="BN60" s="2">
        <v>0</v>
      </c>
      <c r="BO60" s="2" t="s">
        <v>125</v>
      </c>
      <c r="BP60" s="2">
        <v>1</v>
      </c>
      <c r="BQ60" s="2">
        <v>60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91</v>
      </c>
      <c r="CA60" s="2">
        <v>48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820</v>
      </c>
      <c r="CO60" s="2">
        <v>0</v>
      </c>
      <c r="CP60" s="2">
        <f t="shared" si="41"/>
        <v>3194.56</v>
      </c>
      <c r="CQ60" s="2">
        <f t="shared" si="42"/>
        <v>0</v>
      </c>
      <c r="CR60" s="2">
        <f>(ROUND((ROUND((((ET60*1.2))*AV60*1),2)*BB60),2)+ROUND((ROUND(((AE60-((EU60*1.2)))*AV60*1),2)*BS60),2))</f>
        <v>0</v>
      </c>
      <c r="CS60" s="2">
        <f>(ROUND((ROUND((((EU60*1.2))*AV60*1),2)*BS60),2)+ROUND((ROUND(((AE60-((EU60*1.2)))*AV60*1),2)*BS60),2))</f>
        <v>0</v>
      </c>
      <c r="CT60" s="2">
        <f t="shared" si="45"/>
        <v>402.34</v>
      </c>
      <c r="CU60" s="2">
        <f t="shared" si="46"/>
        <v>0</v>
      </c>
      <c r="CV60" s="2">
        <f t="shared" si="47"/>
        <v>38.244815999999993</v>
      </c>
      <c r="CW60" s="2">
        <f t="shared" si="48"/>
        <v>0</v>
      </c>
      <c r="CX60" s="2">
        <f t="shared" si="49"/>
        <v>0</v>
      </c>
      <c r="CY60" s="2">
        <f>(ROUND((((S60+ROUND((ROUND((((EU60*1.2))*AV60*1),2)*BS60),2))*AT60)/100),2)+ROUND(((ROUND((ROUND(((AE60-((EU60*1.2)))*AV60*1),2)*BS60),2)*AT60)/100),2))</f>
        <v>2907.05</v>
      </c>
      <c r="CZ60" s="2">
        <f>(ROUND((((S60+ROUND((ROUND((((EU60*1.2))*AV60*1),2)*BS60),2))*AU60)/100),2)+ROUND(((ROUND((ROUND(((AE60-((EU60*1.2)))*AV60*1),2)*BS60),2)*AU60)/100),2))</f>
        <v>1533.39</v>
      </c>
      <c r="DA60" s="2"/>
      <c r="DB60" s="2">
        <v>63</v>
      </c>
      <c r="DC60" s="2" t="s">
        <v>3</v>
      </c>
      <c r="DD60" s="2" t="s">
        <v>119</v>
      </c>
      <c r="DE60" s="2" t="s">
        <v>120</v>
      </c>
      <c r="DF60" s="2" t="s">
        <v>120</v>
      </c>
      <c r="DG60" s="2" t="s">
        <v>120</v>
      </c>
      <c r="DH60" s="2" t="s">
        <v>3</v>
      </c>
      <c r="DI60" s="2" t="s">
        <v>120</v>
      </c>
      <c r="DJ60" s="2" t="s">
        <v>120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1003</v>
      </c>
      <c r="DV60" s="2" t="s">
        <v>117</v>
      </c>
      <c r="DW60" s="2" t="s">
        <v>117</v>
      </c>
      <c r="DX60" s="2">
        <v>100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57248690</v>
      </c>
      <c r="EF60" s="2">
        <v>60</v>
      </c>
      <c r="EG60" s="2" t="s">
        <v>121</v>
      </c>
      <c r="EH60" s="2">
        <v>0</v>
      </c>
      <c r="EI60" s="2" t="s">
        <v>3</v>
      </c>
      <c r="EJ60" s="2">
        <v>1</v>
      </c>
      <c r="EK60" s="2">
        <v>106</v>
      </c>
      <c r="EL60" s="2" t="s">
        <v>122</v>
      </c>
      <c r="EM60" s="2" t="s">
        <v>123</v>
      </c>
      <c r="EN60" s="2"/>
      <c r="EO60" s="2" t="s">
        <v>124</v>
      </c>
      <c r="EP60" s="2"/>
      <c r="EQ60" s="2">
        <v>132096</v>
      </c>
      <c r="ER60" s="2">
        <v>320.23</v>
      </c>
      <c r="ES60" s="2">
        <v>0</v>
      </c>
      <c r="ET60" s="2">
        <v>0</v>
      </c>
      <c r="EU60" s="2">
        <v>0</v>
      </c>
      <c r="EV60" s="2">
        <v>320.23</v>
      </c>
      <c r="EW60" s="2">
        <v>30.44</v>
      </c>
      <c r="EX60" s="2">
        <v>0</v>
      </c>
      <c r="EY60" s="2">
        <v>0</v>
      </c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91</v>
      </c>
      <c r="FY60" s="2">
        <v>48</v>
      </c>
      <c r="FZ60" s="2"/>
      <c r="GA60" s="2" t="s">
        <v>3</v>
      </c>
      <c r="GB60" s="2"/>
      <c r="GC60" s="2"/>
      <c r="GD60" s="2">
        <v>1</v>
      </c>
      <c r="GE60" s="2"/>
      <c r="GF60" s="2">
        <v>-1527708470</v>
      </c>
      <c r="GG60" s="2">
        <v>2</v>
      </c>
      <c r="GH60" s="2">
        <v>1</v>
      </c>
      <c r="GI60" s="2">
        <v>2</v>
      </c>
      <c r="GJ60" s="2">
        <v>0</v>
      </c>
      <c r="GK60" s="2">
        <v>0</v>
      </c>
      <c r="GL60" s="2">
        <f t="shared" si="52"/>
        <v>0</v>
      </c>
      <c r="GM60" s="2">
        <f t="shared" si="53"/>
        <v>7635</v>
      </c>
      <c r="GN60" s="2">
        <f t="shared" si="54"/>
        <v>7635</v>
      </c>
      <c r="GO60" s="2">
        <f t="shared" si="55"/>
        <v>0</v>
      </c>
      <c r="GP60" s="2">
        <f t="shared" si="56"/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si="57"/>
        <v>0</v>
      </c>
      <c r="GW60" s="2">
        <v>1</v>
      </c>
      <c r="GX60" s="2">
        <f t="shared" si="58"/>
        <v>0</v>
      </c>
      <c r="GY60" s="2"/>
      <c r="GZ60" s="2"/>
      <c r="HA60" s="2">
        <v>0</v>
      </c>
      <c r="HB60" s="2">
        <v>0</v>
      </c>
      <c r="HC60" s="2">
        <f t="shared" si="59"/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17</v>
      </c>
      <c r="B61" s="3">
        <v>1</v>
      </c>
      <c r="C61" s="3">
        <f>ROW(SmtRes!A118)</f>
        <v>118</v>
      </c>
      <c r="D61" s="3">
        <f>ROW(EtalonRes!A154)</f>
        <v>154</v>
      </c>
      <c r="E61" s="3" t="s">
        <v>3</v>
      </c>
      <c r="F61" s="3" t="s">
        <v>125</v>
      </c>
      <c r="G61" s="3" t="s">
        <v>126</v>
      </c>
      <c r="H61" s="3" t="s">
        <v>117</v>
      </c>
      <c r="I61" s="3">
        <f>ROUND((642+150+2)/100,9)</f>
        <v>7.94</v>
      </c>
      <c r="J61" s="3">
        <v>0</v>
      </c>
      <c r="K61" s="3">
        <f>ROUND((642+150+2)/100,9)</f>
        <v>7.94</v>
      </c>
      <c r="O61" s="3">
        <f t="shared" si="21"/>
        <v>180013.46</v>
      </c>
      <c r="P61" s="3">
        <f t="shared" si="22"/>
        <v>0</v>
      </c>
      <c r="Q61" s="3">
        <f>(ROUND((ROUND((((ET61*1.2))*AV61*I61),2)*BB61),2)+ROUND((ROUND(((AE61-((EU61*1.2)))*AV61*I61),2)*BS61),2))</f>
        <v>0</v>
      </c>
      <c r="R61" s="3">
        <f>(ROUND((ROUND((((EU61*1.2))*AV61*I61),2)*BS61),2)+ROUND((ROUND(((AE61-((EU61*1.2)))*AV61*I61),2)*BS61),2))</f>
        <v>0</v>
      </c>
      <c r="S61" s="3">
        <f t="shared" si="25"/>
        <v>180013.46</v>
      </c>
      <c r="T61" s="3">
        <f t="shared" si="26"/>
        <v>0</v>
      </c>
      <c r="U61" s="3">
        <f t="shared" si="27"/>
        <v>303.66383903999997</v>
      </c>
      <c r="V61" s="3">
        <f t="shared" si="28"/>
        <v>0</v>
      </c>
      <c r="W61" s="3">
        <f t="shared" si="29"/>
        <v>0</v>
      </c>
      <c r="X61" s="3">
        <f>(ROUND((((S61+ROUND((ROUND((((EU61*1.2))*AV61*I61),2)*BS61),2))*AT61)/100),2)+ROUND(((ROUND((ROUND(((AE61-((EU61*1.2)))*AV61*I61),2)*BS61),2)*AT61)/100),2))</f>
        <v>163812.25</v>
      </c>
      <c r="Y61" s="3">
        <f>(ROUND((((S61+ROUND((ROUND((((EU61*1.2))*AV61*I61),2)*BS61),2))*AU61)/100),2)+ROUND(((ROUND((ROUND(((AE61-((EU61*1.2)))*AV61*I61),2)*BS61),2)*AU61)/100),2))</f>
        <v>86406.46</v>
      </c>
      <c r="AA61" s="3">
        <v>-1</v>
      </c>
      <c r="AB61" s="3">
        <f t="shared" si="32"/>
        <v>384.27600000000001</v>
      </c>
      <c r="AC61" s="3">
        <f>ROUND(((ES61*1)),6)</f>
        <v>0</v>
      </c>
      <c r="AD61" s="3">
        <f>ROUND(((((ET61*1.2))-((EU61*1.2)))+AE61),6)</f>
        <v>0</v>
      </c>
      <c r="AE61" s="3">
        <f t="shared" si="72"/>
        <v>0</v>
      </c>
      <c r="AF61" s="3">
        <f t="shared" si="72"/>
        <v>384.27600000000001</v>
      </c>
      <c r="AG61" s="3">
        <f t="shared" si="37"/>
        <v>0</v>
      </c>
      <c r="AH61" s="3">
        <f t="shared" si="73"/>
        <v>36.527999999999999</v>
      </c>
      <c r="AI61" s="3">
        <f t="shared" si="73"/>
        <v>0</v>
      </c>
      <c r="AJ61" s="3">
        <f t="shared" si="40"/>
        <v>0</v>
      </c>
      <c r="AK61" s="3">
        <v>320.23</v>
      </c>
      <c r="AL61" s="3">
        <v>0</v>
      </c>
      <c r="AM61" s="3">
        <v>0</v>
      </c>
      <c r="AN61" s="3">
        <v>0</v>
      </c>
      <c r="AO61" s="3">
        <v>320.23</v>
      </c>
      <c r="AP61" s="3">
        <v>0</v>
      </c>
      <c r="AQ61" s="3">
        <v>30.44</v>
      </c>
      <c r="AR61" s="3">
        <v>0</v>
      </c>
      <c r="AS61" s="3">
        <v>0</v>
      </c>
      <c r="AT61" s="3">
        <v>91</v>
      </c>
      <c r="AU61" s="3">
        <v>48</v>
      </c>
      <c r="AV61" s="3">
        <v>1.0469999999999999</v>
      </c>
      <c r="AW61" s="3">
        <v>1</v>
      </c>
      <c r="AZ61" s="3">
        <v>1</v>
      </c>
      <c r="BA61" s="3">
        <v>56.35</v>
      </c>
      <c r="BB61" s="3">
        <v>1</v>
      </c>
      <c r="BC61" s="3">
        <v>1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0</v>
      </c>
      <c r="BI61" s="3">
        <v>1</v>
      </c>
      <c r="BJ61" s="3" t="s">
        <v>127</v>
      </c>
      <c r="BM61" s="3">
        <v>106</v>
      </c>
      <c r="BN61" s="3">
        <v>0</v>
      </c>
      <c r="BO61" s="3" t="s">
        <v>125</v>
      </c>
      <c r="BP61" s="3">
        <v>1</v>
      </c>
      <c r="BQ61" s="3">
        <v>60</v>
      </c>
      <c r="BR61" s="3">
        <v>0</v>
      </c>
      <c r="BS61" s="3">
        <v>56.35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91</v>
      </c>
      <c r="CA61" s="3">
        <v>48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820</v>
      </c>
      <c r="CO61" s="3">
        <v>0</v>
      </c>
      <c r="CP61" s="3">
        <f t="shared" si="41"/>
        <v>180013.46</v>
      </c>
      <c r="CQ61" s="3">
        <f t="shared" si="42"/>
        <v>0</v>
      </c>
      <c r="CR61" s="3">
        <f>(ROUND((ROUND((((ET61*1.2))*AV61*1),2)*BB61),2)+ROUND((ROUND(((AE61-((EU61*1.2)))*AV61*1),2)*BS61),2))</f>
        <v>0</v>
      </c>
      <c r="CS61" s="3">
        <f>(ROUND((ROUND((((EU61*1.2))*AV61*1),2)*BS61),2)+ROUND((ROUND(((AE61-((EU61*1.2)))*AV61*1),2)*BS61),2))</f>
        <v>0</v>
      </c>
      <c r="CT61" s="3">
        <f t="shared" si="45"/>
        <v>22671.86</v>
      </c>
      <c r="CU61" s="3">
        <f t="shared" si="46"/>
        <v>0</v>
      </c>
      <c r="CV61" s="3">
        <f t="shared" si="47"/>
        <v>38.244815999999993</v>
      </c>
      <c r="CW61" s="3">
        <f t="shared" si="48"/>
        <v>0</v>
      </c>
      <c r="CX61" s="3">
        <f t="shared" si="49"/>
        <v>0</v>
      </c>
      <c r="CY61" s="3">
        <f>(ROUND((((S61+ROUND((ROUND((((EU61*1.2))*AV61*1),2)*BS61),2))*AT61)/100),2)+ROUND(((ROUND((ROUND(((AE61-((EU61*1.2)))*AV61*1),2)*BS61),2)*AT61)/100),2))</f>
        <v>163812.25</v>
      </c>
      <c r="CZ61" s="3">
        <f>(ROUND((((S61+ROUND((ROUND((((EU61*1.2))*AV61*1),2)*BS61),2))*AU61)/100),2)+ROUND(((ROUND((ROUND(((AE61-((EU61*1.2)))*AV61*1),2)*BS61),2)*AU61)/100),2))</f>
        <v>86406.46</v>
      </c>
      <c r="DB61" s="3">
        <v>64</v>
      </c>
      <c r="DC61" s="3" t="s">
        <v>3</v>
      </c>
      <c r="DD61" s="3" t="s">
        <v>119</v>
      </c>
      <c r="DE61" s="3" t="s">
        <v>120</v>
      </c>
      <c r="DF61" s="3" t="s">
        <v>120</v>
      </c>
      <c r="DG61" s="3" t="s">
        <v>120</v>
      </c>
      <c r="DH61" s="3" t="s">
        <v>3</v>
      </c>
      <c r="DI61" s="3" t="s">
        <v>120</v>
      </c>
      <c r="DJ61" s="3" t="s">
        <v>120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1003</v>
      </c>
      <c r="DV61" s="3" t="s">
        <v>117</v>
      </c>
      <c r="DW61" s="3" t="s">
        <v>117</v>
      </c>
      <c r="DX61" s="3">
        <v>100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57248690</v>
      </c>
      <c r="EF61" s="3">
        <v>60</v>
      </c>
      <c r="EG61" s="3" t="s">
        <v>121</v>
      </c>
      <c r="EH61" s="3">
        <v>0</v>
      </c>
      <c r="EI61" s="3" t="s">
        <v>3</v>
      </c>
      <c r="EJ61" s="3">
        <v>1</v>
      </c>
      <c r="EK61" s="3">
        <v>106</v>
      </c>
      <c r="EL61" s="3" t="s">
        <v>122</v>
      </c>
      <c r="EM61" s="3" t="s">
        <v>123</v>
      </c>
      <c r="EO61" s="3" t="s">
        <v>124</v>
      </c>
      <c r="EQ61" s="3">
        <v>132096</v>
      </c>
      <c r="ER61" s="3">
        <v>320.23</v>
      </c>
      <c r="ES61" s="3">
        <v>0</v>
      </c>
      <c r="ET61" s="3">
        <v>0</v>
      </c>
      <c r="EU61" s="3">
        <v>0</v>
      </c>
      <c r="EV61" s="3">
        <v>320.23</v>
      </c>
      <c r="EW61" s="3">
        <v>30.44</v>
      </c>
      <c r="EX61" s="3">
        <v>0</v>
      </c>
      <c r="EY61" s="3">
        <v>0</v>
      </c>
      <c r="FQ61" s="3">
        <v>0</v>
      </c>
      <c r="FR61" s="3">
        <v>0</v>
      </c>
      <c r="FS61" s="3">
        <v>0</v>
      </c>
      <c r="FX61" s="3">
        <v>91</v>
      </c>
      <c r="FY61" s="3">
        <v>48</v>
      </c>
      <c r="GA61" s="3" t="s">
        <v>3</v>
      </c>
      <c r="GD61" s="3">
        <v>1</v>
      </c>
      <c r="GF61" s="3">
        <v>-1527708470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52"/>
        <v>0</v>
      </c>
      <c r="GM61" s="3">
        <f t="shared" si="53"/>
        <v>430232.17</v>
      </c>
      <c r="GN61" s="3">
        <f t="shared" si="54"/>
        <v>430232.17</v>
      </c>
      <c r="GO61" s="3">
        <f t="shared" si="55"/>
        <v>0</v>
      </c>
      <c r="GP61" s="3">
        <f t="shared" si="56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57"/>
        <v>0</v>
      </c>
      <c r="GW61" s="3">
        <v>1</v>
      </c>
      <c r="GX61" s="3">
        <f t="shared" si="58"/>
        <v>0</v>
      </c>
      <c r="HA61" s="3">
        <v>0</v>
      </c>
      <c r="HB61" s="3">
        <v>0</v>
      </c>
      <c r="HC61" s="3">
        <f t="shared" si="59"/>
        <v>0</v>
      </c>
      <c r="HE61" s="3" t="s">
        <v>3</v>
      </c>
      <c r="HF61" s="3" t="s">
        <v>3</v>
      </c>
      <c r="HM61" s="3" t="s">
        <v>3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17</v>
      </c>
      <c r="B62" s="2">
        <v>1</v>
      </c>
      <c r="C62" s="2">
        <f>ROW(SmtRes!A124)</f>
        <v>124</v>
      </c>
      <c r="D62" s="2">
        <f>ROW(EtalonRes!A164)</f>
        <v>164</v>
      </c>
      <c r="E62" s="2" t="s">
        <v>128</v>
      </c>
      <c r="F62" s="2" t="s">
        <v>129</v>
      </c>
      <c r="G62" s="2" t="s">
        <v>130</v>
      </c>
      <c r="H62" s="2" t="s">
        <v>117</v>
      </c>
      <c r="I62" s="2">
        <f>ROUND((642+150+2)/100,9)</f>
        <v>7.94</v>
      </c>
      <c r="J62" s="2">
        <v>0</v>
      </c>
      <c r="K62" s="2">
        <f>ROUND((642+150+2)/100,9)</f>
        <v>7.94</v>
      </c>
      <c r="L62" s="2"/>
      <c r="M62" s="2"/>
      <c r="N62" s="2"/>
      <c r="O62" s="2">
        <f t="shared" si="21"/>
        <v>892.62</v>
      </c>
      <c r="P62" s="2">
        <f t="shared" si="22"/>
        <v>0</v>
      </c>
      <c r="Q62" s="2">
        <f>(ROUND((ROUND(((((ET62*1.2)*0.3))*AV62*I62),2)*BB62),2)+ROUND((ROUND(((AE62-(((EU62*1.2)*0.3)))*AV62*I62),2)*BS62),2))</f>
        <v>12.12</v>
      </c>
      <c r="R62" s="2">
        <f>(ROUND((ROUND(((((EU62*1.2)*0.3))*AV62*I62),2)*BS62),2)+ROUND((ROUND(((AE62-(((EU62*1.2)*0.3)))*AV62*I62),2)*BS62),2))</f>
        <v>0</v>
      </c>
      <c r="S62" s="2">
        <f t="shared" si="25"/>
        <v>880.5</v>
      </c>
      <c r="T62" s="2">
        <f t="shared" si="26"/>
        <v>0</v>
      </c>
      <c r="U62" s="2">
        <f t="shared" si="27"/>
        <v>74.100361247999984</v>
      </c>
      <c r="V62" s="2">
        <f t="shared" si="28"/>
        <v>0</v>
      </c>
      <c r="W62" s="2">
        <f t="shared" si="29"/>
        <v>0</v>
      </c>
      <c r="X62" s="2">
        <f>(ROUND((((S62+ROUND((ROUND(((((EU62*1.2)*0.3))*AV62*I62),2)*BS62),2))*AT62)/100),2)+ROUND(((ROUND((ROUND(((AE62-(((EU62*1.2)*0.3)))*AV62*I62),2)*BS62),2)*AT62)/100),2))</f>
        <v>792.45</v>
      </c>
      <c r="Y62" s="2">
        <f>(ROUND((((S62+ROUND((ROUND(((((EU62*1.2)*0.3))*AV62*I62),2)*BS62),2))*AU62)/100),2)+ROUND(((ROUND((ROUND(((AE62-(((EU62*1.2)*0.3)))*AV62*I62),2)*BS62),2)*AU62)/100),2))</f>
        <v>405.03</v>
      </c>
      <c r="Z62" s="2"/>
      <c r="AA62" s="2">
        <v>57248835</v>
      </c>
      <c r="AB62" s="2">
        <f t="shared" si="32"/>
        <v>107.3736</v>
      </c>
      <c r="AC62" s="2">
        <f>ROUND((((ES62*1)*0)),6)</f>
        <v>0</v>
      </c>
      <c r="AD62" s="2">
        <f>ROUND((((((ET62*1.2)*0.3))-(((EU62*1.2)*0.3)))+AE62),6)</f>
        <v>1.458</v>
      </c>
      <c r="AE62" s="2">
        <f>ROUND((((EU62*1.2)*0.3)),6)</f>
        <v>0</v>
      </c>
      <c r="AF62" s="2">
        <f>ROUND((((EV62*1.2)*0.3)),6)</f>
        <v>105.9156</v>
      </c>
      <c r="AG62" s="2">
        <f t="shared" si="37"/>
        <v>0</v>
      </c>
      <c r="AH62" s="2">
        <f>(((EW62*1.2)*0.3))</f>
        <v>8.9135999999999989</v>
      </c>
      <c r="AI62" s="2">
        <f>(((EX62*1.2)*0.3))</f>
        <v>0</v>
      </c>
      <c r="AJ62" s="2">
        <f t="shared" si="40"/>
        <v>0</v>
      </c>
      <c r="AK62" s="2">
        <v>317.68</v>
      </c>
      <c r="AL62" s="2">
        <v>19.420000000000002</v>
      </c>
      <c r="AM62" s="2">
        <v>4.05</v>
      </c>
      <c r="AN62" s="2">
        <v>0</v>
      </c>
      <c r="AO62" s="2">
        <v>294.20999999999998</v>
      </c>
      <c r="AP62" s="2">
        <v>0</v>
      </c>
      <c r="AQ62" s="2">
        <v>24.76</v>
      </c>
      <c r="AR62" s="2">
        <v>0</v>
      </c>
      <c r="AS62" s="2">
        <v>0</v>
      </c>
      <c r="AT62" s="2">
        <v>90</v>
      </c>
      <c r="AU62" s="2">
        <v>46</v>
      </c>
      <c r="AV62" s="2">
        <v>1.0469999999999999</v>
      </c>
      <c r="AW62" s="2">
        <v>1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131</v>
      </c>
      <c r="BK62" s="2"/>
      <c r="BL62" s="2"/>
      <c r="BM62" s="2">
        <v>68</v>
      </c>
      <c r="BN62" s="2">
        <v>0</v>
      </c>
      <c r="BO62" s="2" t="s">
        <v>129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818</v>
      </c>
      <c r="CO62" s="2">
        <v>0</v>
      </c>
      <c r="CP62" s="2">
        <f t="shared" si="41"/>
        <v>892.62</v>
      </c>
      <c r="CQ62" s="2">
        <f t="shared" si="42"/>
        <v>0</v>
      </c>
      <c r="CR62" s="2">
        <f>(ROUND((ROUND(((((ET62*1.2)*0.3))*AV62*1),2)*BB62),2)+ROUND((ROUND(((AE62-(((EU62*1.2)*0.3)))*AV62*1),2)*BS62),2))</f>
        <v>1.53</v>
      </c>
      <c r="CS62" s="2">
        <f>(ROUND((ROUND(((((EU62*1.2)*0.3))*AV62*1),2)*BS62),2)+ROUND((ROUND(((AE62-(((EU62*1.2)*0.3)))*AV62*1),2)*BS62),2))</f>
        <v>0</v>
      </c>
      <c r="CT62" s="2">
        <f t="shared" si="45"/>
        <v>110.89</v>
      </c>
      <c r="CU62" s="2">
        <f t="shared" si="46"/>
        <v>0</v>
      </c>
      <c r="CV62" s="2">
        <f t="shared" si="47"/>
        <v>9.3325391999999976</v>
      </c>
      <c r="CW62" s="2">
        <f t="shared" si="48"/>
        <v>0</v>
      </c>
      <c r="CX62" s="2">
        <f t="shared" si="49"/>
        <v>0</v>
      </c>
      <c r="CY62" s="2">
        <f>(ROUND((((S62+ROUND((ROUND(((((EU62*1.2)*0.3))*AV62*1),2)*BS62),2))*AT62)/100),2)+ROUND(((ROUND((ROUND(((AE62-(((EU62*1.2)*0.3)))*AV62*1),2)*BS62),2)*AT62)/100),2))</f>
        <v>792.45</v>
      </c>
      <c r="CZ62" s="2">
        <f>(ROUND((((S62+ROUND((ROUND(((((EU62*1.2)*0.3))*AV62*1),2)*BS62),2))*AU62)/100),2)+ROUND(((ROUND((ROUND(((AE62-(((EU62*1.2)*0.3)))*AV62*1),2)*BS62),2)*AU62)/100),2))</f>
        <v>405.03</v>
      </c>
      <c r="DA62" s="2"/>
      <c r="DB62" s="2">
        <v>65</v>
      </c>
      <c r="DC62" s="2" t="s">
        <v>3</v>
      </c>
      <c r="DD62" s="2" t="s">
        <v>31</v>
      </c>
      <c r="DE62" s="2" t="s">
        <v>32</v>
      </c>
      <c r="DF62" s="2" t="s">
        <v>32</v>
      </c>
      <c r="DG62" s="2" t="s">
        <v>32</v>
      </c>
      <c r="DH62" s="2" t="s">
        <v>3</v>
      </c>
      <c r="DI62" s="2" t="s">
        <v>32</v>
      </c>
      <c r="DJ62" s="2" t="s">
        <v>32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1003</v>
      </c>
      <c r="DV62" s="2" t="s">
        <v>117</v>
      </c>
      <c r="DW62" s="2" t="s">
        <v>117</v>
      </c>
      <c r="DX62" s="2">
        <v>100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57248652</v>
      </c>
      <c r="EF62" s="2">
        <v>40</v>
      </c>
      <c r="EG62" s="2" t="s">
        <v>33</v>
      </c>
      <c r="EH62" s="2">
        <v>0</v>
      </c>
      <c r="EI62" s="2" t="s">
        <v>3</v>
      </c>
      <c r="EJ62" s="2">
        <v>2</v>
      </c>
      <c r="EK62" s="2">
        <v>68</v>
      </c>
      <c r="EL62" s="2" t="s">
        <v>34</v>
      </c>
      <c r="EM62" s="2" t="s">
        <v>35</v>
      </c>
      <c r="EN62" s="2"/>
      <c r="EO62" s="2" t="s">
        <v>36</v>
      </c>
      <c r="EP62" s="2"/>
      <c r="EQ62" s="2">
        <v>0</v>
      </c>
      <c r="ER62" s="2">
        <v>317.68</v>
      </c>
      <c r="ES62" s="2">
        <v>19.420000000000002</v>
      </c>
      <c r="ET62" s="2">
        <v>4.05</v>
      </c>
      <c r="EU62" s="2">
        <v>0</v>
      </c>
      <c r="EV62" s="2">
        <v>294.20999999999998</v>
      </c>
      <c r="EW62" s="2">
        <v>24.76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0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905116027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52"/>
        <v>0</v>
      </c>
      <c r="GM62" s="2">
        <f t="shared" si="53"/>
        <v>2090.1</v>
      </c>
      <c r="GN62" s="2">
        <f t="shared" si="54"/>
        <v>0</v>
      </c>
      <c r="GO62" s="2">
        <f t="shared" si="55"/>
        <v>2090.1</v>
      </c>
      <c r="GP62" s="2">
        <f t="shared" si="56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57"/>
        <v>0</v>
      </c>
      <c r="GW62" s="2">
        <v>1</v>
      </c>
      <c r="GX62" s="2">
        <f t="shared" si="58"/>
        <v>0</v>
      </c>
      <c r="GY62" s="2"/>
      <c r="GZ62" s="2"/>
      <c r="HA62" s="2">
        <v>0</v>
      </c>
      <c r="HB62" s="2">
        <v>0</v>
      </c>
      <c r="HC62" s="2">
        <f t="shared" si="59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17</v>
      </c>
      <c r="B63" s="3">
        <v>1</v>
      </c>
      <c r="C63" s="3">
        <f>ROW(SmtRes!A130)</f>
        <v>130</v>
      </c>
      <c r="D63" s="3">
        <f>ROW(EtalonRes!A174)</f>
        <v>174</v>
      </c>
      <c r="E63" s="3" t="s">
        <v>128</v>
      </c>
      <c r="F63" s="3" t="s">
        <v>129</v>
      </c>
      <c r="G63" s="3" t="s">
        <v>130</v>
      </c>
      <c r="H63" s="3" t="s">
        <v>117</v>
      </c>
      <c r="I63" s="3">
        <f>ROUND((642+150+2)/100,9)</f>
        <v>7.94</v>
      </c>
      <c r="J63" s="3">
        <v>0</v>
      </c>
      <c r="K63" s="3">
        <f>ROUND((642+150+2)/100,9)</f>
        <v>7.94</v>
      </c>
      <c r="O63" s="3">
        <f t="shared" si="21"/>
        <v>49732.77</v>
      </c>
      <c r="P63" s="3">
        <f t="shared" si="22"/>
        <v>0</v>
      </c>
      <c r="Q63" s="3">
        <f>(ROUND((ROUND(((((ET63*1.2)*0.3))*AV63*I63),2)*BB63),2)+ROUND((ROUND(((AE63-(((EU63*1.2)*0.3)))*AV63*I63),2)*BS63),2))</f>
        <v>116.59</v>
      </c>
      <c r="R63" s="3">
        <f>(ROUND((ROUND(((((EU63*1.2)*0.3))*AV63*I63),2)*BS63),2)+ROUND((ROUND(((AE63-(((EU63*1.2)*0.3)))*AV63*I63),2)*BS63),2))</f>
        <v>0</v>
      </c>
      <c r="S63" s="3">
        <f t="shared" si="25"/>
        <v>49616.18</v>
      </c>
      <c r="T63" s="3">
        <f t="shared" si="26"/>
        <v>0</v>
      </c>
      <c r="U63" s="3">
        <f t="shared" si="27"/>
        <v>74.100361247999984</v>
      </c>
      <c r="V63" s="3">
        <f t="shared" si="28"/>
        <v>0</v>
      </c>
      <c r="W63" s="3">
        <f t="shared" si="29"/>
        <v>0</v>
      </c>
      <c r="X63" s="3">
        <f>(ROUND((((S63+ROUND((ROUND(((((EU63*1.2)*0.3))*AV63*I63),2)*BS63),2))*AT63)/100),2)+ROUND(((ROUND((ROUND(((AE63-(((EU63*1.2)*0.3)))*AV63*I63),2)*BS63),2)*AT63)/100),2))</f>
        <v>44654.559999999998</v>
      </c>
      <c r="Y63" s="3">
        <f>(ROUND((((S63+ROUND((ROUND(((((EU63*1.2)*0.3))*AV63*I63),2)*BS63),2))*AU63)/100),2)+ROUND(((ROUND((ROUND(((AE63-(((EU63*1.2)*0.3)))*AV63*I63),2)*BS63),2)*AU63)/100),2))</f>
        <v>22823.439999999999</v>
      </c>
      <c r="AA63" s="3">
        <v>57248837</v>
      </c>
      <c r="AB63" s="3">
        <f t="shared" si="32"/>
        <v>107.3736</v>
      </c>
      <c r="AC63" s="3">
        <f>ROUND((((ES63*1)*0)),6)</f>
        <v>0</v>
      </c>
      <c r="AD63" s="3">
        <f>ROUND((((((ET63*1.2)*0.3))-(((EU63*1.2)*0.3)))+AE63),6)</f>
        <v>1.458</v>
      </c>
      <c r="AE63" s="3">
        <f>ROUND((((EU63*1.2)*0.3)),6)</f>
        <v>0</v>
      </c>
      <c r="AF63" s="3">
        <f>ROUND((((EV63*1.2)*0.3)),6)</f>
        <v>105.9156</v>
      </c>
      <c r="AG63" s="3">
        <f t="shared" si="37"/>
        <v>0</v>
      </c>
      <c r="AH63" s="3">
        <f>(((EW63*1.2)*0.3))</f>
        <v>8.9135999999999989</v>
      </c>
      <c r="AI63" s="3">
        <f>(((EX63*1.2)*0.3))</f>
        <v>0</v>
      </c>
      <c r="AJ63" s="3">
        <f t="shared" si="40"/>
        <v>0</v>
      </c>
      <c r="AK63" s="3">
        <v>317.68</v>
      </c>
      <c r="AL63" s="3">
        <v>19.420000000000002</v>
      </c>
      <c r="AM63" s="3">
        <v>4.05</v>
      </c>
      <c r="AN63" s="3">
        <v>0</v>
      </c>
      <c r="AO63" s="3">
        <v>294.20999999999998</v>
      </c>
      <c r="AP63" s="3">
        <v>0</v>
      </c>
      <c r="AQ63" s="3">
        <v>24.76</v>
      </c>
      <c r="AR63" s="3">
        <v>0</v>
      </c>
      <c r="AS63" s="3">
        <v>0</v>
      </c>
      <c r="AT63" s="3">
        <v>90</v>
      </c>
      <c r="AU63" s="3">
        <v>46</v>
      </c>
      <c r="AV63" s="3">
        <v>1.0469999999999999</v>
      </c>
      <c r="AW63" s="3">
        <v>1</v>
      </c>
      <c r="AZ63" s="3">
        <v>1</v>
      </c>
      <c r="BA63" s="3">
        <v>56.35</v>
      </c>
      <c r="BB63" s="3">
        <v>9.6199999999999992</v>
      </c>
      <c r="BC63" s="3">
        <v>6.54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2</v>
      </c>
      <c r="BJ63" s="3" t="s">
        <v>131</v>
      </c>
      <c r="BM63" s="3">
        <v>68</v>
      </c>
      <c r="BN63" s="3">
        <v>0</v>
      </c>
      <c r="BO63" s="3" t="s">
        <v>129</v>
      </c>
      <c r="BP63" s="3">
        <v>1</v>
      </c>
      <c r="BQ63" s="3">
        <v>40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818</v>
      </c>
      <c r="CO63" s="3">
        <v>0</v>
      </c>
      <c r="CP63" s="3">
        <f t="shared" si="41"/>
        <v>49732.77</v>
      </c>
      <c r="CQ63" s="3">
        <f t="shared" si="42"/>
        <v>0</v>
      </c>
      <c r="CR63" s="3">
        <f>(ROUND((ROUND(((((ET63*1.2)*0.3))*AV63*1),2)*BB63),2)+ROUND((ROUND(((AE63-(((EU63*1.2)*0.3)))*AV63*1),2)*BS63),2))</f>
        <v>14.72</v>
      </c>
      <c r="CS63" s="3">
        <f>(ROUND((ROUND(((((EU63*1.2)*0.3))*AV63*1),2)*BS63),2)+ROUND((ROUND(((AE63-(((EU63*1.2)*0.3)))*AV63*1),2)*BS63),2))</f>
        <v>0</v>
      </c>
      <c r="CT63" s="3">
        <f t="shared" si="45"/>
        <v>6248.65</v>
      </c>
      <c r="CU63" s="3">
        <f t="shared" si="46"/>
        <v>0</v>
      </c>
      <c r="CV63" s="3">
        <f t="shared" si="47"/>
        <v>9.3325391999999976</v>
      </c>
      <c r="CW63" s="3">
        <f t="shared" si="48"/>
        <v>0</v>
      </c>
      <c r="CX63" s="3">
        <f t="shared" si="49"/>
        <v>0</v>
      </c>
      <c r="CY63" s="3">
        <f>(ROUND((((S63+ROUND((ROUND(((((EU63*1.2)*0.3))*AV63*1),2)*BS63),2))*AT63)/100),2)+ROUND(((ROUND((ROUND(((AE63-(((EU63*1.2)*0.3)))*AV63*1),2)*BS63),2)*AT63)/100),2))</f>
        <v>44654.559999999998</v>
      </c>
      <c r="CZ63" s="3">
        <f>(ROUND((((S63+ROUND((ROUND(((((EU63*1.2)*0.3))*AV63*1),2)*BS63),2))*AU63)/100),2)+ROUND(((ROUND((ROUND(((AE63-(((EU63*1.2)*0.3)))*AV63*1),2)*BS63),2)*AU63)/100),2))</f>
        <v>22823.439999999999</v>
      </c>
      <c r="DB63" s="3">
        <v>67</v>
      </c>
      <c r="DC63" s="3" t="s">
        <v>3</v>
      </c>
      <c r="DD63" s="3" t="s">
        <v>31</v>
      </c>
      <c r="DE63" s="3" t="s">
        <v>32</v>
      </c>
      <c r="DF63" s="3" t="s">
        <v>32</v>
      </c>
      <c r="DG63" s="3" t="s">
        <v>32</v>
      </c>
      <c r="DH63" s="3" t="s">
        <v>3</v>
      </c>
      <c r="DI63" s="3" t="s">
        <v>32</v>
      </c>
      <c r="DJ63" s="3" t="s">
        <v>32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1003</v>
      </c>
      <c r="DV63" s="3" t="s">
        <v>117</v>
      </c>
      <c r="DW63" s="3" t="s">
        <v>117</v>
      </c>
      <c r="DX63" s="3">
        <v>100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57248652</v>
      </c>
      <c r="EF63" s="3">
        <v>40</v>
      </c>
      <c r="EG63" s="3" t="s">
        <v>33</v>
      </c>
      <c r="EH63" s="3">
        <v>0</v>
      </c>
      <c r="EI63" s="3" t="s">
        <v>3</v>
      </c>
      <c r="EJ63" s="3">
        <v>2</v>
      </c>
      <c r="EK63" s="3">
        <v>68</v>
      </c>
      <c r="EL63" s="3" t="s">
        <v>34</v>
      </c>
      <c r="EM63" s="3" t="s">
        <v>35</v>
      </c>
      <c r="EO63" s="3" t="s">
        <v>36</v>
      </c>
      <c r="EQ63" s="3">
        <v>0</v>
      </c>
      <c r="ER63" s="3">
        <v>317.68</v>
      </c>
      <c r="ES63" s="3">
        <v>19.420000000000002</v>
      </c>
      <c r="ET63" s="3">
        <v>4.05</v>
      </c>
      <c r="EU63" s="3">
        <v>0</v>
      </c>
      <c r="EV63" s="3">
        <v>294.20999999999998</v>
      </c>
      <c r="EW63" s="3">
        <v>24.76</v>
      </c>
      <c r="EX63" s="3">
        <v>0</v>
      </c>
      <c r="EY63" s="3">
        <v>0</v>
      </c>
      <c r="FQ63" s="3">
        <v>0</v>
      </c>
      <c r="FR63" s="3">
        <v>0</v>
      </c>
      <c r="FS63" s="3">
        <v>0</v>
      </c>
      <c r="FX63" s="3">
        <v>90</v>
      </c>
      <c r="FY63" s="3">
        <v>46</v>
      </c>
      <c r="GA63" s="3" t="s">
        <v>3</v>
      </c>
      <c r="GD63" s="3">
        <v>1</v>
      </c>
      <c r="GF63" s="3">
        <v>905116027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52"/>
        <v>0</v>
      </c>
      <c r="GM63" s="3">
        <f t="shared" si="53"/>
        <v>117210.77</v>
      </c>
      <c r="GN63" s="3">
        <f t="shared" si="54"/>
        <v>0</v>
      </c>
      <c r="GO63" s="3">
        <f t="shared" si="55"/>
        <v>117210.77</v>
      </c>
      <c r="GP63" s="3">
        <f t="shared" si="56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57"/>
        <v>0</v>
      </c>
      <c r="GW63" s="3">
        <v>1</v>
      </c>
      <c r="GX63" s="3">
        <f t="shared" si="58"/>
        <v>0</v>
      </c>
      <c r="HA63" s="3">
        <v>0</v>
      </c>
      <c r="HB63" s="3">
        <v>0</v>
      </c>
      <c r="HC63" s="3">
        <f t="shared" si="59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5" spans="1:206" x14ac:dyDescent="0.2">
      <c r="A65" s="11">
        <v>51</v>
      </c>
      <c r="B65" s="11">
        <f>B24</f>
        <v>1</v>
      </c>
      <c r="C65" s="11">
        <f>A24</f>
        <v>4</v>
      </c>
      <c r="D65" s="11">
        <f>ROW(A24)</f>
        <v>24</v>
      </c>
      <c r="E65" s="11"/>
      <c r="F65" s="11" t="str">
        <f>IF(F24&lt;&gt;"",F24,"")</f>
        <v>Новый раздел</v>
      </c>
      <c r="G65" s="11" t="str">
        <f>IF(G24&lt;&gt;"",G24,"")</f>
        <v>Демонтажные работы (Письмо от АНО «РГТ» об утверждении объёмов демонтажных работ)</v>
      </c>
      <c r="H65" s="11">
        <v>0</v>
      </c>
      <c r="I65" s="11"/>
      <c r="J65" s="11"/>
      <c r="K65" s="11"/>
      <c r="L65" s="11"/>
      <c r="M65" s="11"/>
      <c r="N65" s="11"/>
      <c r="O65" s="11">
        <f t="shared" ref="O65:T65" si="74">ROUND(AB65,2)</f>
        <v>1792.39</v>
      </c>
      <c r="P65" s="11">
        <f t="shared" si="74"/>
        <v>137.83000000000001</v>
      </c>
      <c r="Q65" s="11">
        <f t="shared" si="74"/>
        <v>56.61</v>
      </c>
      <c r="R65" s="11">
        <f t="shared" si="74"/>
        <v>6.52</v>
      </c>
      <c r="S65" s="11">
        <f t="shared" si="74"/>
        <v>1597.95</v>
      </c>
      <c r="T65" s="11">
        <f t="shared" si="74"/>
        <v>0</v>
      </c>
      <c r="U65" s="11">
        <f>AH65</f>
        <v>132.07903948799998</v>
      </c>
      <c r="V65" s="11">
        <f>AI65</f>
        <v>0</v>
      </c>
      <c r="W65" s="11">
        <f>ROUND(AJ65,2)</f>
        <v>0</v>
      </c>
      <c r="X65" s="11">
        <f>ROUND(AK65,2)</f>
        <v>1466.68</v>
      </c>
      <c r="Y65" s="11">
        <f>ROUND(AL65,2)</f>
        <v>769.13</v>
      </c>
      <c r="Z65" s="11"/>
      <c r="AA65" s="11"/>
      <c r="AB65" s="11">
        <f>ROUND(SUMIF(AA28:AA63,"=57248835",O28:O63),2)</f>
        <v>1792.39</v>
      </c>
      <c r="AC65" s="11">
        <f>ROUND(SUMIF(AA28:AA63,"=57248835",P28:P63),2)</f>
        <v>137.83000000000001</v>
      </c>
      <c r="AD65" s="11">
        <f>ROUND(SUMIF(AA28:AA63,"=57248835",Q28:Q63),2)</f>
        <v>56.61</v>
      </c>
      <c r="AE65" s="11">
        <f>ROUND(SUMIF(AA28:AA63,"=57248835",R28:R63),2)</f>
        <v>6.52</v>
      </c>
      <c r="AF65" s="11">
        <f>ROUND(SUMIF(AA28:AA63,"=57248835",S28:S63),2)</f>
        <v>1597.95</v>
      </c>
      <c r="AG65" s="11">
        <f>ROUND(SUMIF(AA28:AA63,"=57248835",T28:T63),2)</f>
        <v>0</v>
      </c>
      <c r="AH65" s="11">
        <f>SUMIF(AA28:AA63,"=57248835",U28:U63)</f>
        <v>132.07903948799998</v>
      </c>
      <c r="AI65" s="11">
        <f>SUMIF(AA28:AA63,"=57248835",V28:V63)</f>
        <v>0</v>
      </c>
      <c r="AJ65" s="11">
        <f>ROUND(SUMIF(AA28:AA63,"=57248835",W28:W63),2)</f>
        <v>0</v>
      </c>
      <c r="AK65" s="11">
        <f>ROUND(SUMIF(AA28:AA63,"=57248835",X28:X63),2)</f>
        <v>1466.68</v>
      </c>
      <c r="AL65" s="11">
        <f>ROUND(SUMIF(AA28:AA63,"=57248835",Y28:Y63),2)</f>
        <v>769.13</v>
      </c>
      <c r="AM65" s="11"/>
      <c r="AN65" s="11"/>
      <c r="AO65" s="11">
        <f t="shared" ref="AO65:BD65" si="75">ROUND(BX65,2)</f>
        <v>0</v>
      </c>
      <c r="AP65" s="11">
        <f t="shared" si="75"/>
        <v>0</v>
      </c>
      <c r="AQ65" s="11">
        <f t="shared" si="75"/>
        <v>0</v>
      </c>
      <c r="AR65" s="11">
        <f t="shared" si="75"/>
        <v>4028.2</v>
      </c>
      <c r="AS65" s="11">
        <f t="shared" si="75"/>
        <v>770.88</v>
      </c>
      <c r="AT65" s="11">
        <f t="shared" si="75"/>
        <v>3257.32</v>
      </c>
      <c r="AU65" s="11">
        <f t="shared" si="75"/>
        <v>0</v>
      </c>
      <c r="AV65" s="11">
        <f t="shared" si="75"/>
        <v>137.83000000000001</v>
      </c>
      <c r="AW65" s="11">
        <f t="shared" si="75"/>
        <v>137.83000000000001</v>
      </c>
      <c r="AX65" s="11">
        <f t="shared" si="75"/>
        <v>0</v>
      </c>
      <c r="AY65" s="11">
        <f t="shared" si="75"/>
        <v>137.83000000000001</v>
      </c>
      <c r="AZ65" s="11">
        <f t="shared" si="75"/>
        <v>0</v>
      </c>
      <c r="BA65" s="11">
        <f t="shared" si="75"/>
        <v>0</v>
      </c>
      <c r="BB65" s="11">
        <f t="shared" si="75"/>
        <v>0</v>
      </c>
      <c r="BC65" s="11">
        <f t="shared" si="75"/>
        <v>0</v>
      </c>
      <c r="BD65" s="11">
        <f t="shared" si="75"/>
        <v>0</v>
      </c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>
        <f>ROUND(SUMIF(AA28:AA63,"=57248835",FQ28:FQ63),2)</f>
        <v>0</v>
      </c>
      <c r="BY65" s="11">
        <f>ROUND(SUMIF(AA28:AA63,"=57248835",FR28:FR63),2)</f>
        <v>0</v>
      </c>
      <c r="BZ65" s="11">
        <f>ROUND(SUMIF(AA28:AA63,"=57248835",GL28:GL63),2)</f>
        <v>0</v>
      </c>
      <c r="CA65" s="11">
        <f>ROUND(SUMIF(AA28:AA63,"=57248835",GM28:GM63),2)</f>
        <v>4028.2</v>
      </c>
      <c r="CB65" s="11">
        <f>ROUND(SUMIF(AA28:AA63,"=57248835",GN28:GN63),2)</f>
        <v>770.88</v>
      </c>
      <c r="CC65" s="11">
        <f>ROUND(SUMIF(AA28:AA63,"=57248835",GO28:GO63),2)</f>
        <v>3257.32</v>
      </c>
      <c r="CD65" s="11">
        <f>ROUND(SUMIF(AA28:AA63,"=57248835",GP28:GP63),2)</f>
        <v>0</v>
      </c>
      <c r="CE65" s="11">
        <f>AC65-BX65</f>
        <v>137.83000000000001</v>
      </c>
      <c r="CF65" s="11">
        <f>AC65-BY65</f>
        <v>137.83000000000001</v>
      </c>
      <c r="CG65" s="11">
        <f>BX65-BZ65</f>
        <v>0</v>
      </c>
      <c r="CH65" s="11">
        <f>AC65-BX65-BY65+BZ65</f>
        <v>137.83000000000001</v>
      </c>
      <c r="CI65" s="11">
        <f>BY65-BZ65</f>
        <v>0</v>
      </c>
      <c r="CJ65" s="11">
        <f>ROUND(SUMIF(AA28:AA63,"=57248835",GX28:GX63),2)</f>
        <v>0</v>
      </c>
      <c r="CK65" s="11">
        <f>ROUND(SUMIF(AA28:AA63,"=57248835",GY28:GY63),2)</f>
        <v>0</v>
      </c>
      <c r="CL65" s="11">
        <f>ROUND(SUMIF(AA28:AA63,"=57248835",GZ28:GZ63),2)</f>
        <v>0</v>
      </c>
      <c r="CM65" s="11">
        <f>ROUND(SUMIF(AA28:AA63,"=57248835",HD28:HD63),2)</f>
        <v>0</v>
      </c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2">
        <f t="shared" ref="DG65:DL65" si="76">ROUND(DT65,2)</f>
        <v>91756.87</v>
      </c>
      <c r="DH65" s="12">
        <f t="shared" si="76"/>
        <v>848.58</v>
      </c>
      <c r="DI65" s="12">
        <f t="shared" si="76"/>
        <v>863.8</v>
      </c>
      <c r="DJ65" s="12">
        <f t="shared" si="76"/>
        <v>367.4</v>
      </c>
      <c r="DK65" s="12">
        <f t="shared" si="76"/>
        <v>90044.49</v>
      </c>
      <c r="DL65" s="12">
        <f t="shared" si="76"/>
        <v>0</v>
      </c>
      <c r="DM65" s="12">
        <f>DZ65</f>
        <v>132.07903948799998</v>
      </c>
      <c r="DN65" s="12">
        <f>EA65</f>
        <v>0</v>
      </c>
      <c r="DO65" s="12">
        <f>ROUND(EB65,2)</f>
        <v>0</v>
      </c>
      <c r="DP65" s="12">
        <f>ROUND(EC65,2)</f>
        <v>82648.31</v>
      </c>
      <c r="DQ65" s="12">
        <f>ROUND(ED65,2)</f>
        <v>43341.39</v>
      </c>
      <c r="DR65" s="12"/>
      <c r="DS65" s="12"/>
      <c r="DT65" s="12">
        <f>ROUND(SUMIF(AA28:AA63,"=57248837",O28:O63),2)</f>
        <v>91756.87</v>
      </c>
      <c r="DU65" s="12">
        <f>ROUND(SUMIF(AA28:AA63,"=57248837",P28:P63),2)</f>
        <v>848.58</v>
      </c>
      <c r="DV65" s="12">
        <f>ROUND(SUMIF(AA28:AA63,"=57248837",Q28:Q63),2)</f>
        <v>863.8</v>
      </c>
      <c r="DW65" s="12">
        <f>ROUND(SUMIF(AA28:AA63,"=57248837",R28:R63),2)</f>
        <v>367.4</v>
      </c>
      <c r="DX65" s="12">
        <f>ROUND(SUMIF(AA28:AA63,"=57248837",S28:S63),2)</f>
        <v>90044.49</v>
      </c>
      <c r="DY65" s="12">
        <f>ROUND(SUMIF(AA28:AA63,"=57248837",T28:T63),2)</f>
        <v>0</v>
      </c>
      <c r="DZ65" s="12">
        <f>SUMIF(AA28:AA63,"=57248837",U28:U63)</f>
        <v>132.07903948799998</v>
      </c>
      <c r="EA65" s="12">
        <f>SUMIF(AA28:AA63,"=57248837",V28:V63)</f>
        <v>0</v>
      </c>
      <c r="EB65" s="12">
        <f>ROUND(SUMIF(AA28:AA63,"=57248837",W28:W63),2)</f>
        <v>0</v>
      </c>
      <c r="EC65" s="12">
        <f>ROUND(SUMIF(AA28:AA63,"=57248837",X28:X63),2)</f>
        <v>82648.31</v>
      </c>
      <c r="ED65" s="12">
        <f>ROUND(SUMIF(AA28:AA63,"=57248837",Y28:Y63),2)</f>
        <v>43341.39</v>
      </c>
      <c r="EE65" s="12"/>
      <c r="EF65" s="12"/>
      <c r="EG65" s="12">
        <f t="shared" ref="EG65:EV65" si="77">ROUND(FP65,2)</f>
        <v>0</v>
      </c>
      <c r="EH65" s="12">
        <f t="shared" si="77"/>
        <v>0</v>
      </c>
      <c r="EI65" s="12">
        <f t="shared" si="77"/>
        <v>0</v>
      </c>
      <c r="EJ65" s="12">
        <f t="shared" si="77"/>
        <v>217746.57</v>
      </c>
      <c r="EK65" s="12">
        <f t="shared" si="77"/>
        <v>34975.129999999997</v>
      </c>
      <c r="EL65" s="12">
        <f t="shared" si="77"/>
        <v>182771.44</v>
      </c>
      <c r="EM65" s="12">
        <f t="shared" si="77"/>
        <v>0</v>
      </c>
      <c r="EN65" s="12">
        <f t="shared" si="77"/>
        <v>848.58</v>
      </c>
      <c r="EO65" s="12">
        <f t="shared" si="77"/>
        <v>848.58</v>
      </c>
      <c r="EP65" s="12">
        <f t="shared" si="77"/>
        <v>0</v>
      </c>
      <c r="EQ65" s="12">
        <f t="shared" si="77"/>
        <v>848.58</v>
      </c>
      <c r="ER65" s="12">
        <f t="shared" si="77"/>
        <v>0</v>
      </c>
      <c r="ES65" s="12">
        <f t="shared" si="77"/>
        <v>0</v>
      </c>
      <c r="ET65" s="12">
        <f t="shared" si="77"/>
        <v>0</v>
      </c>
      <c r="EU65" s="12">
        <f t="shared" si="77"/>
        <v>0</v>
      </c>
      <c r="EV65" s="12">
        <f t="shared" si="77"/>
        <v>0</v>
      </c>
      <c r="EW65" s="12"/>
      <c r="EX65" s="12"/>
      <c r="EY65" s="12"/>
      <c r="EZ65" s="12"/>
      <c r="FA65" s="12"/>
      <c r="FB65" s="12"/>
      <c r="FC65" s="12"/>
      <c r="FD65" s="12"/>
      <c r="FE65" s="12"/>
      <c r="FF65" s="12"/>
      <c r="FG65" s="12"/>
      <c r="FH65" s="12"/>
      <c r="FI65" s="12"/>
      <c r="FJ65" s="12"/>
      <c r="FK65" s="12"/>
      <c r="FL65" s="12"/>
      <c r="FM65" s="12"/>
      <c r="FN65" s="12"/>
      <c r="FO65" s="12"/>
      <c r="FP65" s="12">
        <f>ROUND(SUMIF(AA28:AA63,"=57248837",FQ28:FQ63),2)</f>
        <v>0</v>
      </c>
      <c r="FQ65" s="12">
        <f>ROUND(SUMIF(AA28:AA63,"=57248837",FR28:FR63),2)</f>
        <v>0</v>
      </c>
      <c r="FR65" s="12">
        <f>ROUND(SUMIF(AA28:AA63,"=57248837",GL28:GL63),2)</f>
        <v>0</v>
      </c>
      <c r="FS65" s="12">
        <f>ROUND(SUMIF(AA28:AA63,"=57248837",GM28:GM63),2)</f>
        <v>217746.57</v>
      </c>
      <c r="FT65" s="12">
        <f>ROUND(SUMIF(AA28:AA63,"=57248837",GN28:GN63),2)</f>
        <v>34975.129999999997</v>
      </c>
      <c r="FU65" s="12">
        <f>ROUND(SUMIF(AA28:AA63,"=57248837",GO28:GO63),2)</f>
        <v>182771.44</v>
      </c>
      <c r="FV65" s="12">
        <f>ROUND(SUMIF(AA28:AA63,"=57248837",GP28:GP63),2)</f>
        <v>0</v>
      </c>
      <c r="FW65" s="12">
        <f>DU65-FP65</f>
        <v>848.58</v>
      </c>
      <c r="FX65" s="12">
        <f>DU65-FQ65</f>
        <v>848.58</v>
      </c>
      <c r="FY65" s="12">
        <f>FP65-FR65</f>
        <v>0</v>
      </c>
      <c r="FZ65" s="12">
        <f>DU65-FP65-FQ65+FR65</f>
        <v>848.58</v>
      </c>
      <c r="GA65" s="12">
        <f>FQ65-FR65</f>
        <v>0</v>
      </c>
      <c r="GB65" s="12">
        <f>ROUND(SUMIF(AA28:AA63,"=57248837",GX28:GX63),2)</f>
        <v>0</v>
      </c>
      <c r="GC65" s="12">
        <f>ROUND(SUMIF(AA28:AA63,"=57248837",GY28:GY63),2)</f>
        <v>0</v>
      </c>
      <c r="GD65" s="12">
        <f>ROUND(SUMIF(AA28:AA63,"=57248837",GZ28:GZ63),2)</f>
        <v>0</v>
      </c>
      <c r="GE65" s="12">
        <f>ROUND(SUMIF(AA28:AA63,"=57248837",HD28:HD63),2)</f>
        <v>0</v>
      </c>
      <c r="GF65" s="12"/>
      <c r="GG65" s="12"/>
      <c r="GH65" s="12"/>
      <c r="GI65" s="12"/>
      <c r="GJ65" s="12"/>
      <c r="GK65" s="12"/>
      <c r="GL65" s="12"/>
      <c r="GM65" s="12"/>
      <c r="GN65" s="12"/>
      <c r="GO65" s="12"/>
      <c r="GP65" s="12"/>
      <c r="GQ65" s="12"/>
      <c r="GR65" s="12"/>
      <c r="GS65" s="12"/>
      <c r="GT65" s="12"/>
      <c r="GU65" s="12"/>
      <c r="GV65" s="12"/>
      <c r="GW65" s="12"/>
      <c r="GX65" s="12">
        <v>0</v>
      </c>
    </row>
    <row r="67" spans="1:206" x14ac:dyDescent="0.2">
      <c r="A67" s="13">
        <v>50</v>
      </c>
      <c r="B67" s="13">
        <v>0</v>
      </c>
      <c r="C67" s="13">
        <v>0</v>
      </c>
      <c r="D67" s="13">
        <v>1</v>
      </c>
      <c r="E67" s="13">
        <v>201</v>
      </c>
      <c r="F67" s="13">
        <f>ROUND(Source!O65,O67)</f>
        <v>1792.39</v>
      </c>
      <c r="G67" s="13" t="s">
        <v>132</v>
      </c>
      <c r="H67" s="13" t="s">
        <v>133</v>
      </c>
      <c r="I67" s="13"/>
      <c r="J67" s="13"/>
      <c r="K67" s="13">
        <v>201</v>
      </c>
      <c r="L67" s="13">
        <v>1</v>
      </c>
      <c r="M67" s="13">
        <v>3</v>
      </c>
      <c r="N67" s="13" t="s">
        <v>3</v>
      </c>
      <c r="O67" s="13">
        <v>2</v>
      </c>
      <c r="P67" s="13">
        <f>ROUND(Source!DG65,O67)</f>
        <v>91756.87</v>
      </c>
      <c r="Q67" s="13"/>
      <c r="R67" s="13"/>
      <c r="S67" s="13"/>
      <c r="T67" s="13"/>
      <c r="U67" s="13"/>
      <c r="V67" s="13"/>
      <c r="W67" s="13">
        <v>1792.39</v>
      </c>
      <c r="X67" s="13">
        <v>1</v>
      </c>
      <c r="Y67" s="13">
        <v>1792.39</v>
      </c>
      <c r="Z67" s="13">
        <v>91756.87</v>
      </c>
      <c r="AA67" s="13">
        <v>1</v>
      </c>
      <c r="AB67" s="13">
        <v>91756.87</v>
      </c>
    </row>
    <row r="68" spans="1:206" x14ac:dyDescent="0.2">
      <c r="A68" s="13">
        <v>50</v>
      </c>
      <c r="B68" s="13">
        <v>0</v>
      </c>
      <c r="C68" s="13">
        <v>0</v>
      </c>
      <c r="D68" s="13">
        <v>1</v>
      </c>
      <c r="E68" s="13">
        <v>202</v>
      </c>
      <c r="F68" s="13">
        <f>ROUND(Source!P65,O68)</f>
        <v>137.83000000000001</v>
      </c>
      <c r="G68" s="13" t="s">
        <v>134</v>
      </c>
      <c r="H68" s="13" t="s">
        <v>135</v>
      </c>
      <c r="I68" s="13"/>
      <c r="J68" s="13"/>
      <c r="K68" s="13">
        <v>202</v>
      </c>
      <c r="L68" s="13">
        <v>2</v>
      </c>
      <c r="M68" s="13">
        <v>3</v>
      </c>
      <c r="N68" s="13" t="s">
        <v>3</v>
      </c>
      <c r="O68" s="13">
        <v>2</v>
      </c>
      <c r="P68" s="13">
        <f>ROUND(Source!DH65,O68)</f>
        <v>848.58</v>
      </c>
      <c r="Q68" s="13"/>
      <c r="R68" s="13"/>
      <c r="S68" s="13"/>
      <c r="T68" s="13"/>
      <c r="U68" s="13"/>
      <c r="V68" s="13"/>
      <c r="W68" s="13">
        <v>137.83000000000001</v>
      </c>
      <c r="X68" s="13">
        <v>1</v>
      </c>
      <c r="Y68" s="13">
        <v>137.83000000000001</v>
      </c>
      <c r="Z68" s="13">
        <v>848.58</v>
      </c>
      <c r="AA68" s="13">
        <v>1</v>
      </c>
      <c r="AB68" s="13">
        <v>848.58</v>
      </c>
    </row>
    <row r="69" spans="1:206" x14ac:dyDescent="0.2">
      <c r="A69" s="13">
        <v>50</v>
      </c>
      <c r="B69" s="13">
        <v>0</v>
      </c>
      <c r="C69" s="13">
        <v>0</v>
      </c>
      <c r="D69" s="13">
        <v>1</v>
      </c>
      <c r="E69" s="13">
        <v>222</v>
      </c>
      <c r="F69" s="13">
        <f>ROUND(Source!AO65,O69)</f>
        <v>0</v>
      </c>
      <c r="G69" s="13" t="s">
        <v>136</v>
      </c>
      <c r="H69" s="13" t="s">
        <v>137</v>
      </c>
      <c r="I69" s="13"/>
      <c r="J69" s="13"/>
      <c r="K69" s="13">
        <v>222</v>
      </c>
      <c r="L69" s="13">
        <v>3</v>
      </c>
      <c r="M69" s="13">
        <v>3</v>
      </c>
      <c r="N69" s="13" t="s">
        <v>3</v>
      </c>
      <c r="O69" s="13">
        <v>2</v>
      </c>
      <c r="P69" s="13">
        <f>ROUND(Source!EG65,O69)</f>
        <v>0</v>
      </c>
      <c r="Q69" s="13"/>
      <c r="R69" s="13"/>
      <c r="S69" s="13"/>
      <c r="T69" s="13"/>
      <c r="U69" s="13"/>
      <c r="V69" s="13"/>
      <c r="W69" s="13">
        <v>0</v>
      </c>
      <c r="X69" s="13">
        <v>1</v>
      </c>
      <c r="Y69" s="13">
        <v>0</v>
      </c>
      <c r="Z69" s="13">
        <v>0</v>
      </c>
      <c r="AA69" s="13">
        <v>1</v>
      </c>
      <c r="AB69" s="13">
        <v>0</v>
      </c>
    </row>
    <row r="70" spans="1:206" x14ac:dyDescent="0.2">
      <c r="A70" s="13">
        <v>50</v>
      </c>
      <c r="B70" s="13">
        <v>0</v>
      </c>
      <c r="C70" s="13">
        <v>0</v>
      </c>
      <c r="D70" s="13">
        <v>1</v>
      </c>
      <c r="E70" s="13">
        <v>225</v>
      </c>
      <c r="F70" s="13">
        <f>ROUND(Source!AV65,O70)</f>
        <v>137.83000000000001</v>
      </c>
      <c r="G70" s="13" t="s">
        <v>138</v>
      </c>
      <c r="H70" s="13" t="s">
        <v>139</v>
      </c>
      <c r="I70" s="13"/>
      <c r="J70" s="13"/>
      <c r="K70" s="13">
        <v>225</v>
      </c>
      <c r="L70" s="13">
        <v>4</v>
      </c>
      <c r="M70" s="13">
        <v>3</v>
      </c>
      <c r="N70" s="13" t="s">
        <v>3</v>
      </c>
      <c r="O70" s="13">
        <v>2</v>
      </c>
      <c r="P70" s="13">
        <f>ROUND(Source!EN65,O70)</f>
        <v>848.58</v>
      </c>
      <c r="Q70" s="13"/>
      <c r="R70" s="13"/>
      <c r="S70" s="13"/>
      <c r="T70" s="13"/>
      <c r="U70" s="13"/>
      <c r="V70" s="13"/>
      <c r="W70" s="13">
        <v>137.83000000000001</v>
      </c>
      <c r="X70" s="13">
        <v>1</v>
      </c>
      <c r="Y70" s="13">
        <v>137.83000000000001</v>
      </c>
      <c r="Z70" s="13">
        <v>848.58</v>
      </c>
      <c r="AA70" s="13">
        <v>1</v>
      </c>
      <c r="AB70" s="13">
        <v>848.58</v>
      </c>
    </row>
    <row r="71" spans="1:206" x14ac:dyDescent="0.2">
      <c r="A71" s="13">
        <v>50</v>
      </c>
      <c r="B71" s="13">
        <v>0</v>
      </c>
      <c r="C71" s="13">
        <v>0</v>
      </c>
      <c r="D71" s="13">
        <v>1</v>
      </c>
      <c r="E71" s="13">
        <v>226</v>
      </c>
      <c r="F71" s="13">
        <f>ROUND(Source!AW65,O71)</f>
        <v>137.83000000000001</v>
      </c>
      <c r="G71" s="13" t="s">
        <v>140</v>
      </c>
      <c r="H71" s="13" t="s">
        <v>141</v>
      </c>
      <c r="I71" s="13"/>
      <c r="J71" s="13"/>
      <c r="K71" s="13">
        <v>226</v>
      </c>
      <c r="L71" s="13">
        <v>5</v>
      </c>
      <c r="M71" s="13">
        <v>3</v>
      </c>
      <c r="N71" s="13" t="s">
        <v>3</v>
      </c>
      <c r="O71" s="13">
        <v>2</v>
      </c>
      <c r="P71" s="13">
        <f>ROUND(Source!EO65,O71)</f>
        <v>848.58</v>
      </c>
      <c r="Q71" s="13"/>
      <c r="R71" s="13"/>
      <c r="S71" s="13"/>
      <c r="T71" s="13"/>
      <c r="U71" s="13"/>
      <c r="V71" s="13"/>
      <c r="W71" s="13">
        <v>137.83000000000001</v>
      </c>
      <c r="X71" s="13">
        <v>1</v>
      </c>
      <c r="Y71" s="13">
        <v>137.83000000000001</v>
      </c>
      <c r="Z71" s="13">
        <v>848.58</v>
      </c>
      <c r="AA71" s="13">
        <v>1</v>
      </c>
      <c r="AB71" s="13">
        <v>848.58</v>
      </c>
    </row>
    <row r="72" spans="1:206" x14ac:dyDescent="0.2">
      <c r="A72" s="13">
        <v>50</v>
      </c>
      <c r="B72" s="13">
        <v>0</v>
      </c>
      <c r="C72" s="13">
        <v>0</v>
      </c>
      <c r="D72" s="13">
        <v>1</v>
      </c>
      <c r="E72" s="13">
        <v>227</v>
      </c>
      <c r="F72" s="13">
        <f>ROUND(Source!AX65,O72)</f>
        <v>0</v>
      </c>
      <c r="G72" s="13" t="s">
        <v>142</v>
      </c>
      <c r="H72" s="13" t="s">
        <v>143</v>
      </c>
      <c r="I72" s="13"/>
      <c r="J72" s="13"/>
      <c r="K72" s="13">
        <v>227</v>
      </c>
      <c r="L72" s="13">
        <v>6</v>
      </c>
      <c r="M72" s="13">
        <v>3</v>
      </c>
      <c r="N72" s="13" t="s">
        <v>3</v>
      </c>
      <c r="O72" s="13">
        <v>2</v>
      </c>
      <c r="P72" s="13">
        <f>ROUND(Source!EP65,O72)</f>
        <v>0</v>
      </c>
      <c r="Q72" s="13"/>
      <c r="R72" s="13"/>
      <c r="S72" s="13"/>
      <c r="T72" s="13"/>
      <c r="U72" s="13"/>
      <c r="V72" s="13"/>
      <c r="W72" s="13">
        <v>0</v>
      </c>
      <c r="X72" s="13">
        <v>1</v>
      </c>
      <c r="Y72" s="13">
        <v>0</v>
      </c>
      <c r="Z72" s="13">
        <v>0</v>
      </c>
      <c r="AA72" s="13">
        <v>1</v>
      </c>
      <c r="AB72" s="13">
        <v>0</v>
      </c>
    </row>
    <row r="73" spans="1:206" x14ac:dyDescent="0.2">
      <c r="A73" s="13">
        <v>50</v>
      </c>
      <c r="B73" s="13">
        <v>0</v>
      </c>
      <c r="C73" s="13">
        <v>0</v>
      </c>
      <c r="D73" s="13">
        <v>1</v>
      </c>
      <c r="E73" s="13">
        <v>228</v>
      </c>
      <c r="F73" s="13">
        <f>ROUND(Source!AY65,O73)</f>
        <v>137.83000000000001</v>
      </c>
      <c r="G73" s="13" t="s">
        <v>144</v>
      </c>
      <c r="H73" s="13" t="s">
        <v>145</v>
      </c>
      <c r="I73" s="13"/>
      <c r="J73" s="13"/>
      <c r="K73" s="13">
        <v>228</v>
      </c>
      <c r="L73" s="13">
        <v>7</v>
      </c>
      <c r="M73" s="13">
        <v>3</v>
      </c>
      <c r="N73" s="13" t="s">
        <v>3</v>
      </c>
      <c r="O73" s="13">
        <v>2</v>
      </c>
      <c r="P73" s="13">
        <f>ROUND(Source!EQ65,O73)</f>
        <v>848.58</v>
      </c>
      <c r="Q73" s="13"/>
      <c r="R73" s="13"/>
      <c r="S73" s="13"/>
      <c r="T73" s="13"/>
      <c r="U73" s="13"/>
      <c r="V73" s="13"/>
      <c r="W73" s="13">
        <v>137.83000000000001</v>
      </c>
      <c r="X73" s="13">
        <v>1</v>
      </c>
      <c r="Y73" s="13">
        <v>137.83000000000001</v>
      </c>
      <c r="Z73" s="13">
        <v>848.58</v>
      </c>
      <c r="AA73" s="13">
        <v>1</v>
      </c>
      <c r="AB73" s="13">
        <v>848.58</v>
      </c>
    </row>
    <row r="74" spans="1:206" x14ac:dyDescent="0.2">
      <c r="A74" s="13">
        <v>50</v>
      </c>
      <c r="B74" s="13">
        <v>0</v>
      </c>
      <c r="C74" s="13">
        <v>0</v>
      </c>
      <c r="D74" s="13">
        <v>1</v>
      </c>
      <c r="E74" s="13">
        <v>216</v>
      </c>
      <c r="F74" s="13">
        <f>ROUND(Source!AP65,O74)</f>
        <v>0</v>
      </c>
      <c r="G74" s="13" t="s">
        <v>146</v>
      </c>
      <c r="H74" s="13" t="s">
        <v>147</v>
      </c>
      <c r="I74" s="13"/>
      <c r="J74" s="13"/>
      <c r="K74" s="13">
        <v>216</v>
      </c>
      <c r="L74" s="13">
        <v>8</v>
      </c>
      <c r="M74" s="13">
        <v>3</v>
      </c>
      <c r="N74" s="13" t="s">
        <v>3</v>
      </c>
      <c r="O74" s="13">
        <v>2</v>
      </c>
      <c r="P74" s="13">
        <f>ROUND(Source!EH65,O74)</f>
        <v>0</v>
      </c>
      <c r="Q74" s="13"/>
      <c r="R74" s="13"/>
      <c r="S74" s="13"/>
      <c r="T74" s="13"/>
      <c r="U74" s="13"/>
      <c r="V74" s="13"/>
      <c r="W74" s="13">
        <v>0</v>
      </c>
      <c r="X74" s="13">
        <v>1</v>
      </c>
      <c r="Y74" s="13">
        <v>0</v>
      </c>
      <c r="Z74" s="13">
        <v>0</v>
      </c>
      <c r="AA74" s="13">
        <v>1</v>
      </c>
      <c r="AB74" s="13">
        <v>0</v>
      </c>
    </row>
    <row r="75" spans="1:206" x14ac:dyDescent="0.2">
      <c r="A75" s="13">
        <v>50</v>
      </c>
      <c r="B75" s="13">
        <v>0</v>
      </c>
      <c r="C75" s="13">
        <v>0</v>
      </c>
      <c r="D75" s="13">
        <v>1</v>
      </c>
      <c r="E75" s="13">
        <v>223</v>
      </c>
      <c r="F75" s="13">
        <f>ROUND(Source!AQ65,O75)</f>
        <v>0</v>
      </c>
      <c r="G75" s="13" t="s">
        <v>148</v>
      </c>
      <c r="H75" s="13" t="s">
        <v>149</v>
      </c>
      <c r="I75" s="13"/>
      <c r="J75" s="13"/>
      <c r="K75" s="13">
        <v>223</v>
      </c>
      <c r="L75" s="13">
        <v>9</v>
      </c>
      <c r="M75" s="13">
        <v>3</v>
      </c>
      <c r="N75" s="13" t="s">
        <v>3</v>
      </c>
      <c r="O75" s="13">
        <v>2</v>
      </c>
      <c r="P75" s="13">
        <f>ROUND(Source!EI65,O75)</f>
        <v>0</v>
      </c>
      <c r="Q75" s="13"/>
      <c r="R75" s="13"/>
      <c r="S75" s="13"/>
      <c r="T75" s="13"/>
      <c r="U75" s="13"/>
      <c r="V75" s="13"/>
      <c r="W75" s="13">
        <v>0</v>
      </c>
      <c r="X75" s="13">
        <v>1</v>
      </c>
      <c r="Y75" s="13">
        <v>0</v>
      </c>
      <c r="Z75" s="13">
        <v>0</v>
      </c>
      <c r="AA75" s="13">
        <v>1</v>
      </c>
      <c r="AB75" s="13">
        <v>0</v>
      </c>
    </row>
    <row r="76" spans="1:206" x14ac:dyDescent="0.2">
      <c r="A76" s="13">
        <v>50</v>
      </c>
      <c r="B76" s="13">
        <v>0</v>
      </c>
      <c r="C76" s="13">
        <v>0</v>
      </c>
      <c r="D76" s="13">
        <v>1</v>
      </c>
      <c r="E76" s="13">
        <v>229</v>
      </c>
      <c r="F76" s="13">
        <f>ROUND(Source!AZ65,O76)</f>
        <v>0</v>
      </c>
      <c r="G76" s="13" t="s">
        <v>150</v>
      </c>
      <c r="H76" s="13" t="s">
        <v>151</v>
      </c>
      <c r="I76" s="13"/>
      <c r="J76" s="13"/>
      <c r="K76" s="13">
        <v>229</v>
      </c>
      <c r="L76" s="13">
        <v>10</v>
      </c>
      <c r="M76" s="13">
        <v>3</v>
      </c>
      <c r="N76" s="13" t="s">
        <v>3</v>
      </c>
      <c r="O76" s="13">
        <v>2</v>
      </c>
      <c r="P76" s="13">
        <f>ROUND(Source!ER65,O76)</f>
        <v>0</v>
      </c>
      <c r="Q76" s="13"/>
      <c r="R76" s="13"/>
      <c r="S76" s="13"/>
      <c r="T76" s="13"/>
      <c r="U76" s="13"/>
      <c r="V76" s="13"/>
      <c r="W76" s="13">
        <v>0</v>
      </c>
      <c r="X76" s="13">
        <v>1</v>
      </c>
      <c r="Y76" s="13">
        <v>0</v>
      </c>
      <c r="Z76" s="13">
        <v>0</v>
      </c>
      <c r="AA76" s="13">
        <v>1</v>
      </c>
      <c r="AB76" s="13">
        <v>0</v>
      </c>
    </row>
    <row r="77" spans="1:206" x14ac:dyDescent="0.2">
      <c r="A77" s="13">
        <v>50</v>
      </c>
      <c r="B77" s="13">
        <v>0</v>
      </c>
      <c r="C77" s="13">
        <v>0</v>
      </c>
      <c r="D77" s="13">
        <v>1</v>
      </c>
      <c r="E77" s="13">
        <v>203</v>
      </c>
      <c r="F77" s="13">
        <f>ROUND(Source!Q65,O77)</f>
        <v>56.61</v>
      </c>
      <c r="G77" s="13" t="s">
        <v>152</v>
      </c>
      <c r="H77" s="13" t="s">
        <v>153</v>
      </c>
      <c r="I77" s="13"/>
      <c r="J77" s="13"/>
      <c r="K77" s="13">
        <v>203</v>
      </c>
      <c r="L77" s="13">
        <v>11</v>
      </c>
      <c r="M77" s="13">
        <v>3</v>
      </c>
      <c r="N77" s="13" t="s">
        <v>3</v>
      </c>
      <c r="O77" s="13">
        <v>2</v>
      </c>
      <c r="P77" s="13">
        <f>ROUND(Source!DI65,O77)</f>
        <v>863.8</v>
      </c>
      <c r="Q77" s="13"/>
      <c r="R77" s="13"/>
      <c r="S77" s="13"/>
      <c r="T77" s="13"/>
      <c r="U77" s="13"/>
      <c r="V77" s="13"/>
      <c r="W77" s="13">
        <v>56.61</v>
      </c>
      <c r="X77" s="13">
        <v>1</v>
      </c>
      <c r="Y77" s="13">
        <v>56.61</v>
      </c>
      <c r="Z77" s="13">
        <v>863.8</v>
      </c>
      <c r="AA77" s="13">
        <v>1</v>
      </c>
      <c r="AB77" s="13">
        <v>863.8</v>
      </c>
    </row>
    <row r="78" spans="1:206" x14ac:dyDescent="0.2">
      <c r="A78" s="13">
        <v>50</v>
      </c>
      <c r="B78" s="13">
        <v>0</v>
      </c>
      <c r="C78" s="13">
        <v>0</v>
      </c>
      <c r="D78" s="13">
        <v>1</v>
      </c>
      <c r="E78" s="13">
        <v>231</v>
      </c>
      <c r="F78" s="13">
        <f>ROUND(Source!BB65,O78)</f>
        <v>0</v>
      </c>
      <c r="G78" s="13" t="s">
        <v>154</v>
      </c>
      <c r="H78" s="13" t="s">
        <v>155</v>
      </c>
      <c r="I78" s="13"/>
      <c r="J78" s="13"/>
      <c r="K78" s="13">
        <v>231</v>
      </c>
      <c r="L78" s="13">
        <v>12</v>
      </c>
      <c r="M78" s="13">
        <v>3</v>
      </c>
      <c r="N78" s="13" t="s">
        <v>3</v>
      </c>
      <c r="O78" s="13">
        <v>2</v>
      </c>
      <c r="P78" s="13">
        <f>ROUND(Source!ET65,O78)</f>
        <v>0</v>
      </c>
      <c r="Q78" s="13"/>
      <c r="R78" s="13"/>
      <c r="S78" s="13"/>
      <c r="T78" s="13"/>
      <c r="U78" s="13"/>
      <c r="V78" s="13"/>
      <c r="W78" s="13">
        <v>0</v>
      </c>
      <c r="X78" s="13">
        <v>1</v>
      </c>
      <c r="Y78" s="13">
        <v>0</v>
      </c>
      <c r="Z78" s="13">
        <v>0</v>
      </c>
      <c r="AA78" s="13">
        <v>1</v>
      </c>
      <c r="AB78" s="13">
        <v>0</v>
      </c>
    </row>
    <row r="79" spans="1:206" x14ac:dyDescent="0.2">
      <c r="A79" s="13">
        <v>50</v>
      </c>
      <c r="B79" s="13">
        <v>0</v>
      </c>
      <c r="C79" s="13">
        <v>0</v>
      </c>
      <c r="D79" s="13">
        <v>1</v>
      </c>
      <c r="E79" s="13">
        <v>204</v>
      </c>
      <c r="F79" s="13">
        <f>ROUND(Source!R65,O79)</f>
        <v>6.52</v>
      </c>
      <c r="G79" s="13" t="s">
        <v>156</v>
      </c>
      <c r="H79" s="13" t="s">
        <v>157</v>
      </c>
      <c r="I79" s="13"/>
      <c r="J79" s="13"/>
      <c r="K79" s="13">
        <v>204</v>
      </c>
      <c r="L79" s="13">
        <v>13</v>
      </c>
      <c r="M79" s="13">
        <v>3</v>
      </c>
      <c r="N79" s="13" t="s">
        <v>3</v>
      </c>
      <c r="O79" s="13">
        <v>2</v>
      </c>
      <c r="P79" s="13">
        <f>ROUND(Source!DJ65,O79)</f>
        <v>367.4</v>
      </c>
      <c r="Q79" s="13"/>
      <c r="R79" s="13"/>
      <c r="S79" s="13"/>
      <c r="T79" s="13"/>
      <c r="U79" s="13"/>
      <c r="V79" s="13"/>
      <c r="W79" s="13">
        <v>6.52</v>
      </c>
      <c r="X79" s="13">
        <v>1</v>
      </c>
      <c r="Y79" s="13">
        <v>6.52</v>
      </c>
      <c r="Z79" s="13">
        <v>367.4</v>
      </c>
      <c r="AA79" s="13">
        <v>1</v>
      </c>
      <c r="AB79" s="13">
        <v>367.4</v>
      </c>
    </row>
    <row r="80" spans="1:206" x14ac:dyDescent="0.2">
      <c r="A80" s="13">
        <v>50</v>
      </c>
      <c r="B80" s="13">
        <v>0</v>
      </c>
      <c r="C80" s="13">
        <v>0</v>
      </c>
      <c r="D80" s="13">
        <v>1</v>
      </c>
      <c r="E80" s="13">
        <v>205</v>
      </c>
      <c r="F80" s="13">
        <f>ROUND(Source!S65,O80)</f>
        <v>1597.95</v>
      </c>
      <c r="G80" s="13" t="s">
        <v>158</v>
      </c>
      <c r="H80" s="13" t="s">
        <v>159</v>
      </c>
      <c r="I80" s="13"/>
      <c r="J80" s="13"/>
      <c r="K80" s="13">
        <v>205</v>
      </c>
      <c r="L80" s="13">
        <v>14</v>
      </c>
      <c r="M80" s="13">
        <v>3</v>
      </c>
      <c r="N80" s="13" t="s">
        <v>3</v>
      </c>
      <c r="O80" s="13">
        <v>2</v>
      </c>
      <c r="P80" s="13">
        <f>ROUND(Source!DK65,O80)</f>
        <v>90044.49</v>
      </c>
      <c r="Q80" s="13"/>
      <c r="R80" s="13"/>
      <c r="S80" s="13"/>
      <c r="T80" s="13"/>
      <c r="U80" s="13"/>
      <c r="V80" s="13"/>
      <c r="W80" s="13">
        <v>1597.95</v>
      </c>
      <c r="X80" s="13">
        <v>1</v>
      </c>
      <c r="Y80" s="13">
        <v>1597.95</v>
      </c>
      <c r="Z80" s="13">
        <v>90044.49</v>
      </c>
      <c r="AA80" s="13">
        <v>1</v>
      </c>
      <c r="AB80" s="13">
        <v>90044.49</v>
      </c>
    </row>
    <row r="81" spans="1:88" x14ac:dyDescent="0.2">
      <c r="A81" s="13">
        <v>50</v>
      </c>
      <c r="B81" s="13">
        <v>0</v>
      </c>
      <c r="C81" s="13">
        <v>0</v>
      </c>
      <c r="D81" s="13">
        <v>1</v>
      </c>
      <c r="E81" s="13">
        <v>232</v>
      </c>
      <c r="F81" s="13">
        <f>ROUND(Source!BC65,O81)</f>
        <v>0</v>
      </c>
      <c r="G81" s="13" t="s">
        <v>160</v>
      </c>
      <c r="H81" s="13" t="s">
        <v>161</v>
      </c>
      <c r="I81" s="13"/>
      <c r="J81" s="13"/>
      <c r="K81" s="13">
        <v>232</v>
      </c>
      <c r="L81" s="13">
        <v>15</v>
      </c>
      <c r="M81" s="13">
        <v>3</v>
      </c>
      <c r="N81" s="13" t="s">
        <v>3</v>
      </c>
      <c r="O81" s="13">
        <v>2</v>
      </c>
      <c r="P81" s="13">
        <f>ROUND(Source!EU65,O81)</f>
        <v>0</v>
      </c>
      <c r="Q81" s="13"/>
      <c r="R81" s="13"/>
      <c r="S81" s="13"/>
      <c r="T81" s="13"/>
      <c r="U81" s="13"/>
      <c r="V81" s="13"/>
      <c r="W81" s="13">
        <v>0</v>
      </c>
      <c r="X81" s="13">
        <v>1</v>
      </c>
      <c r="Y81" s="13">
        <v>0</v>
      </c>
      <c r="Z81" s="13">
        <v>0</v>
      </c>
      <c r="AA81" s="13">
        <v>1</v>
      </c>
      <c r="AB81" s="13">
        <v>0</v>
      </c>
    </row>
    <row r="82" spans="1:88" x14ac:dyDescent="0.2">
      <c r="A82" s="13">
        <v>50</v>
      </c>
      <c r="B82" s="13">
        <v>0</v>
      </c>
      <c r="C82" s="13">
        <v>0</v>
      </c>
      <c r="D82" s="13">
        <v>1</v>
      </c>
      <c r="E82" s="13">
        <v>214</v>
      </c>
      <c r="F82" s="13">
        <f>ROUND(Source!AS65,O82)</f>
        <v>770.88</v>
      </c>
      <c r="G82" s="13" t="s">
        <v>162</v>
      </c>
      <c r="H82" s="13" t="s">
        <v>163</v>
      </c>
      <c r="I82" s="13"/>
      <c r="J82" s="13"/>
      <c r="K82" s="13">
        <v>214</v>
      </c>
      <c r="L82" s="13">
        <v>16</v>
      </c>
      <c r="M82" s="13">
        <v>3</v>
      </c>
      <c r="N82" s="13" t="s">
        <v>3</v>
      </c>
      <c r="O82" s="13">
        <v>2</v>
      </c>
      <c r="P82" s="13">
        <f>ROUND(Source!EK65,O82)</f>
        <v>34975.129999999997</v>
      </c>
      <c r="Q82" s="13"/>
      <c r="R82" s="13"/>
      <c r="S82" s="13"/>
      <c r="T82" s="13"/>
      <c r="U82" s="13"/>
      <c r="V82" s="13"/>
      <c r="W82" s="13">
        <v>770.88</v>
      </c>
      <c r="X82" s="13">
        <v>1</v>
      </c>
      <c r="Y82" s="13">
        <v>770.88</v>
      </c>
      <c r="Z82" s="13">
        <v>34975.129999999997</v>
      </c>
      <c r="AA82" s="13">
        <v>1</v>
      </c>
      <c r="AB82" s="13">
        <v>34975.129999999997</v>
      </c>
    </row>
    <row r="83" spans="1:88" x14ac:dyDescent="0.2">
      <c r="A83" s="13">
        <v>50</v>
      </c>
      <c r="B83" s="13">
        <v>0</v>
      </c>
      <c r="C83" s="13">
        <v>0</v>
      </c>
      <c r="D83" s="13">
        <v>1</v>
      </c>
      <c r="E83" s="13">
        <v>215</v>
      </c>
      <c r="F83" s="13">
        <f>ROUND(Source!AT65,O83)</f>
        <v>3257.32</v>
      </c>
      <c r="G83" s="13" t="s">
        <v>164</v>
      </c>
      <c r="H83" s="13" t="s">
        <v>165</v>
      </c>
      <c r="I83" s="13"/>
      <c r="J83" s="13"/>
      <c r="K83" s="13">
        <v>215</v>
      </c>
      <c r="L83" s="13">
        <v>17</v>
      </c>
      <c r="M83" s="13">
        <v>3</v>
      </c>
      <c r="N83" s="13" t="s">
        <v>3</v>
      </c>
      <c r="O83" s="13">
        <v>2</v>
      </c>
      <c r="P83" s="13">
        <f>ROUND(Source!EL65,O83)</f>
        <v>182771.44</v>
      </c>
      <c r="Q83" s="13"/>
      <c r="R83" s="13"/>
      <c r="S83" s="13"/>
      <c r="T83" s="13"/>
      <c r="U83" s="13"/>
      <c r="V83" s="13"/>
      <c r="W83" s="13">
        <v>3257.32</v>
      </c>
      <c r="X83" s="13">
        <v>1</v>
      </c>
      <c r="Y83" s="13">
        <v>3257.32</v>
      </c>
      <c r="Z83" s="13">
        <v>182771.44</v>
      </c>
      <c r="AA83" s="13">
        <v>1</v>
      </c>
      <c r="AB83" s="13">
        <v>182771.44</v>
      </c>
    </row>
    <row r="84" spans="1:88" x14ac:dyDescent="0.2">
      <c r="A84" s="13">
        <v>50</v>
      </c>
      <c r="B84" s="13">
        <v>0</v>
      </c>
      <c r="C84" s="13">
        <v>0</v>
      </c>
      <c r="D84" s="13">
        <v>1</v>
      </c>
      <c r="E84" s="13">
        <v>217</v>
      </c>
      <c r="F84" s="13">
        <f>ROUND(Source!AU65,O84)</f>
        <v>0</v>
      </c>
      <c r="G84" s="13" t="s">
        <v>166</v>
      </c>
      <c r="H84" s="13" t="s">
        <v>167</v>
      </c>
      <c r="I84" s="13"/>
      <c r="J84" s="13"/>
      <c r="K84" s="13">
        <v>217</v>
      </c>
      <c r="L84" s="13">
        <v>18</v>
      </c>
      <c r="M84" s="13">
        <v>3</v>
      </c>
      <c r="N84" s="13" t="s">
        <v>3</v>
      </c>
      <c r="O84" s="13">
        <v>2</v>
      </c>
      <c r="P84" s="13">
        <f>ROUND(Source!EM65,O84)</f>
        <v>0</v>
      </c>
      <c r="Q84" s="13"/>
      <c r="R84" s="13"/>
      <c r="S84" s="13"/>
      <c r="T84" s="13"/>
      <c r="U84" s="13"/>
      <c r="V84" s="13"/>
      <c r="W84" s="13">
        <v>0</v>
      </c>
      <c r="X84" s="13">
        <v>1</v>
      </c>
      <c r="Y84" s="13">
        <v>0</v>
      </c>
      <c r="Z84" s="13">
        <v>0</v>
      </c>
      <c r="AA84" s="13">
        <v>1</v>
      </c>
      <c r="AB84" s="13">
        <v>0</v>
      </c>
    </row>
    <row r="85" spans="1:88" x14ac:dyDescent="0.2">
      <c r="A85" s="13">
        <v>50</v>
      </c>
      <c r="B85" s="13">
        <v>0</v>
      </c>
      <c r="C85" s="13">
        <v>0</v>
      </c>
      <c r="D85" s="13">
        <v>1</v>
      </c>
      <c r="E85" s="13">
        <v>230</v>
      </c>
      <c r="F85" s="13">
        <f>ROUND(Source!BA65,O85)</f>
        <v>0</v>
      </c>
      <c r="G85" s="13" t="s">
        <v>168</v>
      </c>
      <c r="H85" s="13" t="s">
        <v>169</v>
      </c>
      <c r="I85" s="13"/>
      <c r="J85" s="13"/>
      <c r="K85" s="13">
        <v>230</v>
      </c>
      <c r="L85" s="13">
        <v>19</v>
      </c>
      <c r="M85" s="13">
        <v>3</v>
      </c>
      <c r="N85" s="13" t="s">
        <v>3</v>
      </c>
      <c r="O85" s="13">
        <v>2</v>
      </c>
      <c r="P85" s="13">
        <f>ROUND(Source!ES65,O85)</f>
        <v>0</v>
      </c>
      <c r="Q85" s="13"/>
      <c r="R85" s="13"/>
      <c r="S85" s="13"/>
      <c r="T85" s="13"/>
      <c r="U85" s="13"/>
      <c r="V85" s="13"/>
      <c r="W85" s="13">
        <v>0</v>
      </c>
      <c r="X85" s="13">
        <v>1</v>
      </c>
      <c r="Y85" s="13">
        <v>0</v>
      </c>
      <c r="Z85" s="13">
        <v>0</v>
      </c>
      <c r="AA85" s="13">
        <v>1</v>
      </c>
      <c r="AB85" s="13">
        <v>0</v>
      </c>
    </row>
    <row r="86" spans="1:88" x14ac:dyDescent="0.2">
      <c r="A86" s="13">
        <v>50</v>
      </c>
      <c r="B86" s="13">
        <v>0</v>
      </c>
      <c r="C86" s="13">
        <v>0</v>
      </c>
      <c r="D86" s="13">
        <v>1</v>
      </c>
      <c r="E86" s="13">
        <v>206</v>
      </c>
      <c r="F86" s="13">
        <f>ROUND(Source!T65,O86)</f>
        <v>0</v>
      </c>
      <c r="G86" s="13" t="s">
        <v>170</v>
      </c>
      <c r="H86" s="13" t="s">
        <v>171</v>
      </c>
      <c r="I86" s="13"/>
      <c r="J86" s="13"/>
      <c r="K86" s="13">
        <v>206</v>
      </c>
      <c r="L86" s="13">
        <v>20</v>
      </c>
      <c r="M86" s="13">
        <v>3</v>
      </c>
      <c r="N86" s="13" t="s">
        <v>3</v>
      </c>
      <c r="O86" s="13">
        <v>2</v>
      </c>
      <c r="P86" s="13">
        <f>ROUND(Source!DL65,O86)</f>
        <v>0</v>
      </c>
      <c r="Q86" s="13"/>
      <c r="R86" s="13"/>
      <c r="S86" s="13"/>
      <c r="T86" s="13"/>
      <c r="U86" s="13"/>
      <c r="V86" s="13"/>
      <c r="W86" s="13">
        <v>0</v>
      </c>
      <c r="X86" s="13">
        <v>1</v>
      </c>
      <c r="Y86" s="13">
        <v>0</v>
      </c>
      <c r="Z86" s="13">
        <v>0</v>
      </c>
      <c r="AA86" s="13">
        <v>1</v>
      </c>
      <c r="AB86" s="13">
        <v>0</v>
      </c>
    </row>
    <row r="87" spans="1:88" x14ac:dyDescent="0.2">
      <c r="A87" s="13">
        <v>50</v>
      </c>
      <c r="B87" s="13">
        <v>0</v>
      </c>
      <c r="C87" s="13">
        <v>0</v>
      </c>
      <c r="D87" s="13">
        <v>1</v>
      </c>
      <c r="E87" s="13">
        <v>207</v>
      </c>
      <c r="F87" s="13">
        <f>Source!U65</f>
        <v>132.07903948799998</v>
      </c>
      <c r="G87" s="13" t="s">
        <v>172</v>
      </c>
      <c r="H87" s="13" t="s">
        <v>173</v>
      </c>
      <c r="I87" s="13"/>
      <c r="J87" s="13"/>
      <c r="K87" s="13">
        <v>207</v>
      </c>
      <c r="L87" s="13">
        <v>21</v>
      </c>
      <c r="M87" s="13">
        <v>3</v>
      </c>
      <c r="N87" s="13" t="s">
        <v>3</v>
      </c>
      <c r="O87" s="13">
        <v>-1</v>
      </c>
      <c r="P87" s="13">
        <f>Source!DM65</f>
        <v>132.07903948799998</v>
      </c>
      <c r="Q87" s="13"/>
      <c r="R87" s="13"/>
      <c r="S87" s="13"/>
      <c r="T87" s="13"/>
      <c r="U87" s="13"/>
      <c r="V87" s="13"/>
      <c r="W87" s="13">
        <v>132.07903948799998</v>
      </c>
      <c r="X87" s="13">
        <v>1</v>
      </c>
      <c r="Y87" s="13">
        <v>132.07903948799998</v>
      </c>
      <c r="Z87" s="13">
        <v>132.07903948799998</v>
      </c>
      <c r="AA87" s="13">
        <v>1</v>
      </c>
      <c r="AB87" s="13">
        <v>132.07903948799998</v>
      </c>
    </row>
    <row r="88" spans="1:88" x14ac:dyDescent="0.2">
      <c r="A88" s="13">
        <v>50</v>
      </c>
      <c r="B88" s="13">
        <v>0</v>
      </c>
      <c r="C88" s="13">
        <v>0</v>
      </c>
      <c r="D88" s="13">
        <v>1</v>
      </c>
      <c r="E88" s="13">
        <v>208</v>
      </c>
      <c r="F88" s="13">
        <f>Source!V65</f>
        <v>0</v>
      </c>
      <c r="G88" s="13" t="s">
        <v>174</v>
      </c>
      <c r="H88" s="13" t="s">
        <v>175</v>
      </c>
      <c r="I88" s="13"/>
      <c r="J88" s="13"/>
      <c r="K88" s="13">
        <v>208</v>
      </c>
      <c r="L88" s="13">
        <v>22</v>
      </c>
      <c r="M88" s="13">
        <v>3</v>
      </c>
      <c r="N88" s="13" t="s">
        <v>3</v>
      </c>
      <c r="O88" s="13">
        <v>-1</v>
      </c>
      <c r="P88" s="13">
        <f>Source!DN65</f>
        <v>0</v>
      </c>
      <c r="Q88" s="13"/>
      <c r="R88" s="13"/>
      <c r="S88" s="13"/>
      <c r="T88" s="13"/>
      <c r="U88" s="13"/>
      <c r="V88" s="13"/>
      <c r="W88" s="13">
        <v>0</v>
      </c>
      <c r="X88" s="13">
        <v>1</v>
      </c>
      <c r="Y88" s="13">
        <v>0</v>
      </c>
      <c r="Z88" s="13">
        <v>0</v>
      </c>
      <c r="AA88" s="13">
        <v>1</v>
      </c>
      <c r="AB88" s="13">
        <v>0</v>
      </c>
    </row>
    <row r="89" spans="1:88" x14ac:dyDescent="0.2">
      <c r="A89" s="13">
        <v>50</v>
      </c>
      <c r="B89" s="13">
        <v>0</v>
      </c>
      <c r="C89" s="13">
        <v>0</v>
      </c>
      <c r="D89" s="13">
        <v>1</v>
      </c>
      <c r="E89" s="13">
        <v>209</v>
      </c>
      <c r="F89" s="13">
        <f>ROUND(Source!W65,O89)</f>
        <v>0</v>
      </c>
      <c r="G89" s="13" t="s">
        <v>176</v>
      </c>
      <c r="H89" s="13" t="s">
        <v>177</v>
      </c>
      <c r="I89" s="13"/>
      <c r="J89" s="13"/>
      <c r="K89" s="13">
        <v>209</v>
      </c>
      <c r="L89" s="13">
        <v>23</v>
      </c>
      <c r="M89" s="13">
        <v>3</v>
      </c>
      <c r="N89" s="13" t="s">
        <v>3</v>
      </c>
      <c r="O89" s="13">
        <v>2</v>
      </c>
      <c r="P89" s="13">
        <f>ROUND(Source!DO65,O89)</f>
        <v>0</v>
      </c>
      <c r="Q89" s="13"/>
      <c r="R89" s="13"/>
      <c r="S89" s="13"/>
      <c r="T89" s="13"/>
      <c r="U89" s="13"/>
      <c r="V89" s="13"/>
      <c r="W89" s="13">
        <v>0</v>
      </c>
      <c r="X89" s="13">
        <v>1</v>
      </c>
      <c r="Y89" s="13">
        <v>0</v>
      </c>
      <c r="Z89" s="13">
        <v>0</v>
      </c>
      <c r="AA89" s="13">
        <v>1</v>
      </c>
      <c r="AB89" s="13">
        <v>0</v>
      </c>
    </row>
    <row r="90" spans="1:88" x14ac:dyDescent="0.2">
      <c r="A90" s="13">
        <v>50</v>
      </c>
      <c r="B90" s="13">
        <v>0</v>
      </c>
      <c r="C90" s="13">
        <v>0</v>
      </c>
      <c r="D90" s="13">
        <v>1</v>
      </c>
      <c r="E90" s="13">
        <v>233</v>
      </c>
      <c r="F90" s="13">
        <f>ROUND(Source!BD65,O90)</f>
        <v>0</v>
      </c>
      <c r="G90" s="13" t="s">
        <v>178</v>
      </c>
      <c r="H90" s="13" t="s">
        <v>179</v>
      </c>
      <c r="I90" s="13"/>
      <c r="J90" s="13"/>
      <c r="K90" s="13">
        <v>233</v>
      </c>
      <c r="L90" s="13">
        <v>24</v>
      </c>
      <c r="M90" s="13">
        <v>3</v>
      </c>
      <c r="N90" s="13" t="s">
        <v>3</v>
      </c>
      <c r="O90" s="13">
        <v>2</v>
      </c>
      <c r="P90" s="13">
        <f>ROUND(Source!EV65,O90)</f>
        <v>0</v>
      </c>
      <c r="Q90" s="13"/>
      <c r="R90" s="13"/>
      <c r="S90" s="13"/>
      <c r="T90" s="13"/>
      <c r="U90" s="13"/>
      <c r="V90" s="13"/>
      <c r="W90" s="13">
        <v>0</v>
      </c>
      <c r="X90" s="13">
        <v>1</v>
      </c>
      <c r="Y90" s="13">
        <v>0</v>
      </c>
      <c r="Z90" s="13">
        <v>0</v>
      </c>
      <c r="AA90" s="13">
        <v>1</v>
      </c>
      <c r="AB90" s="13">
        <v>0</v>
      </c>
    </row>
    <row r="91" spans="1:88" x14ac:dyDescent="0.2">
      <c r="A91" s="13">
        <v>50</v>
      </c>
      <c r="B91" s="13">
        <v>0</v>
      </c>
      <c r="C91" s="13">
        <v>0</v>
      </c>
      <c r="D91" s="13">
        <v>1</v>
      </c>
      <c r="E91" s="13">
        <v>210</v>
      </c>
      <c r="F91" s="13">
        <f>ROUND(Source!X65,O91)</f>
        <v>1466.68</v>
      </c>
      <c r="G91" s="13" t="s">
        <v>180</v>
      </c>
      <c r="H91" s="13" t="s">
        <v>181</v>
      </c>
      <c r="I91" s="13"/>
      <c r="J91" s="13"/>
      <c r="K91" s="13">
        <v>210</v>
      </c>
      <c r="L91" s="13">
        <v>25</v>
      </c>
      <c r="M91" s="13">
        <v>3</v>
      </c>
      <c r="N91" s="13" t="s">
        <v>3</v>
      </c>
      <c r="O91" s="13">
        <v>2</v>
      </c>
      <c r="P91" s="13">
        <f>ROUND(Source!DP65,O91)</f>
        <v>82648.31</v>
      </c>
      <c r="Q91" s="13"/>
      <c r="R91" s="13"/>
      <c r="S91" s="13"/>
      <c r="T91" s="13"/>
      <c r="U91" s="13"/>
      <c r="V91" s="13"/>
      <c r="W91" s="13">
        <v>1466.68</v>
      </c>
      <c r="X91" s="13">
        <v>1</v>
      </c>
      <c r="Y91" s="13">
        <v>1466.68</v>
      </c>
      <c r="Z91" s="13">
        <v>82648.31</v>
      </c>
      <c r="AA91" s="13">
        <v>1</v>
      </c>
      <c r="AB91" s="13">
        <v>82648.31</v>
      </c>
    </row>
    <row r="92" spans="1:88" x14ac:dyDescent="0.2">
      <c r="A92" s="13">
        <v>50</v>
      </c>
      <c r="B92" s="13">
        <v>0</v>
      </c>
      <c r="C92" s="13">
        <v>0</v>
      </c>
      <c r="D92" s="13">
        <v>1</v>
      </c>
      <c r="E92" s="13">
        <v>211</v>
      </c>
      <c r="F92" s="13">
        <f>ROUND(Source!Y65,O92)</f>
        <v>769.13</v>
      </c>
      <c r="G92" s="13" t="s">
        <v>182</v>
      </c>
      <c r="H92" s="13" t="s">
        <v>183</v>
      </c>
      <c r="I92" s="13"/>
      <c r="J92" s="13"/>
      <c r="K92" s="13">
        <v>211</v>
      </c>
      <c r="L92" s="13">
        <v>26</v>
      </c>
      <c r="M92" s="13">
        <v>3</v>
      </c>
      <c r="N92" s="13" t="s">
        <v>3</v>
      </c>
      <c r="O92" s="13">
        <v>2</v>
      </c>
      <c r="P92" s="13">
        <f>ROUND(Source!DQ65,O92)</f>
        <v>43341.39</v>
      </c>
      <c r="Q92" s="13"/>
      <c r="R92" s="13"/>
      <c r="S92" s="13"/>
      <c r="T92" s="13"/>
      <c r="U92" s="13"/>
      <c r="V92" s="13"/>
      <c r="W92" s="13">
        <v>769.13</v>
      </c>
      <c r="X92" s="13">
        <v>1</v>
      </c>
      <c r="Y92" s="13">
        <v>769.13</v>
      </c>
      <c r="Z92" s="13">
        <v>43341.39</v>
      </c>
      <c r="AA92" s="13">
        <v>1</v>
      </c>
      <c r="AB92" s="13">
        <v>43341.39</v>
      </c>
    </row>
    <row r="93" spans="1:88" x14ac:dyDescent="0.2">
      <c r="A93" s="13">
        <v>50</v>
      </c>
      <c r="B93" s="13">
        <v>0</v>
      </c>
      <c r="C93" s="13">
        <v>0</v>
      </c>
      <c r="D93" s="13">
        <v>1</v>
      </c>
      <c r="E93" s="13">
        <v>224</v>
      </c>
      <c r="F93" s="13">
        <f>ROUND(Source!AR65,O93)</f>
        <v>4028.2</v>
      </c>
      <c r="G93" s="13" t="s">
        <v>184</v>
      </c>
      <c r="H93" s="13" t="s">
        <v>185</v>
      </c>
      <c r="I93" s="13"/>
      <c r="J93" s="13"/>
      <c r="K93" s="13">
        <v>224</v>
      </c>
      <c r="L93" s="13">
        <v>27</v>
      </c>
      <c r="M93" s="13">
        <v>3</v>
      </c>
      <c r="N93" s="13" t="s">
        <v>3</v>
      </c>
      <c r="O93" s="13">
        <v>2</v>
      </c>
      <c r="P93" s="13">
        <f>ROUND(Source!EJ65,O93)</f>
        <v>217746.57</v>
      </c>
      <c r="Q93" s="13"/>
      <c r="R93" s="13"/>
      <c r="S93" s="13"/>
      <c r="T93" s="13"/>
      <c r="U93" s="13"/>
      <c r="V93" s="13"/>
      <c r="W93" s="13">
        <v>4028.2</v>
      </c>
      <c r="X93" s="13">
        <v>1</v>
      </c>
      <c r="Y93" s="13">
        <v>4028.2</v>
      </c>
      <c r="Z93" s="13">
        <v>217746.57</v>
      </c>
      <c r="AA93" s="13">
        <v>1</v>
      </c>
      <c r="AB93" s="13">
        <v>217746.57</v>
      </c>
    </row>
    <row r="95" spans="1:88" x14ac:dyDescent="0.2">
      <c r="A95" s="10">
        <v>4</v>
      </c>
      <c r="B95" s="10">
        <v>1</v>
      </c>
      <c r="C95" s="10"/>
      <c r="D95" s="10">
        <f>ROW(A182)</f>
        <v>182</v>
      </c>
      <c r="E95" s="10"/>
      <c r="F95" s="10" t="s">
        <v>26</v>
      </c>
      <c r="G95" s="10" t="s">
        <v>186</v>
      </c>
      <c r="H95" s="10" t="s">
        <v>3</v>
      </c>
      <c r="I95" s="10">
        <v>0</v>
      </c>
      <c r="J95" s="10"/>
      <c r="K95" s="10">
        <v>-1</v>
      </c>
      <c r="L95" s="10"/>
      <c r="M95" s="10" t="s">
        <v>3</v>
      </c>
      <c r="N95" s="10"/>
      <c r="O95" s="10"/>
      <c r="P95" s="10"/>
      <c r="Q95" s="10"/>
      <c r="R95" s="10"/>
      <c r="S95" s="10">
        <v>0</v>
      </c>
      <c r="T95" s="10">
        <v>0</v>
      </c>
      <c r="U95" s="10" t="s">
        <v>3</v>
      </c>
      <c r="V95" s="10">
        <v>0</v>
      </c>
      <c r="W95" s="10"/>
      <c r="X95" s="10"/>
      <c r="Y95" s="10"/>
      <c r="Z95" s="10"/>
      <c r="AA95" s="10"/>
      <c r="AB95" s="10" t="s">
        <v>3</v>
      </c>
      <c r="AC95" s="10" t="s">
        <v>3</v>
      </c>
      <c r="AD95" s="10" t="s">
        <v>3</v>
      </c>
      <c r="AE95" s="10" t="s">
        <v>3</v>
      </c>
      <c r="AF95" s="10" t="s">
        <v>3</v>
      </c>
      <c r="AG95" s="10" t="s">
        <v>3</v>
      </c>
      <c r="AH95" s="10"/>
      <c r="AI95" s="10"/>
      <c r="AJ95" s="10"/>
      <c r="AK95" s="10"/>
      <c r="AL95" s="10"/>
      <c r="AM95" s="10"/>
      <c r="AN95" s="10"/>
      <c r="AO95" s="10"/>
      <c r="AP95" s="10" t="s">
        <v>3</v>
      </c>
      <c r="AQ95" s="10" t="s">
        <v>3</v>
      </c>
      <c r="AR95" s="10" t="s">
        <v>3</v>
      </c>
      <c r="AS95" s="10"/>
      <c r="AT95" s="10"/>
      <c r="AU95" s="10"/>
      <c r="AV95" s="10"/>
      <c r="AW95" s="10"/>
      <c r="AX95" s="10"/>
      <c r="AY95" s="10"/>
      <c r="AZ95" s="10" t="s">
        <v>3</v>
      </c>
      <c r="BA95" s="10"/>
      <c r="BB95" s="10" t="s">
        <v>3</v>
      </c>
      <c r="BC95" s="10" t="s">
        <v>3</v>
      </c>
      <c r="BD95" s="10" t="s">
        <v>3</v>
      </c>
      <c r="BE95" s="10" t="s">
        <v>3</v>
      </c>
      <c r="BF95" s="10" t="s">
        <v>3</v>
      </c>
      <c r="BG95" s="10" t="s">
        <v>3</v>
      </c>
      <c r="BH95" s="10" t="s">
        <v>3</v>
      </c>
      <c r="BI95" s="10" t="s">
        <v>3</v>
      </c>
      <c r="BJ95" s="10" t="s">
        <v>3</v>
      </c>
      <c r="BK95" s="10" t="s">
        <v>3</v>
      </c>
      <c r="BL95" s="10" t="s">
        <v>3</v>
      </c>
      <c r="BM95" s="10" t="s">
        <v>3</v>
      </c>
      <c r="BN95" s="10" t="s">
        <v>3</v>
      </c>
      <c r="BO95" s="10" t="s">
        <v>3</v>
      </c>
      <c r="BP95" s="10" t="s">
        <v>3</v>
      </c>
      <c r="BQ95" s="10"/>
      <c r="BR95" s="10"/>
      <c r="BS95" s="10"/>
      <c r="BT95" s="10"/>
      <c r="BU95" s="10"/>
      <c r="BV95" s="10"/>
      <c r="BW95" s="10"/>
      <c r="BX95" s="10">
        <v>0</v>
      </c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>
        <v>0</v>
      </c>
    </row>
    <row r="97" spans="1:255" x14ac:dyDescent="0.2">
      <c r="A97" s="11">
        <v>52</v>
      </c>
      <c r="B97" s="11">
        <f t="shared" ref="B97:G97" si="78">B182</f>
        <v>1</v>
      </c>
      <c r="C97" s="11">
        <f t="shared" si="78"/>
        <v>4</v>
      </c>
      <c r="D97" s="11">
        <f t="shared" si="78"/>
        <v>95</v>
      </c>
      <c r="E97" s="11">
        <f t="shared" si="78"/>
        <v>0</v>
      </c>
      <c r="F97" s="11" t="str">
        <f t="shared" si="78"/>
        <v>1</v>
      </c>
      <c r="G97" s="11" t="str">
        <f t="shared" si="78"/>
        <v>Оборудование</v>
      </c>
      <c r="H97" s="11"/>
      <c r="I97" s="11"/>
      <c r="J97" s="11"/>
      <c r="K97" s="11"/>
      <c r="L97" s="11"/>
      <c r="M97" s="11"/>
      <c r="N97" s="11"/>
      <c r="O97" s="11">
        <f t="shared" ref="O97:AT97" si="79">O182</f>
        <v>270562.49</v>
      </c>
      <c r="P97" s="11">
        <f t="shared" si="79"/>
        <v>268955.95</v>
      </c>
      <c r="Q97" s="11">
        <f t="shared" si="79"/>
        <v>99.01</v>
      </c>
      <c r="R97" s="11">
        <f t="shared" si="79"/>
        <v>14.41</v>
      </c>
      <c r="S97" s="11">
        <f t="shared" si="79"/>
        <v>1507.53</v>
      </c>
      <c r="T97" s="11">
        <f t="shared" si="79"/>
        <v>0</v>
      </c>
      <c r="U97" s="11">
        <f t="shared" si="79"/>
        <v>116.93944696799997</v>
      </c>
      <c r="V97" s="11">
        <f t="shared" si="79"/>
        <v>0</v>
      </c>
      <c r="W97" s="11">
        <f t="shared" si="79"/>
        <v>0</v>
      </c>
      <c r="X97" s="11">
        <f t="shared" si="79"/>
        <v>1418.28</v>
      </c>
      <c r="Y97" s="11">
        <f t="shared" si="79"/>
        <v>762.25</v>
      </c>
      <c r="Z97" s="11">
        <f t="shared" si="79"/>
        <v>0</v>
      </c>
      <c r="AA97" s="11">
        <f t="shared" si="79"/>
        <v>0</v>
      </c>
      <c r="AB97" s="11">
        <f t="shared" si="79"/>
        <v>270562.49</v>
      </c>
      <c r="AC97" s="11">
        <f t="shared" si="79"/>
        <v>268955.95</v>
      </c>
      <c r="AD97" s="11">
        <f t="shared" si="79"/>
        <v>99.01</v>
      </c>
      <c r="AE97" s="11">
        <f t="shared" si="79"/>
        <v>14.41</v>
      </c>
      <c r="AF97" s="11">
        <f t="shared" si="79"/>
        <v>1507.53</v>
      </c>
      <c r="AG97" s="11">
        <f t="shared" si="79"/>
        <v>0</v>
      </c>
      <c r="AH97" s="11">
        <f t="shared" si="79"/>
        <v>116.93944696799997</v>
      </c>
      <c r="AI97" s="11">
        <f t="shared" si="79"/>
        <v>0</v>
      </c>
      <c r="AJ97" s="11">
        <f t="shared" si="79"/>
        <v>0</v>
      </c>
      <c r="AK97" s="11">
        <f t="shared" si="79"/>
        <v>1418.28</v>
      </c>
      <c r="AL97" s="11">
        <f t="shared" si="79"/>
        <v>762.25</v>
      </c>
      <c r="AM97" s="11">
        <f t="shared" si="79"/>
        <v>0</v>
      </c>
      <c r="AN97" s="11">
        <f t="shared" si="79"/>
        <v>0</v>
      </c>
      <c r="AO97" s="11">
        <f t="shared" si="79"/>
        <v>0</v>
      </c>
      <c r="AP97" s="11">
        <f t="shared" si="79"/>
        <v>245990.04</v>
      </c>
      <c r="AQ97" s="11">
        <f t="shared" si="79"/>
        <v>0</v>
      </c>
      <c r="AR97" s="11">
        <f t="shared" si="79"/>
        <v>272743.02</v>
      </c>
      <c r="AS97" s="11">
        <f t="shared" si="79"/>
        <v>23554.62</v>
      </c>
      <c r="AT97" s="11">
        <f t="shared" si="79"/>
        <v>3198.36</v>
      </c>
      <c r="AU97" s="11">
        <f t="shared" ref="AU97:BZ97" si="80">AU182</f>
        <v>0</v>
      </c>
      <c r="AV97" s="11">
        <f t="shared" si="80"/>
        <v>268955.95</v>
      </c>
      <c r="AW97" s="11">
        <f t="shared" si="80"/>
        <v>22965.91</v>
      </c>
      <c r="AX97" s="11">
        <f t="shared" si="80"/>
        <v>0</v>
      </c>
      <c r="AY97" s="11">
        <f t="shared" si="80"/>
        <v>22965.91</v>
      </c>
      <c r="AZ97" s="11">
        <f t="shared" si="80"/>
        <v>245990.04</v>
      </c>
      <c r="BA97" s="11">
        <f t="shared" si="80"/>
        <v>0</v>
      </c>
      <c r="BB97" s="11">
        <f t="shared" si="80"/>
        <v>0</v>
      </c>
      <c r="BC97" s="11">
        <f t="shared" si="80"/>
        <v>0</v>
      </c>
      <c r="BD97" s="11">
        <f t="shared" si="80"/>
        <v>0</v>
      </c>
      <c r="BE97" s="11">
        <f t="shared" si="80"/>
        <v>0</v>
      </c>
      <c r="BF97" s="11">
        <f t="shared" si="80"/>
        <v>0</v>
      </c>
      <c r="BG97" s="11">
        <f t="shared" si="80"/>
        <v>0</v>
      </c>
      <c r="BH97" s="11">
        <f t="shared" si="80"/>
        <v>0</v>
      </c>
      <c r="BI97" s="11">
        <f t="shared" si="80"/>
        <v>0</v>
      </c>
      <c r="BJ97" s="11">
        <f t="shared" si="80"/>
        <v>0</v>
      </c>
      <c r="BK97" s="11">
        <f t="shared" si="80"/>
        <v>0</v>
      </c>
      <c r="BL97" s="11">
        <f t="shared" si="80"/>
        <v>0</v>
      </c>
      <c r="BM97" s="11">
        <f t="shared" si="80"/>
        <v>0</v>
      </c>
      <c r="BN97" s="11">
        <f t="shared" si="80"/>
        <v>0</v>
      </c>
      <c r="BO97" s="11">
        <f t="shared" si="80"/>
        <v>0</v>
      </c>
      <c r="BP97" s="11">
        <f t="shared" si="80"/>
        <v>0</v>
      </c>
      <c r="BQ97" s="11">
        <f t="shared" si="80"/>
        <v>0</v>
      </c>
      <c r="BR97" s="11">
        <f t="shared" si="80"/>
        <v>0</v>
      </c>
      <c r="BS97" s="11">
        <f t="shared" si="80"/>
        <v>0</v>
      </c>
      <c r="BT97" s="11">
        <f t="shared" si="80"/>
        <v>0</v>
      </c>
      <c r="BU97" s="11">
        <f t="shared" si="80"/>
        <v>0</v>
      </c>
      <c r="BV97" s="11">
        <f t="shared" si="80"/>
        <v>0</v>
      </c>
      <c r="BW97" s="11">
        <f t="shared" si="80"/>
        <v>0</v>
      </c>
      <c r="BX97" s="11">
        <f t="shared" si="80"/>
        <v>0</v>
      </c>
      <c r="BY97" s="11">
        <f t="shared" si="80"/>
        <v>245990.04</v>
      </c>
      <c r="BZ97" s="11">
        <f t="shared" si="80"/>
        <v>0</v>
      </c>
      <c r="CA97" s="11">
        <f t="shared" ref="CA97:DF97" si="81">CA182</f>
        <v>272743.02</v>
      </c>
      <c r="CB97" s="11">
        <f t="shared" si="81"/>
        <v>23554.62</v>
      </c>
      <c r="CC97" s="11">
        <f t="shared" si="81"/>
        <v>3198.36</v>
      </c>
      <c r="CD97" s="11">
        <f t="shared" si="81"/>
        <v>0</v>
      </c>
      <c r="CE97" s="11">
        <f t="shared" si="81"/>
        <v>268955.95</v>
      </c>
      <c r="CF97" s="11">
        <f t="shared" si="81"/>
        <v>22965.910000000003</v>
      </c>
      <c r="CG97" s="11">
        <f t="shared" si="81"/>
        <v>0</v>
      </c>
      <c r="CH97" s="11">
        <f t="shared" si="81"/>
        <v>22965.910000000003</v>
      </c>
      <c r="CI97" s="11">
        <f t="shared" si="81"/>
        <v>245990.04</v>
      </c>
      <c r="CJ97" s="11">
        <f t="shared" si="81"/>
        <v>0</v>
      </c>
      <c r="CK97" s="11">
        <f t="shared" si="81"/>
        <v>0</v>
      </c>
      <c r="CL97" s="11">
        <f t="shared" si="81"/>
        <v>0</v>
      </c>
      <c r="CM97" s="11">
        <f t="shared" si="81"/>
        <v>0</v>
      </c>
      <c r="CN97" s="11">
        <f t="shared" si="81"/>
        <v>0</v>
      </c>
      <c r="CO97" s="11">
        <f t="shared" si="81"/>
        <v>0</v>
      </c>
      <c r="CP97" s="11">
        <f t="shared" si="81"/>
        <v>0</v>
      </c>
      <c r="CQ97" s="11">
        <f t="shared" si="81"/>
        <v>0</v>
      </c>
      <c r="CR97" s="11">
        <f t="shared" si="81"/>
        <v>0</v>
      </c>
      <c r="CS97" s="11">
        <f t="shared" si="81"/>
        <v>0</v>
      </c>
      <c r="CT97" s="11">
        <f t="shared" si="81"/>
        <v>0</v>
      </c>
      <c r="CU97" s="11">
        <f t="shared" si="81"/>
        <v>0</v>
      </c>
      <c r="CV97" s="11">
        <f t="shared" si="81"/>
        <v>0</v>
      </c>
      <c r="CW97" s="11">
        <f t="shared" si="81"/>
        <v>0</v>
      </c>
      <c r="CX97" s="11">
        <f t="shared" si="81"/>
        <v>0</v>
      </c>
      <c r="CY97" s="11">
        <f t="shared" si="81"/>
        <v>0</v>
      </c>
      <c r="CZ97" s="11">
        <f t="shared" si="81"/>
        <v>0</v>
      </c>
      <c r="DA97" s="11">
        <f t="shared" si="81"/>
        <v>0</v>
      </c>
      <c r="DB97" s="11">
        <f t="shared" si="81"/>
        <v>0</v>
      </c>
      <c r="DC97" s="11">
        <f t="shared" si="81"/>
        <v>0</v>
      </c>
      <c r="DD97" s="11">
        <f t="shared" si="81"/>
        <v>0</v>
      </c>
      <c r="DE97" s="11">
        <f t="shared" si="81"/>
        <v>0</v>
      </c>
      <c r="DF97" s="11">
        <f t="shared" si="81"/>
        <v>0</v>
      </c>
      <c r="DG97" s="12">
        <f t="shared" ref="DG97:EL97" si="82">DG182</f>
        <v>2011206.47</v>
      </c>
      <c r="DH97" s="12">
        <f t="shared" si="82"/>
        <v>1924599.05</v>
      </c>
      <c r="DI97" s="12">
        <f t="shared" si="82"/>
        <v>1658.1</v>
      </c>
      <c r="DJ97" s="12">
        <f t="shared" si="82"/>
        <v>812.02</v>
      </c>
      <c r="DK97" s="12">
        <f t="shared" si="82"/>
        <v>84949.32</v>
      </c>
      <c r="DL97" s="12">
        <f t="shared" si="82"/>
        <v>0</v>
      </c>
      <c r="DM97" s="12">
        <f t="shared" si="82"/>
        <v>116.93944696799997</v>
      </c>
      <c r="DN97" s="12">
        <f t="shared" si="82"/>
        <v>0</v>
      </c>
      <c r="DO97" s="12">
        <f t="shared" si="82"/>
        <v>0</v>
      </c>
      <c r="DP97" s="12">
        <f t="shared" si="82"/>
        <v>79920.19</v>
      </c>
      <c r="DQ97" s="12">
        <f t="shared" si="82"/>
        <v>42952.86</v>
      </c>
      <c r="DR97" s="12">
        <f t="shared" si="82"/>
        <v>0</v>
      </c>
      <c r="DS97" s="12">
        <f t="shared" si="82"/>
        <v>0</v>
      </c>
      <c r="DT97" s="12">
        <f t="shared" si="82"/>
        <v>2011206.47</v>
      </c>
      <c r="DU97" s="12">
        <f t="shared" si="82"/>
        <v>1924599.05</v>
      </c>
      <c r="DV97" s="12">
        <f t="shared" si="82"/>
        <v>1658.1</v>
      </c>
      <c r="DW97" s="12">
        <f t="shared" si="82"/>
        <v>812.02</v>
      </c>
      <c r="DX97" s="12">
        <f t="shared" si="82"/>
        <v>84949.32</v>
      </c>
      <c r="DY97" s="12">
        <f t="shared" si="82"/>
        <v>0</v>
      </c>
      <c r="DZ97" s="12">
        <f t="shared" si="82"/>
        <v>116.93944696799997</v>
      </c>
      <c r="EA97" s="12">
        <f t="shared" si="82"/>
        <v>0</v>
      </c>
      <c r="EB97" s="12">
        <f t="shared" si="82"/>
        <v>0</v>
      </c>
      <c r="EC97" s="12">
        <f t="shared" si="82"/>
        <v>79920.19</v>
      </c>
      <c r="ED97" s="12">
        <f t="shared" si="82"/>
        <v>42952.86</v>
      </c>
      <c r="EE97" s="12">
        <f t="shared" si="82"/>
        <v>0</v>
      </c>
      <c r="EF97" s="12">
        <f t="shared" si="82"/>
        <v>0</v>
      </c>
      <c r="EG97" s="12">
        <f t="shared" si="82"/>
        <v>0</v>
      </c>
      <c r="EH97" s="12">
        <f t="shared" si="82"/>
        <v>1849917.89</v>
      </c>
      <c r="EI97" s="12">
        <f t="shared" si="82"/>
        <v>0</v>
      </c>
      <c r="EJ97" s="12">
        <f t="shared" si="82"/>
        <v>2134079.52</v>
      </c>
      <c r="EK97" s="12">
        <f t="shared" si="82"/>
        <v>109845.81</v>
      </c>
      <c r="EL97" s="12">
        <f t="shared" si="82"/>
        <v>174315.82</v>
      </c>
      <c r="EM97" s="12">
        <f t="shared" ref="EM97:FR97" si="83">EM182</f>
        <v>0</v>
      </c>
      <c r="EN97" s="12">
        <f t="shared" si="83"/>
        <v>1924599.05</v>
      </c>
      <c r="EO97" s="12">
        <f t="shared" si="83"/>
        <v>74681.16</v>
      </c>
      <c r="EP97" s="12">
        <f t="shared" si="83"/>
        <v>0</v>
      </c>
      <c r="EQ97" s="12">
        <f t="shared" si="83"/>
        <v>74681.16</v>
      </c>
      <c r="ER97" s="12">
        <f t="shared" si="83"/>
        <v>1849917.89</v>
      </c>
      <c r="ES97" s="12">
        <f t="shared" si="83"/>
        <v>0</v>
      </c>
      <c r="ET97" s="12">
        <f t="shared" si="83"/>
        <v>0</v>
      </c>
      <c r="EU97" s="12">
        <f t="shared" si="83"/>
        <v>0</v>
      </c>
      <c r="EV97" s="12">
        <f t="shared" si="83"/>
        <v>0</v>
      </c>
      <c r="EW97" s="12">
        <f t="shared" si="83"/>
        <v>0</v>
      </c>
      <c r="EX97" s="12">
        <f t="shared" si="83"/>
        <v>0</v>
      </c>
      <c r="EY97" s="12">
        <f t="shared" si="83"/>
        <v>0</v>
      </c>
      <c r="EZ97" s="12">
        <f t="shared" si="83"/>
        <v>0</v>
      </c>
      <c r="FA97" s="12">
        <f t="shared" si="83"/>
        <v>0</v>
      </c>
      <c r="FB97" s="12">
        <f t="shared" si="83"/>
        <v>0</v>
      </c>
      <c r="FC97" s="12">
        <f t="shared" si="83"/>
        <v>0</v>
      </c>
      <c r="FD97" s="12">
        <f t="shared" si="83"/>
        <v>0</v>
      </c>
      <c r="FE97" s="12">
        <f t="shared" si="83"/>
        <v>0</v>
      </c>
      <c r="FF97" s="12">
        <f t="shared" si="83"/>
        <v>0</v>
      </c>
      <c r="FG97" s="12">
        <f t="shared" si="83"/>
        <v>0</v>
      </c>
      <c r="FH97" s="12">
        <f t="shared" si="83"/>
        <v>0</v>
      </c>
      <c r="FI97" s="12">
        <f t="shared" si="83"/>
        <v>0</v>
      </c>
      <c r="FJ97" s="12">
        <f t="shared" si="83"/>
        <v>0</v>
      </c>
      <c r="FK97" s="12">
        <f t="shared" si="83"/>
        <v>0</v>
      </c>
      <c r="FL97" s="12">
        <f t="shared" si="83"/>
        <v>0</v>
      </c>
      <c r="FM97" s="12">
        <f t="shared" si="83"/>
        <v>0</v>
      </c>
      <c r="FN97" s="12">
        <f t="shared" si="83"/>
        <v>0</v>
      </c>
      <c r="FO97" s="12">
        <f t="shared" si="83"/>
        <v>0</v>
      </c>
      <c r="FP97" s="12">
        <f t="shared" si="83"/>
        <v>0</v>
      </c>
      <c r="FQ97" s="12">
        <f t="shared" si="83"/>
        <v>1849917.89</v>
      </c>
      <c r="FR97" s="12">
        <f t="shared" si="83"/>
        <v>0</v>
      </c>
      <c r="FS97" s="12">
        <f t="shared" ref="FS97:GX97" si="84">FS182</f>
        <v>2134079.52</v>
      </c>
      <c r="FT97" s="12">
        <f t="shared" si="84"/>
        <v>109845.81</v>
      </c>
      <c r="FU97" s="12">
        <f t="shared" si="84"/>
        <v>174315.82</v>
      </c>
      <c r="FV97" s="12">
        <f t="shared" si="84"/>
        <v>0</v>
      </c>
      <c r="FW97" s="12">
        <f t="shared" si="84"/>
        <v>1924599.05</v>
      </c>
      <c r="FX97" s="12">
        <f t="shared" si="84"/>
        <v>74681.160000000149</v>
      </c>
      <c r="FY97" s="12">
        <f t="shared" si="84"/>
        <v>0</v>
      </c>
      <c r="FZ97" s="12">
        <f t="shared" si="84"/>
        <v>74681.160000000149</v>
      </c>
      <c r="GA97" s="12">
        <f t="shared" si="84"/>
        <v>1849917.89</v>
      </c>
      <c r="GB97" s="12">
        <f t="shared" si="84"/>
        <v>0</v>
      </c>
      <c r="GC97" s="12">
        <f t="shared" si="84"/>
        <v>0</v>
      </c>
      <c r="GD97" s="12">
        <f t="shared" si="84"/>
        <v>0</v>
      </c>
      <c r="GE97" s="12">
        <f t="shared" si="84"/>
        <v>0</v>
      </c>
      <c r="GF97" s="12">
        <f t="shared" si="84"/>
        <v>0</v>
      </c>
      <c r="GG97" s="12">
        <f t="shared" si="84"/>
        <v>0</v>
      </c>
      <c r="GH97" s="12">
        <f t="shared" si="84"/>
        <v>0</v>
      </c>
      <c r="GI97" s="12">
        <f t="shared" si="84"/>
        <v>0</v>
      </c>
      <c r="GJ97" s="12">
        <f t="shared" si="84"/>
        <v>0</v>
      </c>
      <c r="GK97" s="12">
        <f t="shared" si="84"/>
        <v>0</v>
      </c>
      <c r="GL97" s="12">
        <f t="shared" si="84"/>
        <v>0</v>
      </c>
      <c r="GM97" s="12">
        <f t="shared" si="84"/>
        <v>0</v>
      </c>
      <c r="GN97" s="12">
        <f t="shared" si="84"/>
        <v>0</v>
      </c>
      <c r="GO97" s="12">
        <f t="shared" si="84"/>
        <v>0</v>
      </c>
      <c r="GP97" s="12">
        <f t="shared" si="84"/>
        <v>0</v>
      </c>
      <c r="GQ97" s="12">
        <f t="shared" si="84"/>
        <v>0</v>
      </c>
      <c r="GR97" s="12">
        <f t="shared" si="84"/>
        <v>0</v>
      </c>
      <c r="GS97" s="12">
        <f t="shared" si="84"/>
        <v>0</v>
      </c>
      <c r="GT97" s="12">
        <f t="shared" si="84"/>
        <v>0</v>
      </c>
      <c r="GU97" s="12">
        <f t="shared" si="84"/>
        <v>0</v>
      </c>
      <c r="GV97" s="12">
        <f t="shared" si="84"/>
        <v>0</v>
      </c>
      <c r="GW97" s="12">
        <f t="shared" si="84"/>
        <v>0</v>
      </c>
      <c r="GX97" s="12">
        <f t="shared" si="84"/>
        <v>0</v>
      </c>
    </row>
    <row r="99" spans="1:255" x14ac:dyDescent="0.2">
      <c r="A99" s="2">
        <v>17</v>
      </c>
      <c r="B99" s="2">
        <v>1</v>
      </c>
      <c r="C99" s="2">
        <f>ROW(SmtRes!A131)</f>
        <v>131</v>
      </c>
      <c r="D99" s="2">
        <f>ROW(EtalonRes!A175)</f>
        <v>175</v>
      </c>
      <c r="E99" s="2" t="s">
        <v>187</v>
      </c>
      <c r="F99" s="2" t="s">
        <v>27</v>
      </c>
      <c r="G99" s="2" t="s">
        <v>188</v>
      </c>
      <c r="H99" s="2" t="s">
        <v>29</v>
      </c>
      <c r="I99" s="2">
        <v>8</v>
      </c>
      <c r="J99" s="2">
        <v>0</v>
      </c>
      <c r="K99" s="2">
        <v>8</v>
      </c>
      <c r="L99" s="2"/>
      <c r="M99" s="2"/>
      <c r="N99" s="2"/>
      <c r="O99" s="2">
        <f t="shared" ref="O99:O130" si="85">ROUND(CP99,2)</f>
        <v>259.52</v>
      </c>
      <c r="P99" s="2">
        <f t="shared" ref="P99:P118" si="86">ROUND((ROUND((AC99*AW99*I99),2)*BC99),2)</f>
        <v>27.44</v>
      </c>
      <c r="Q99" s="2">
        <f>(ROUND((ROUND((((ET99*1.2))*AV99*I99),2)*BB99),2)+ROUND((ROUND(((AE99-((EU99*1.2)))*AV99*I99),2)*BS99),2))</f>
        <v>0.5</v>
      </c>
      <c r="R99" s="2">
        <f>(ROUND((ROUND((((EU99*1.2))*AV99*I99),2)*BS99),2)+ROUND((ROUND(((AE99-((EU99*1.2)))*AV99*I99),2)*BS99),2))</f>
        <v>0.1</v>
      </c>
      <c r="S99" s="2">
        <f t="shared" ref="S99:S130" si="87">ROUND((ROUND((AF99*AV99*I99),2)*BA99),2)</f>
        <v>231.58</v>
      </c>
      <c r="T99" s="2">
        <f t="shared" ref="T99:T130" si="88">ROUND(CU99*I99,2)</f>
        <v>0</v>
      </c>
      <c r="U99" s="2">
        <f t="shared" ref="U99:U130" si="89">CV99*I99</f>
        <v>18.09216</v>
      </c>
      <c r="V99" s="2">
        <f t="shared" ref="V99:V130" si="90">CW99*I99</f>
        <v>0</v>
      </c>
      <c r="W99" s="2">
        <f t="shared" ref="W99:W130" si="91">ROUND(CX99*I99,2)</f>
        <v>0</v>
      </c>
      <c r="X99" s="2">
        <f>(ROUND((((S99+ROUND((ROUND((((EU99*1.2))*AV99*I99),2)*BS99),2))*AT99)/100),2)+ROUND(((ROUND((ROUND(((AE99-((EU99*1.2)))*AV99*I99),2)*BS99),2)*AT99)/100),2))</f>
        <v>208.51</v>
      </c>
      <c r="Y99" s="2">
        <f>(ROUND((((S99+ROUND((ROUND((((EU99*1.2))*AV99*I99),2)*BS99),2))*AU99)/100),2)+ROUND(((ROUND((ROUND(((AE99-((EU99*1.2)))*AV99*I99),2)*BS99),2)*AU99)/100),2))</f>
        <v>106.57</v>
      </c>
      <c r="Z99" s="2"/>
      <c r="AA99" s="2">
        <v>57248835</v>
      </c>
      <c r="AB99" s="2">
        <f t="shared" ref="AB99:AB130" si="92">ROUND((AC99+AD99+AF99),6)</f>
        <v>31.138000000000002</v>
      </c>
      <c r="AC99" s="2">
        <f>ROUND(((ES99*1)),6)</f>
        <v>3.43</v>
      </c>
      <c r="AD99" s="2">
        <f>ROUND(((((ET99*1.2))-((EU99*1.2)))+AE99),6)</f>
        <v>0.06</v>
      </c>
      <c r="AE99" s="2">
        <f>ROUND(((EU99*1.2)),6)</f>
        <v>1.2E-2</v>
      </c>
      <c r="AF99" s="2">
        <f>ROUND(((EV99*1.2)),6)</f>
        <v>27.648</v>
      </c>
      <c r="AG99" s="2">
        <f t="shared" ref="AG99:AG130" si="93">ROUND((AP99),6)</f>
        <v>0</v>
      </c>
      <c r="AH99" s="2">
        <f>((EW99*1.2))</f>
        <v>2.16</v>
      </c>
      <c r="AI99" s="2">
        <f>((EX99*1.2))</f>
        <v>0</v>
      </c>
      <c r="AJ99" s="2">
        <f t="shared" ref="AJ99:AJ130" si="94">(AS99)</f>
        <v>0</v>
      </c>
      <c r="AK99" s="2">
        <v>26.52</v>
      </c>
      <c r="AL99" s="2">
        <v>3.43</v>
      </c>
      <c r="AM99" s="2">
        <v>0.05</v>
      </c>
      <c r="AN99" s="2">
        <v>0.01</v>
      </c>
      <c r="AO99" s="2">
        <v>23.04</v>
      </c>
      <c r="AP99" s="2">
        <v>0</v>
      </c>
      <c r="AQ99" s="2">
        <v>1.8</v>
      </c>
      <c r="AR99" s="2">
        <v>0</v>
      </c>
      <c r="AS99" s="2">
        <v>0</v>
      </c>
      <c r="AT99" s="2">
        <v>90</v>
      </c>
      <c r="AU99" s="2">
        <v>46</v>
      </c>
      <c r="AV99" s="2">
        <v>1.0469999999999999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0</v>
      </c>
      <c r="BI99" s="2">
        <v>2</v>
      </c>
      <c r="BJ99" s="2" t="s">
        <v>30</v>
      </c>
      <c r="BK99" s="2"/>
      <c r="BL99" s="2"/>
      <c r="BM99" s="2">
        <v>68</v>
      </c>
      <c r="BN99" s="2">
        <v>0</v>
      </c>
      <c r="BO99" s="2" t="s">
        <v>27</v>
      </c>
      <c r="BP99" s="2">
        <v>1</v>
      </c>
      <c r="BQ99" s="2">
        <v>40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90</v>
      </c>
      <c r="CA99" s="2">
        <v>46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820</v>
      </c>
      <c r="CO99" s="2">
        <v>0</v>
      </c>
      <c r="CP99" s="2">
        <f t="shared" ref="CP99:CP130" si="95">(P99+Q99+S99)</f>
        <v>259.52000000000004</v>
      </c>
      <c r="CQ99" s="2">
        <f t="shared" ref="CQ99:CQ118" si="96">ROUND((ROUND((AC99*AW99*1),2)*BC99),2)</f>
        <v>3.43</v>
      </c>
      <c r="CR99" s="2">
        <f>(ROUND((ROUND((((ET99*1.2))*AV99*1),2)*BB99),2)+ROUND((ROUND(((AE99-((EU99*1.2)))*AV99*1),2)*BS99),2))</f>
        <v>0.06</v>
      </c>
      <c r="CS99" s="2">
        <f>(ROUND((ROUND((((EU99*1.2))*AV99*1),2)*BS99),2)+ROUND((ROUND(((AE99-((EU99*1.2)))*AV99*1),2)*BS99),2))</f>
        <v>0.01</v>
      </c>
      <c r="CT99" s="2">
        <f t="shared" ref="CT99:CT130" si="97">ROUND((ROUND((AF99*AV99*1),2)*BA99),2)</f>
        <v>28.95</v>
      </c>
      <c r="CU99" s="2">
        <f t="shared" ref="CU99:CU130" si="98">AG99</f>
        <v>0</v>
      </c>
      <c r="CV99" s="2">
        <f t="shared" ref="CV99:CV130" si="99">(AH99*AV99)</f>
        <v>2.26152</v>
      </c>
      <c r="CW99" s="2">
        <f t="shared" ref="CW99:CW130" si="100">AI99</f>
        <v>0</v>
      </c>
      <c r="CX99" s="2">
        <f t="shared" ref="CX99:CX130" si="101">AJ99</f>
        <v>0</v>
      </c>
      <c r="CY99" s="2">
        <f>(ROUND((((S99+ROUND((ROUND((((EU99*1.2))*AV99*1),2)*BS99),2))*AT99)/100),2)+ROUND(((ROUND((ROUND(((AE99-((EU99*1.2)))*AV99*1),2)*BS99),2)*AT99)/100),2))</f>
        <v>208.43</v>
      </c>
      <c r="CZ99" s="2">
        <f>(ROUND((((S99+ROUND((ROUND((((EU99*1.2))*AV99*1),2)*BS99),2))*AU99)/100),2)+ROUND(((ROUND((ROUND(((AE99-((EU99*1.2)))*AV99*1),2)*BS99),2)*AU99)/100),2))</f>
        <v>106.53</v>
      </c>
      <c r="DA99" s="2"/>
      <c r="DB99" s="2">
        <v>69</v>
      </c>
      <c r="DC99" s="2" t="s">
        <v>3</v>
      </c>
      <c r="DD99" s="2" t="s">
        <v>119</v>
      </c>
      <c r="DE99" s="2" t="s">
        <v>120</v>
      </c>
      <c r="DF99" s="2" t="s">
        <v>120</v>
      </c>
      <c r="DG99" s="2" t="s">
        <v>120</v>
      </c>
      <c r="DH99" s="2" t="s">
        <v>3</v>
      </c>
      <c r="DI99" s="2" t="s">
        <v>120</v>
      </c>
      <c r="DJ99" s="2" t="s">
        <v>120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1013</v>
      </c>
      <c r="DV99" s="2" t="s">
        <v>29</v>
      </c>
      <c r="DW99" s="2" t="s">
        <v>29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57248652</v>
      </c>
      <c r="EF99" s="2">
        <v>40</v>
      </c>
      <c r="EG99" s="2" t="s">
        <v>33</v>
      </c>
      <c r="EH99" s="2">
        <v>0</v>
      </c>
      <c r="EI99" s="2" t="s">
        <v>3</v>
      </c>
      <c r="EJ99" s="2">
        <v>2</v>
      </c>
      <c r="EK99" s="2">
        <v>68</v>
      </c>
      <c r="EL99" s="2" t="s">
        <v>34</v>
      </c>
      <c r="EM99" s="2" t="s">
        <v>35</v>
      </c>
      <c r="EN99" s="2"/>
      <c r="EO99" s="2" t="s">
        <v>124</v>
      </c>
      <c r="EP99" s="2"/>
      <c r="EQ99" s="2">
        <v>131072</v>
      </c>
      <c r="ER99" s="2">
        <v>26.52</v>
      </c>
      <c r="ES99" s="2">
        <v>3.43</v>
      </c>
      <c r="ET99" s="2">
        <v>0.05</v>
      </c>
      <c r="EU99" s="2">
        <v>0.01</v>
      </c>
      <c r="EV99" s="2">
        <v>23.04</v>
      </c>
      <c r="EW99" s="2">
        <v>1.8</v>
      </c>
      <c r="EX99" s="2">
        <v>0</v>
      </c>
      <c r="EY99" s="2">
        <v>0</v>
      </c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90</v>
      </c>
      <c r="FY99" s="2">
        <v>46</v>
      </c>
      <c r="FZ99" s="2"/>
      <c r="GA99" s="2" t="s">
        <v>3</v>
      </c>
      <c r="GB99" s="2"/>
      <c r="GC99" s="2"/>
      <c r="GD99" s="2">
        <v>1</v>
      </c>
      <c r="GE99" s="2"/>
      <c r="GF99" s="2">
        <v>1250165502</v>
      </c>
      <c r="GG99" s="2">
        <v>2</v>
      </c>
      <c r="GH99" s="2">
        <v>1</v>
      </c>
      <c r="GI99" s="2">
        <v>2</v>
      </c>
      <c r="GJ99" s="2">
        <v>0</v>
      </c>
      <c r="GK99" s="2">
        <v>0</v>
      </c>
      <c r="GL99" s="2">
        <f t="shared" ref="GL99:GL130" si="102">ROUND(IF(AND(BH99=3,BI99=3,FS99&lt;&gt;0),P99,0),2)</f>
        <v>0</v>
      </c>
      <c r="GM99" s="2">
        <f t="shared" ref="GM99:GM130" si="103">ROUND(O99+X99+Y99,2)+GX99</f>
        <v>574.6</v>
      </c>
      <c r="GN99" s="2">
        <f t="shared" ref="GN99:GN130" si="104">IF(OR(BI99=0,BI99=1),GM99-GX99,0)</f>
        <v>0</v>
      </c>
      <c r="GO99" s="2">
        <f t="shared" ref="GO99:GO130" si="105">IF(BI99=2,GM99-GX99,0)</f>
        <v>574.6</v>
      </c>
      <c r="GP99" s="2">
        <f t="shared" ref="GP99:GP130" si="106">IF(BI99=4,GM99-GX99,0)</f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ref="GV99:GV130" si="107">ROUND((GT99),6)</f>
        <v>0</v>
      </c>
      <c r="GW99" s="2">
        <v>1</v>
      </c>
      <c r="GX99" s="2">
        <f t="shared" ref="GX99:GX130" si="108">ROUND(HC99*I99,2)</f>
        <v>0</v>
      </c>
      <c r="GY99" s="2"/>
      <c r="GZ99" s="2"/>
      <c r="HA99" s="2">
        <v>0</v>
      </c>
      <c r="HB99" s="2">
        <v>0</v>
      </c>
      <c r="HC99" s="2">
        <f t="shared" ref="HC99:HC130" si="109">GV99*GW99</f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3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3">
        <v>17</v>
      </c>
      <c r="B100" s="3">
        <v>1</v>
      </c>
      <c r="C100" s="3">
        <f>ROW(SmtRes!A132)</f>
        <v>132</v>
      </c>
      <c r="D100" s="3">
        <f>ROW(EtalonRes!A176)</f>
        <v>176</v>
      </c>
      <c r="E100" s="3" t="s">
        <v>187</v>
      </c>
      <c r="F100" s="3" t="s">
        <v>27</v>
      </c>
      <c r="G100" s="3" t="s">
        <v>188</v>
      </c>
      <c r="H100" s="3" t="s">
        <v>29</v>
      </c>
      <c r="I100" s="3">
        <v>8</v>
      </c>
      <c r="J100" s="3">
        <v>0</v>
      </c>
      <c r="K100" s="3">
        <v>8</v>
      </c>
      <c r="O100" s="3">
        <f t="shared" si="85"/>
        <v>13329.54</v>
      </c>
      <c r="P100" s="3">
        <f t="shared" si="86"/>
        <v>270.01</v>
      </c>
      <c r="Q100" s="3">
        <f>(ROUND((ROUND((((ET100*1.2))*AV100*I100),2)*BB100),2)+ROUND((ROUND(((AE100-((EU100*1.2)))*AV100*I100),2)*BS100),2))</f>
        <v>10</v>
      </c>
      <c r="R100" s="3">
        <f>(ROUND((ROUND((((EU100*1.2))*AV100*I100),2)*BS100),2)+ROUND((ROUND(((AE100-((EU100*1.2)))*AV100*I100),2)*BS100),2))</f>
        <v>5.64</v>
      </c>
      <c r="S100" s="3">
        <f t="shared" si="87"/>
        <v>13049.53</v>
      </c>
      <c r="T100" s="3">
        <f t="shared" si="88"/>
        <v>0</v>
      </c>
      <c r="U100" s="3">
        <f t="shared" si="89"/>
        <v>18.09216</v>
      </c>
      <c r="V100" s="3">
        <f t="shared" si="90"/>
        <v>0</v>
      </c>
      <c r="W100" s="3">
        <f t="shared" si="91"/>
        <v>0</v>
      </c>
      <c r="X100" s="3">
        <f>(ROUND((((S100+ROUND((ROUND((((EU100*1.2))*AV100*I100),2)*BS100),2))*AT100)/100),2)+ROUND(((ROUND((ROUND(((AE100-((EU100*1.2)))*AV100*I100),2)*BS100),2)*AT100)/100),2))</f>
        <v>11749.65</v>
      </c>
      <c r="Y100" s="3">
        <f>(ROUND((((S100+ROUND((ROUND((((EU100*1.2))*AV100*I100),2)*BS100),2))*AU100)/100),2)+ROUND(((ROUND((ROUND(((AE100-((EU100*1.2)))*AV100*I100),2)*BS100),2)*AU100)/100),2))</f>
        <v>6005.38</v>
      </c>
      <c r="AA100" s="3">
        <v>57248837</v>
      </c>
      <c r="AB100" s="3">
        <f t="shared" si="92"/>
        <v>31.138000000000002</v>
      </c>
      <c r="AC100" s="3">
        <f>ROUND(((ES100*1)),6)</f>
        <v>3.43</v>
      </c>
      <c r="AD100" s="3">
        <f>ROUND(((((ET100*1.2))-((EU100*1.2)))+AE100),6)</f>
        <v>0.06</v>
      </c>
      <c r="AE100" s="3">
        <f>ROUND(((EU100*1.2)),6)</f>
        <v>1.2E-2</v>
      </c>
      <c r="AF100" s="3">
        <f>ROUND(((EV100*1.2)),6)</f>
        <v>27.648</v>
      </c>
      <c r="AG100" s="3">
        <f t="shared" si="93"/>
        <v>0</v>
      </c>
      <c r="AH100" s="3">
        <f>((EW100*1.2))</f>
        <v>2.16</v>
      </c>
      <c r="AI100" s="3">
        <f>((EX100*1.2))</f>
        <v>0</v>
      </c>
      <c r="AJ100" s="3">
        <f t="shared" si="94"/>
        <v>0</v>
      </c>
      <c r="AK100" s="3">
        <v>26.52</v>
      </c>
      <c r="AL100" s="3">
        <v>3.43</v>
      </c>
      <c r="AM100" s="3">
        <v>0.05</v>
      </c>
      <c r="AN100" s="3">
        <v>0.01</v>
      </c>
      <c r="AO100" s="3">
        <v>23.04</v>
      </c>
      <c r="AP100" s="3">
        <v>0</v>
      </c>
      <c r="AQ100" s="3">
        <v>1.8</v>
      </c>
      <c r="AR100" s="3">
        <v>0</v>
      </c>
      <c r="AS100" s="3">
        <v>0</v>
      </c>
      <c r="AT100" s="3">
        <v>90</v>
      </c>
      <c r="AU100" s="3">
        <v>46</v>
      </c>
      <c r="AV100" s="3">
        <v>1.0469999999999999</v>
      </c>
      <c r="AW100" s="3">
        <v>1</v>
      </c>
      <c r="AZ100" s="3">
        <v>1</v>
      </c>
      <c r="BA100" s="3">
        <v>56.35</v>
      </c>
      <c r="BB100" s="3">
        <v>20</v>
      </c>
      <c r="BC100" s="3">
        <v>9.84</v>
      </c>
      <c r="BD100" s="3" t="s">
        <v>3</v>
      </c>
      <c r="BE100" s="3" t="s">
        <v>3</v>
      </c>
      <c r="BF100" s="3" t="s">
        <v>3</v>
      </c>
      <c r="BG100" s="3" t="s">
        <v>3</v>
      </c>
      <c r="BH100" s="3">
        <v>0</v>
      </c>
      <c r="BI100" s="3">
        <v>2</v>
      </c>
      <c r="BJ100" s="3" t="s">
        <v>30</v>
      </c>
      <c r="BM100" s="3">
        <v>68</v>
      </c>
      <c r="BN100" s="3">
        <v>0</v>
      </c>
      <c r="BO100" s="3" t="s">
        <v>27</v>
      </c>
      <c r="BP100" s="3">
        <v>1</v>
      </c>
      <c r="BQ100" s="3">
        <v>40</v>
      </c>
      <c r="BR100" s="3">
        <v>0</v>
      </c>
      <c r="BS100" s="3">
        <v>56.35</v>
      </c>
      <c r="BT100" s="3">
        <v>1</v>
      </c>
      <c r="BU100" s="3">
        <v>1</v>
      </c>
      <c r="BV100" s="3">
        <v>1</v>
      </c>
      <c r="BW100" s="3">
        <v>1</v>
      </c>
      <c r="BX100" s="3">
        <v>1</v>
      </c>
      <c r="BY100" s="3" t="s">
        <v>3</v>
      </c>
      <c r="BZ100" s="3">
        <v>90</v>
      </c>
      <c r="CA100" s="3">
        <v>46</v>
      </c>
      <c r="CB100" s="3" t="s">
        <v>3</v>
      </c>
      <c r="CE100" s="3">
        <v>1566</v>
      </c>
      <c r="CF100" s="3">
        <v>0</v>
      </c>
      <c r="CG100" s="3">
        <v>0</v>
      </c>
      <c r="CM100" s="3">
        <v>0</v>
      </c>
      <c r="CN100" s="3" t="s">
        <v>820</v>
      </c>
      <c r="CO100" s="3">
        <v>0</v>
      </c>
      <c r="CP100" s="3">
        <f t="shared" si="95"/>
        <v>13329.54</v>
      </c>
      <c r="CQ100" s="3">
        <f t="shared" si="96"/>
        <v>33.75</v>
      </c>
      <c r="CR100" s="3">
        <f>(ROUND((ROUND((((ET100*1.2))*AV100*1),2)*BB100),2)+ROUND((ROUND(((AE100-((EU100*1.2)))*AV100*1),2)*BS100),2))</f>
        <v>1.2</v>
      </c>
      <c r="CS100" s="3">
        <f>(ROUND((ROUND((((EU100*1.2))*AV100*1),2)*BS100),2)+ROUND((ROUND(((AE100-((EU100*1.2)))*AV100*1),2)*BS100),2))</f>
        <v>0.56000000000000005</v>
      </c>
      <c r="CT100" s="3">
        <f t="shared" si="97"/>
        <v>1631.33</v>
      </c>
      <c r="CU100" s="3">
        <f t="shared" si="98"/>
        <v>0</v>
      </c>
      <c r="CV100" s="3">
        <f t="shared" si="99"/>
        <v>2.26152</v>
      </c>
      <c r="CW100" s="3">
        <f t="shared" si="100"/>
        <v>0</v>
      </c>
      <c r="CX100" s="3">
        <f t="shared" si="101"/>
        <v>0</v>
      </c>
      <c r="CY100" s="3">
        <f>(ROUND((((S100+ROUND((ROUND((((EU100*1.2))*AV100*1),2)*BS100),2))*AT100)/100),2)+ROUND(((ROUND((ROUND(((AE100-((EU100*1.2)))*AV100*1),2)*BS100),2)*AT100)/100),2))</f>
        <v>11745.08</v>
      </c>
      <c r="CZ100" s="3">
        <f>(ROUND((((S100+ROUND((ROUND((((EU100*1.2))*AV100*1),2)*BS100),2))*AU100)/100),2)+ROUND(((ROUND((ROUND(((AE100-((EU100*1.2)))*AV100*1),2)*BS100),2)*AU100)/100),2))</f>
        <v>6003.04</v>
      </c>
      <c r="DB100" s="3">
        <v>70</v>
      </c>
      <c r="DC100" s="3" t="s">
        <v>3</v>
      </c>
      <c r="DD100" s="3" t="s">
        <v>119</v>
      </c>
      <c r="DE100" s="3" t="s">
        <v>120</v>
      </c>
      <c r="DF100" s="3" t="s">
        <v>120</v>
      </c>
      <c r="DG100" s="3" t="s">
        <v>120</v>
      </c>
      <c r="DH100" s="3" t="s">
        <v>3</v>
      </c>
      <c r="DI100" s="3" t="s">
        <v>120</v>
      </c>
      <c r="DJ100" s="3" t="s">
        <v>120</v>
      </c>
      <c r="DK100" s="3" t="s">
        <v>3</v>
      </c>
      <c r="DL100" s="3" t="s">
        <v>3</v>
      </c>
      <c r="DM100" s="3" t="s">
        <v>3</v>
      </c>
      <c r="DN100" s="3">
        <v>0</v>
      </c>
      <c r="DO100" s="3">
        <v>0</v>
      </c>
      <c r="DP100" s="3">
        <v>1</v>
      </c>
      <c r="DQ100" s="3">
        <v>1</v>
      </c>
      <c r="DU100" s="3">
        <v>1013</v>
      </c>
      <c r="DV100" s="3" t="s">
        <v>29</v>
      </c>
      <c r="DW100" s="3" t="s">
        <v>29</v>
      </c>
      <c r="DX100" s="3">
        <v>1</v>
      </c>
      <c r="DZ100" s="3" t="s">
        <v>3</v>
      </c>
      <c r="EA100" s="3" t="s">
        <v>3</v>
      </c>
      <c r="EB100" s="3" t="s">
        <v>3</v>
      </c>
      <c r="EC100" s="3" t="s">
        <v>3</v>
      </c>
      <c r="EE100" s="3">
        <v>57248652</v>
      </c>
      <c r="EF100" s="3">
        <v>40</v>
      </c>
      <c r="EG100" s="3" t="s">
        <v>33</v>
      </c>
      <c r="EH100" s="3">
        <v>0</v>
      </c>
      <c r="EI100" s="3" t="s">
        <v>3</v>
      </c>
      <c r="EJ100" s="3">
        <v>2</v>
      </c>
      <c r="EK100" s="3">
        <v>68</v>
      </c>
      <c r="EL100" s="3" t="s">
        <v>34</v>
      </c>
      <c r="EM100" s="3" t="s">
        <v>35</v>
      </c>
      <c r="EO100" s="3" t="s">
        <v>124</v>
      </c>
      <c r="EQ100" s="3">
        <v>131072</v>
      </c>
      <c r="ER100" s="3">
        <v>26.52</v>
      </c>
      <c r="ES100" s="3">
        <v>3.43</v>
      </c>
      <c r="ET100" s="3">
        <v>0.05</v>
      </c>
      <c r="EU100" s="3">
        <v>0.01</v>
      </c>
      <c r="EV100" s="3">
        <v>23.04</v>
      </c>
      <c r="EW100" s="3">
        <v>1.8</v>
      </c>
      <c r="EX100" s="3">
        <v>0</v>
      </c>
      <c r="EY100" s="3">
        <v>0</v>
      </c>
      <c r="FQ100" s="3">
        <v>0</v>
      </c>
      <c r="FR100" s="3">
        <v>0</v>
      </c>
      <c r="FS100" s="3">
        <v>0</v>
      </c>
      <c r="FX100" s="3">
        <v>90</v>
      </c>
      <c r="FY100" s="3">
        <v>46</v>
      </c>
      <c r="GA100" s="3" t="s">
        <v>3</v>
      </c>
      <c r="GD100" s="3">
        <v>1</v>
      </c>
      <c r="GF100" s="3">
        <v>1250165502</v>
      </c>
      <c r="GG100" s="3">
        <v>2</v>
      </c>
      <c r="GH100" s="3">
        <v>1</v>
      </c>
      <c r="GI100" s="3">
        <v>2</v>
      </c>
      <c r="GJ100" s="3">
        <v>0</v>
      </c>
      <c r="GK100" s="3">
        <v>0</v>
      </c>
      <c r="GL100" s="3">
        <f t="shared" si="102"/>
        <v>0</v>
      </c>
      <c r="GM100" s="3">
        <f t="shared" si="103"/>
        <v>31084.57</v>
      </c>
      <c r="GN100" s="3">
        <f t="shared" si="104"/>
        <v>0</v>
      </c>
      <c r="GO100" s="3">
        <f t="shared" si="105"/>
        <v>31084.57</v>
      </c>
      <c r="GP100" s="3">
        <f t="shared" si="106"/>
        <v>0</v>
      </c>
      <c r="GR100" s="3">
        <v>0</v>
      </c>
      <c r="GS100" s="3">
        <v>3</v>
      </c>
      <c r="GT100" s="3">
        <v>0</v>
      </c>
      <c r="GU100" s="3" t="s">
        <v>3</v>
      </c>
      <c r="GV100" s="3">
        <f t="shared" si="107"/>
        <v>0</v>
      </c>
      <c r="GW100" s="3">
        <v>1</v>
      </c>
      <c r="GX100" s="3">
        <f t="shared" si="108"/>
        <v>0</v>
      </c>
      <c r="HA100" s="3">
        <v>0</v>
      </c>
      <c r="HB100" s="3">
        <v>0</v>
      </c>
      <c r="HC100" s="3">
        <f t="shared" si="109"/>
        <v>0</v>
      </c>
      <c r="HE100" s="3" t="s">
        <v>3</v>
      </c>
      <c r="HF100" s="3" t="s">
        <v>3</v>
      </c>
      <c r="HM100" s="3" t="s">
        <v>3</v>
      </c>
      <c r="HN100" s="3" t="s">
        <v>3</v>
      </c>
      <c r="HO100" s="3" t="s">
        <v>3</v>
      </c>
      <c r="HP100" s="3" t="s">
        <v>3</v>
      </c>
      <c r="HQ100" s="3" t="s">
        <v>3</v>
      </c>
      <c r="HS100" s="3">
        <v>0</v>
      </c>
      <c r="IK100" s="3">
        <v>0</v>
      </c>
    </row>
    <row r="101" spans="1:255" x14ac:dyDescent="0.2">
      <c r="A101" s="2">
        <v>17</v>
      </c>
      <c r="B101" s="2">
        <v>1</v>
      </c>
      <c r="C101" s="2"/>
      <c r="D101" s="2"/>
      <c r="E101" s="2" t="s">
        <v>189</v>
      </c>
      <c r="F101" s="2" t="s">
        <v>190</v>
      </c>
      <c r="G101" s="2" t="s">
        <v>191</v>
      </c>
      <c r="H101" s="2" t="s">
        <v>192</v>
      </c>
      <c r="I101" s="2">
        <v>8</v>
      </c>
      <c r="J101" s="2">
        <v>0</v>
      </c>
      <c r="K101" s="2">
        <v>8</v>
      </c>
      <c r="L101" s="2"/>
      <c r="M101" s="2"/>
      <c r="N101" s="2"/>
      <c r="O101" s="2">
        <f t="shared" si="85"/>
        <v>6676.32</v>
      </c>
      <c r="P101" s="2">
        <f t="shared" si="86"/>
        <v>6676.32</v>
      </c>
      <c r="Q101" s="2">
        <f t="shared" ref="Q101:Q106" si="110">(ROUND((ROUND(((ET101)*AV101*I101),2)*BB101),2)+ROUND((ROUND(((AE101-(EU101))*AV101*I101),2)*BS101),2))</f>
        <v>0</v>
      </c>
      <c r="R101" s="2">
        <f t="shared" ref="R101:R106" si="111">(ROUND((ROUND(((EU101)*AV101*I101),2)*BS101),2)+ROUND((ROUND(((AE101-(EU101))*AV101*I101),2)*BS101),2))</f>
        <v>0</v>
      </c>
      <c r="S101" s="2">
        <f t="shared" si="87"/>
        <v>0</v>
      </c>
      <c r="T101" s="2">
        <f t="shared" si="88"/>
        <v>0</v>
      </c>
      <c r="U101" s="2">
        <f t="shared" si="89"/>
        <v>0</v>
      </c>
      <c r="V101" s="2">
        <f t="shared" si="90"/>
        <v>0</v>
      </c>
      <c r="W101" s="2">
        <f t="shared" si="91"/>
        <v>0</v>
      </c>
      <c r="X101" s="2">
        <f t="shared" ref="X101:X106" si="112">(ROUND((((S101+ROUND((ROUND(((EU101)*AV101*I101),2)*BS101),2))*AT101)/100),2)+ROUND(((ROUND((ROUND(((AE101-(EU101))*AV101*I101),2)*BS101),2)*AT101)/100),2))</f>
        <v>0</v>
      </c>
      <c r="Y101" s="2">
        <f t="shared" ref="Y101:Y106" si="113">(ROUND((((S101+ROUND((ROUND(((EU101)*AV101*I101),2)*BS101),2))*AU101)/100),2)+ROUND(((ROUND((ROUND(((AE101-(EU101))*AV101*I101),2)*BS101),2)*AU101)/100),2))</f>
        <v>0</v>
      </c>
      <c r="Z101" s="2"/>
      <c r="AA101" s="2">
        <v>57248835</v>
      </c>
      <c r="AB101" s="2">
        <f t="shared" si="92"/>
        <v>834.54</v>
      </c>
      <c r="AC101" s="2">
        <f t="shared" ref="AC101:AC106" si="114">ROUND((ES101),6)</f>
        <v>834.54</v>
      </c>
      <c r="AD101" s="2">
        <f t="shared" ref="AD101:AD106" si="115">ROUND((((ET101)-(EU101))+AE101),6)</f>
        <v>0</v>
      </c>
      <c r="AE101" s="2">
        <f t="shared" ref="AE101:AF106" si="116">ROUND((EU101),6)</f>
        <v>0</v>
      </c>
      <c r="AF101" s="2">
        <f t="shared" si="116"/>
        <v>0</v>
      </c>
      <c r="AG101" s="2">
        <f t="shared" si="93"/>
        <v>0</v>
      </c>
      <c r="AH101" s="2">
        <f t="shared" ref="AH101:AI106" si="117">(EW101)</f>
        <v>0</v>
      </c>
      <c r="AI101" s="2">
        <f t="shared" si="117"/>
        <v>0</v>
      </c>
      <c r="AJ101" s="2">
        <f t="shared" si="94"/>
        <v>0</v>
      </c>
      <c r="AK101" s="2">
        <v>834.54</v>
      </c>
      <c r="AL101" s="2">
        <v>834.54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3</v>
      </c>
      <c r="BJ101" s="2" t="s">
        <v>190</v>
      </c>
      <c r="BK101" s="2"/>
      <c r="BL101" s="2"/>
      <c r="BM101" s="2">
        <v>400007</v>
      </c>
      <c r="BN101" s="2">
        <v>0</v>
      </c>
      <c r="BO101" s="2" t="s">
        <v>3</v>
      </c>
      <c r="BP101" s="2">
        <v>0</v>
      </c>
      <c r="BQ101" s="2">
        <v>214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0</v>
      </c>
      <c r="CA101" s="2">
        <v>0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3</v>
      </c>
      <c r="CO101" s="2">
        <v>0</v>
      </c>
      <c r="CP101" s="2">
        <f t="shared" si="95"/>
        <v>6676.32</v>
      </c>
      <c r="CQ101" s="2">
        <f t="shared" si="96"/>
        <v>834.54</v>
      </c>
      <c r="CR101" s="2">
        <f t="shared" ref="CR101:CR106" si="118">(ROUND((ROUND(((ET101)*AV101*1),2)*BB101),2)+ROUND((ROUND(((AE101-(EU101))*AV101*1),2)*BS101),2))</f>
        <v>0</v>
      </c>
      <c r="CS101" s="2">
        <f t="shared" ref="CS101:CS106" si="119">(ROUND((ROUND(((EU101)*AV101*1),2)*BS101),2)+ROUND((ROUND(((AE101-(EU101))*AV101*1),2)*BS101),2))</f>
        <v>0</v>
      </c>
      <c r="CT101" s="2">
        <f t="shared" si="97"/>
        <v>0</v>
      </c>
      <c r="CU101" s="2">
        <f t="shared" si="98"/>
        <v>0</v>
      </c>
      <c r="CV101" s="2">
        <f t="shared" si="99"/>
        <v>0</v>
      </c>
      <c r="CW101" s="2">
        <f t="shared" si="100"/>
        <v>0</v>
      </c>
      <c r="CX101" s="2">
        <f t="shared" si="101"/>
        <v>0</v>
      </c>
      <c r="CY101" s="2">
        <f t="shared" ref="CY101:CY106" si="120">(ROUND((((S101+ROUND((ROUND(((EU101)*AV101*1),2)*BS101),2))*AT101)/100),2)+ROUND(((ROUND((ROUND(((AE101-(EU101))*AV101*1),2)*BS101),2)*AT101)/100),2))</f>
        <v>0</v>
      </c>
      <c r="CZ101" s="2">
        <f t="shared" ref="CZ101:CZ106" si="121"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1013</v>
      </c>
      <c r="DV101" s="2" t="s">
        <v>192</v>
      </c>
      <c r="DW101" s="2" t="s">
        <v>192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57248792</v>
      </c>
      <c r="EF101" s="2">
        <v>214</v>
      </c>
      <c r="EG101" s="2" t="s">
        <v>193</v>
      </c>
      <c r="EH101" s="2">
        <v>0</v>
      </c>
      <c r="EI101" s="2" t="s">
        <v>3</v>
      </c>
      <c r="EJ101" s="2">
        <v>3</v>
      </c>
      <c r="EK101" s="2">
        <v>400007</v>
      </c>
      <c r="EL101" s="2" t="s">
        <v>193</v>
      </c>
      <c r="EM101" s="2" t="s">
        <v>194</v>
      </c>
      <c r="EN101" s="2"/>
      <c r="EO101" s="2" t="s">
        <v>3</v>
      </c>
      <c r="EP101" s="2"/>
      <c r="EQ101" s="2">
        <v>131088</v>
      </c>
      <c r="ER101" s="2">
        <v>0</v>
      </c>
      <c r="ES101" s="2">
        <v>834.54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f>P101</f>
        <v>6676.32</v>
      </c>
      <c r="FS101" s="2">
        <v>0</v>
      </c>
      <c r="FT101" s="2"/>
      <c r="FU101" s="2"/>
      <c r="FV101" s="2"/>
      <c r="FW101" s="2"/>
      <c r="FX101" s="2">
        <v>0</v>
      </c>
      <c r="FY101" s="2">
        <v>0</v>
      </c>
      <c r="FZ101" s="2"/>
      <c r="GA101" s="2" t="s">
        <v>195</v>
      </c>
      <c r="GB101" s="2"/>
      <c r="GC101" s="2"/>
      <c r="GD101" s="2">
        <v>1</v>
      </c>
      <c r="GE101" s="2"/>
      <c r="GF101" s="2">
        <v>1086867714</v>
      </c>
      <c r="GG101" s="2">
        <v>2</v>
      </c>
      <c r="GH101" s="2">
        <v>4</v>
      </c>
      <c r="GI101" s="2">
        <v>-2</v>
      </c>
      <c r="GJ101" s="2">
        <v>0</v>
      </c>
      <c r="GK101" s="2">
        <v>0</v>
      </c>
      <c r="GL101" s="2">
        <f t="shared" si="102"/>
        <v>0</v>
      </c>
      <c r="GM101" s="2">
        <f t="shared" si="103"/>
        <v>6676.32</v>
      </c>
      <c r="GN101" s="2">
        <f t="shared" si="104"/>
        <v>0</v>
      </c>
      <c r="GO101" s="2">
        <f t="shared" si="105"/>
        <v>0</v>
      </c>
      <c r="GP101" s="2">
        <f t="shared" si="106"/>
        <v>0</v>
      </c>
      <c r="GQ101" s="2"/>
      <c r="GR101" s="2">
        <v>1</v>
      </c>
      <c r="GS101" s="2">
        <v>2</v>
      </c>
      <c r="GT101" s="2">
        <v>0</v>
      </c>
      <c r="GU101" s="2" t="s">
        <v>3</v>
      </c>
      <c r="GV101" s="2">
        <f t="shared" si="107"/>
        <v>0</v>
      </c>
      <c r="GW101" s="2">
        <v>1</v>
      </c>
      <c r="GX101" s="2">
        <f t="shared" si="108"/>
        <v>0</v>
      </c>
      <c r="GY101" s="2"/>
      <c r="GZ101" s="2"/>
      <c r="HA101" s="2">
        <v>0</v>
      </c>
      <c r="HB101" s="2">
        <v>0</v>
      </c>
      <c r="HC101" s="2">
        <f t="shared" si="109"/>
        <v>0</v>
      </c>
      <c r="HD101" s="2"/>
      <c r="HE101" s="2" t="s">
        <v>41</v>
      </c>
      <c r="HF101" s="2" t="s">
        <v>196</v>
      </c>
      <c r="HG101" s="2"/>
      <c r="HH101" s="2"/>
      <c r="HI101" s="2"/>
      <c r="HJ101" s="2"/>
      <c r="HK101" s="2"/>
      <c r="HL101" s="2"/>
      <c r="HM101" s="2" t="s">
        <v>3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3">
        <v>17</v>
      </c>
      <c r="B102" s="3">
        <v>1</v>
      </c>
      <c r="E102" s="3" t="s">
        <v>189</v>
      </c>
      <c r="F102" s="3" t="s">
        <v>190</v>
      </c>
      <c r="G102" s="3" t="s">
        <v>191</v>
      </c>
      <c r="H102" s="3" t="s">
        <v>192</v>
      </c>
      <c r="I102" s="3">
        <v>8</v>
      </c>
      <c r="J102" s="3">
        <v>0</v>
      </c>
      <c r="K102" s="3">
        <v>8</v>
      </c>
      <c r="O102" s="3">
        <f t="shared" si="85"/>
        <v>50539.74</v>
      </c>
      <c r="P102" s="3">
        <f t="shared" si="86"/>
        <v>50539.74</v>
      </c>
      <c r="Q102" s="3">
        <f t="shared" si="110"/>
        <v>0</v>
      </c>
      <c r="R102" s="3">
        <f t="shared" si="111"/>
        <v>0</v>
      </c>
      <c r="S102" s="3">
        <f t="shared" si="87"/>
        <v>0</v>
      </c>
      <c r="T102" s="3">
        <f t="shared" si="88"/>
        <v>0</v>
      </c>
      <c r="U102" s="3">
        <f t="shared" si="89"/>
        <v>0</v>
      </c>
      <c r="V102" s="3">
        <f t="shared" si="90"/>
        <v>0</v>
      </c>
      <c r="W102" s="3">
        <f t="shared" si="91"/>
        <v>0</v>
      </c>
      <c r="X102" s="3">
        <f t="shared" si="112"/>
        <v>0</v>
      </c>
      <c r="Y102" s="3">
        <f t="shared" si="113"/>
        <v>0</v>
      </c>
      <c r="AA102" s="3">
        <v>57248837</v>
      </c>
      <c r="AB102" s="3">
        <f t="shared" si="92"/>
        <v>834.54</v>
      </c>
      <c r="AC102" s="3">
        <f t="shared" si="114"/>
        <v>834.54</v>
      </c>
      <c r="AD102" s="3">
        <f t="shared" si="115"/>
        <v>0</v>
      </c>
      <c r="AE102" s="3">
        <f t="shared" si="116"/>
        <v>0</v>
      </c>
      <c r="AF102" s="3">
        <f t="shared" si="116"/>
        <v>0</v>
      </c>
      <c r="AG102" s="3">
        <f t="shared" si="93"/>
        <v>0</v>
      </c>
      <c r="AH102" s="3">
        <f t="shared" si="117"/>
        <v>0</v>
      </c>
      <c r="AI102" s="3">
        <f t="shared" si="117"/>
        <v>0</v>
      </c>
      <c r="AJ102" s="3">
        <f t="shared" si="94"/>
        <v>0</v>
      </c>
      <c r="AK102" s="3">
        <v>834.54</v>
      </c>
      <c r="AL102" s="3">
        <v>834.54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</v>
      </c>
      <c r="AW102" s="3">
        <v>1</v>
      </c>
      <c r="AZ102" s="3">
        <v>1</v>
      </c>
      <c r="BA102" s="3">
        <v>1</v>
      </c>
      <c r="BB102" s="3">
        <v>1</v>
      </c>
      <c r="BC102" s="3">
        <v>7.57</v>
      </c>
      <c r="BD102" s="3" t="s">
        <v>3</v>
      </c>
      <c r="BE102" s="3" t="s">
        <v>3</v>
      </c>
      <c r="BF102" s="3" t="s">
        <v>3</v>
      </c>
      <c r="BG102" s="3" t="s">
        <v>3</v>
      </c>
      <c r="BH102" s="3">
        <v>3</v>
      </c>
      <c r="BI102" s="3">
        <v>3</v>
      </c>
      <c r="BJ102" s="3" t="s">
        <v>190</v>
      </c>
      <c r="BM102" s="3">
        <v>400007</v>
      </c>
      <c r="BN102" s="3">
        <v>0</v>
      </c>
      <c r="BO102" s="3" t="s">
        <v>3</v>
      </c>
      <c r="BP102" s="3">
        <v>0</v>
      </c>
      <c r="BQ102" s="3">
        <v>214</v>
      </c>
      <c r="BR102" s="3">
        <v>0</v>
      </c>
      <c r="BS102" s="3">
        <v>1</v>
      </c>
      <c r="BT102" s="3">
        <v>1</v>
      </c>
      <c r="BU102" s="3">
        <v>1</v>
      </c>
      <c r="BV102" s="3">
        <v>1</v>
      </c>
      <c r="BW102" s="3">
        <v>1</v>
      </c>
      <c r="BX102" s="3">
        <v>1</v>
      </c>
      <c r="BY102" s="3" t="s">
        <v>3</v>
      </c>
      <c r="BZ102" s="3">
        <v>0</v>
      </c>
      <c r="CA102" s="3">
        <v>0</v>
      </c>
      <c r="CB102" s="3" t="s">
        <v>3</v>
      </c>
      <c r="CE102" s="3">
        <v>1566</v>
      </c>
      <c r="CF102" s="3">
        <v>0</v>
      </c>
      <c r="CG102" s="3">
        <v>0</v>
      </c>
      <c r="CM102" s="3">
        <v>0</v>
      </c>
      <c r="CN102" s="3" t="s">
        <v>3</v>
      </c>
      <c r="CO102" s="3">
        <v>0</v>
      </c>
      <c r="CP102" s="3">
        <f t="shared" si="95"/>
        <v>50539.74</v>
      </c>
      <c r="CQ102" s="3">
        <f t="shared" si="96"/>
        <v>6317.47</v>
      </c>
      <c r="CR102" s="3">
        <f t="shared" si="118"/>
        <v>0</v>
      </c>
      <c r="CS102" s="3">
        <f t="shared" si="119"/>
        <v>0</v>
      </c>
      <c r="CT102" s="3">
        <f t="shared" si="97"/>
        <v>0</v>
      </c>
      <c r="CU102" s="3">
        <f t="shared" si="98"/>
        <v>0</v>
      </c>
      <c r="CV102" s="3">
        <f t="shared" si="99"/>
        <v>0</v>
      </c>
      <c r="CW102" s="3">
        <f t="shared" si="100"/>
        <v>0</v>
      </c>
      <c r="CX102" s="3">
        <f t="shared" si="101"/>
        <v>0</v>
      </c>
      <c r="CY102" s="3">
        <f t="shared" si="120"/>
        <v>0</v>
      </c>
      <c r="CZ102" s="3">
        <f t="shared" si="121"/>
        <v>0</v>
      </c>
      <c r="DC102" s="3" t="s">
        <v>3</v>
      </c>
      <c r="DD102" s="3" t="s">
        <v>3</v>
      </c>
      <c r="DE102" s="3" t="s">
        <v>3</v>
      </c>
      <c r="DF102" s="3" t="s">
        <v>3</v>
      </c>
      <c r="DG102" s="3" t="s">
        <v>3</v>
      </c>
      <c r="DH102" s="3" t="s">
        <v>3</v>
      </c>
      <c r="DI102" s="3" t="s">
        <v>3</v>
      </c>
      <c r="DJ102" s="3" t="s">
        <v>3</v>
      </c>
      <c r="DK102" s="3" t="s">
        <v>3</v>
      </c>
      <c r="DL102" s="3" t="s">
        <v>3</v>
      </c>
      <c r="DM102" s="3" t="s">
        <v>3</v>
      </c>
      <c r="DN102" s="3">
        <v>0</v>
      </c>
      <c r="DO102" s="3">
        <v>0</v>
      </c>
      <c r="DP102" s="3">
        <v>1</v>
      </c>
      <c r="DQ102" s="3">
        <v>1</v>
      </c>
      <c r="DU102" s="3">
        <v>1013</v>
      </c>
      <c r="DV102" s="3" t="s">
        <v>192</v>
      </c>
      <c r="DW102" s="3" t="s">
        <v>192</v>
      </c>
      <c r="DX102" s="3">
        <v>1</v>
      </c>
      <c r="DZ102" s="3" t="s">
        <v>3</v>
      </c>
      <c r="EA102" s="3" t="s">
        <v>3</v>
      </c>
      <c r="EB102" s="3" t="s">
        <v>3</v>
      </c>
      <c r="EC102" s="3" t="s">
        <v>3</v>
      </c>
      <c r="EE102" s="3">
        <v>57248792</v>
      </c>
      <c r="EF102" s="3">
        <v>214</v>
      </c>
      <c r="EG102" s="3" t="s">
        <v>193</v>
      </c>
      <c r="EH102" s="3">
        <v>0</v>
      </c>
      <c r="EI102" s="3" t="s">
        <v>3</v>
      </c>
      <c r="EJ102" s="3">
        <v>3</v>
      </c>
      <c r="EK102" s="3">
        <v>400007</v>
      </c>
      <c r="EL102" s="3" t="s">
        <v>193</v>
      </c>
      <c r="EM102" s="3" t="s">
        <v>194</v>
      </c>
      <c r="EO102" s="3" t="s">
        <v>3</v>
      </c>
      <c r="EQ102" s="3">
        <v>131088</v>
      </c>
      <c r="ER102" s="3">
        <v>0</v>
      </c>
      <c r="ES102" s="3">
        <v>834.54</v>
      </c>
      <c r="ET102" s="3">
        <v>0</v>
      </c>
      <c r="EU102" s="3">
        <v>0</v>
      </c>
      <c r="EV102" s="3">
        <v>0</v>
      </c>
      <c r="EW102" s="3">
        <v>0</v>
      </c>
      <c r="EX102" s="3">
        <v>0</v>
      </c>
      <c r="EY102" s="3">
        <v>0</v>
      </c>
      <c r="EZ102" s="3">
        <v>5</v>
      </c>
      <c r="FC102" s="3">
        <v>1</v>
      </c>
      <c r="FD102" s="3">
        <v>18</v>
      </c>
      <c r="FF102" s="3">
        <v>7394</v>
      </c>
      <c r="FQ102" s="3">
        <v>0</v>
      </c>
      <c r="FR102" s="3">
        <f>P102</f>
        <v>50539.74</v>
      </c>
      <c r="FS102" s="3">
        <v>0</v>
      </c>
      <c r="FX102" s="3">
        <v>0</v>
      </c>
      <c r="FY102" s="3">
        <v>0</v>
      </c>
      <c r="GA102" s="3" t="s">
        <v>195</v>
      </c>
      <c r="GD102" s="3">
        <v>1</v>
      </c>
      <c r="GF102" s="3">
        <v>1086867714</v>
      </c>
      <c r="GG102" s="3">
        <v>2</v>
      </c>
      <c r="GH102" s="3">
        <v>3</v>
      </c>
      <c r="GI102" s="3">
        <v>5</v>
      </c>
      <c r="GJ102" s="3">
        <v>0</v>
      </c>
      <c r="GK102" s="3">
        <v>0</v>
      </c>
      <c r="GL102" s="3">
        <f t="shared" si="102"/>
        <v>0</v>
      </c>
      <c r="GM102" s="3">
        <f t="shared" si="103"/>
        <v>50539.74</v>
      </c>
      <c r="GN102" s="3">
        <f t="shared" si="104"/>
        <v>0</v>
      </c>
      <c r="GO102" s="3">
        <f t="shared" si="105"/>
        <v>0</v>
      </c>
      <c r="GP102" s="3">
        <f t="shared" si="106"/>
        <v>0</v>
      </c>
      <c r="GR102" s="3">
        <v>1</v>
      </c>
      <c r="GS102" s="3">
        <v>1</v>
      </c>
      <c r="GT102" s="3">
        <v>0</v>
      </c>
      <c r="GU102" s="3" t="s">
        <v>3</v>
      </c>
      <c r="GV102" s="3">
        <f t="shared" si="107"/>
        <v>0</v>
      </c>
      <c r="GW102" s="3">
        <v>1</v>
      </c>
      <c r="GX102" s="3">
        <f t="shared" si="108"/>
        <v>0</v>
      </c>
      <c r="HA102" s="3">
        <v>0</v>
      </c>
      <c r="HB102" s="3">
        <v>0</v>
      </c>
      <c r="HC102" s="3">
        <f t="shared" si="109"/>
        <v>0</v>
      </c>
      <c r="HE102" s="3" t="s">
        <v>41</v>
      </c>
      <c r="HF102" s="3" t="s">
        <v>196</v>
      </c>
      <c r="HM102" s="3" t="s">
        <v>3</v>
      </c>
      <c r="HN102" s="3" t="s">
        <v>3</v>
      </c>
      <c r="HO102" s="3" t="s">
        <v>3</v>
      </c>
      <c r="HP102" s="3" t="s">
        <v>3</v>
      </c>
      <c r="HQ102" s="3" t="s">
        <v>3</v>
      </c>
      <c r="HS102" s="3">
        <v>0</v>
      </c>
      <c r="IK102" s="3">
        <v>0</v>
      </c>
    </row>
    <row r="103" spans="1:255" x14ac:dyDescent="0.2">
      <c r="A103" s="2">
        <v>17</v>
      </c>
      <c r="B103" s="2">
        <v>1</v>
      </c>
      <c r="C103" s="2">
        <f>ROW(SmtRes!A133)</f>
        <v>133</v>
      </c>
      <c r="D103" s="2">
        <f>ROW(EtalonRes!A177)</f>
        <v>177</v>
      </c>
      <c r="E103" s="2" t="s">
        <v>197</v>
      </c>
      <c r="F103" s="2" t="s">
        <v>198</v>
      </c>
      <c r="G103" s="2" t="s">
        <v>199</v>
      </c>
      <c r="H103" s="2" t="s">
        <v>29</v>
      </c>
      <c r="I103" s="2">
        <v>1</v>
      </c>
      <c r="J103" s="2">
        <v>0</v>
      </c>
      <c r="K103" s="2">
        <v>1</v>
      </c>
      <c r="L103" s="2"/>
      <c r="M103" s="2"/>
      <c r="N103" s="2"/>
      <c r="O103" s="2">
        <f t="shared" si="85"/>
        <v>112.1</v>
      </c>
      <c r="P103" s="2">
        <f t="shared" si="86"/>
        <v>12.53</v>
      </c>
      <c r="Q103" s="2">
        <f t="shared" si="110"/>
        <v>0.06</v>
      </c>
      <c r="R103" s="2">
        <f t="shared" si="111"/>
        <v>0.01</v>
      </c>
      <c r="S103" s="2">
        <f t="shared" si="87"/>
        <v>99.51</v>
      </c>
      <c r="T103" s="2">
        <f t="shared" si="88"/>
        <v>0</v>
      </c>
      <c r="U103" s="2">
        <f t="shared" si="89"/>
        <v>7.5383999999999993</v>
      </c>
      <c r="V103" s="2">
        <f t="shared" si="90"/>
        <v>0</v>
      </c>
      <c r="W103" s="2">
        <f t="shared" si="91"/>
        <v>0</v>
      </c>
      <c r="X103" s="2">
        <f t="shared" si="112"/>
        <v>89.57</v>
      </c>
      <c r="Y103" s="2">
        <f t="shared" si="113"/>
        <v>45.78</v>
      </c>
      <c r="Z103" s="2"/>
      <c r="AA103" s="2">
        <v>57248835</v>
      </c>
      <c r="AB103" s="2">
        <f t="shared" si="92"/>
        <v>107.63</v>
      </c>
      <c r="AC103" s="2">
        <f t="shared" si="114"/>
        <v>12.53</v>
      </c>
      <c r="AD103" s="2">
        <f t="shared" si="115"/>
        <v>0.06</v>
      </c>
      <c r="AE103" s="2">
        <f t="shared" si="116"/>
        <v>0.01</v>
      </c>
      <c r="AF103" s="2">
        <f t="shared" si="116"/>
        <v>95.04</v>
      </c>
      <c r="AG103" s="2">
        <f t="shared" si="93"/>
        <v>0</v>
      </c>
      <c r="AH103" s="2">
        <f t="shared" si="117"/>
        <v>7.2</v>
      </c>
      <c r="AI103" s="2">
        <f t="shared" si="117"/>
        <v>0</v>
      </c>
      <c r="AJ103" s="2">
        <f t="shared" si="94"/>
        <v>0</v>
      </c>
      <c r="AK103" s="2">
        <v>107.63</v>
      </c>
      <c r="AL103" s="2">
        <v>12.53</v>
      </c>
      <c r="AM103" s="2">
        <v>0.06</v>
      </c>
      <c r="AN103" s="2">
        <v>0.01</v>
      </c>
      <c r="AO103" s="2">
        <v>95.04</v>
      </c>
      <c r="AP103" s="2">
        <v>0</v>
      </c>
      <c r="AQ103" s="2">
        <v>7.2</v>
      </c>
      <c r="AR103" s="2">
        <v>0</v>
      </c>
      <c r="AS103" s="2">
        <v>0</v>
      </c>
      <c r="AT103" s="2">
        <v>90</v>
      </c>
      <c r="AU103" s="2">
        <v>46</v>
      </c>
      <c r="AV103" s="2">
        <v>1.0469999999999999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2</v>
      </c>
      <c r="BJ103" s="2" t="s">
        <v>200</v>
      </c>
      <c r="BK103" s="2"/>
      <c r="BL103" s="2"/>
      <c r="BM103" s="2">
        <v>68</v>
      </c>
      <c r="BN103" s="2">
        <v>0</v>
      </c>
      <c r="BO103" s="2" t="s">
        <v>198</v>
      </c>
      <c r="BP103" s="2">
        <v>1</v>
      </c>
      <c r="BQ103" s="2">
        <v>40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90</v>
      </c>
      <c r="CA103" s="2">
        <v>46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3</v>
      </c>
      <c r="CO103" s="2">
        <v>0</v>
      </c>
      <c r="CP103" s="2">
        <f t="shared" si="95"/>
        <v>112.10000000000001</v>
      </c>
      <c r="CQ103" s="2">
        <f t="shared" si="96"/>
        <v>12.53</v>
      </c>
      <c r="CR103" s="2">
        <f t="shared" si="118"/>
        <v>0.06</v>
      </c>
      <c r="CS103" s="2">
        <f t="shared" si="119"/>
        <v>0.01</v>
      </c>
      <c r="CT103" s="2">
        <f t="shared" si="97"/>
        <v>99.51</v>
      </c>
      <c r="CU103" s="2">
        <f t="shared" si="98"/>
        <v>0</v>
      </c>
      <c r="CV103" s="2">
        <f t="shared" si="99"/>
        <v>7.5383999999999993</v>
      </c>
      <c r="CW103" s="2">
        <f t="shared" si="100"/>
        <v>0</v>
      </c>
      <c r="CX103" s="2">
        <f t="shared" si="101"/>
        <v>0</v>
      </c>
      <c r="CY103" s="2">
        <f t="shared" si="120"/>
        <v>89.57</v>
      </c>
      <c r="CZ103" s="2">
        <f t="shared" si="121"/>
        <v>45.78</v>
      </c>
      <c r="DA103" s="2"/>
      <c r="DB103" s="2"/>
      <c r="DC103" s="2" t="s">
        <v>3</v>
      </c>
      <c r="DD103" s="2" t="s">
        <v>3</v>
      </c>
      <c r="DE103" s="2" t="s">
        <v>3</v>
      </c>
      <c r="DF103" s="2" t="s">
        <v>3</v>
      </c>
      <c r="DG103" s="2" t="s">
        <v>3</v>
      </c>
      <c r="DH103" s="2" t="s">
        <v>3</v>
      </c>
      <c r="DI103" s="2" t="s">
        <v>3</v>
      </c>
      <c r="DJ103" s="2" t="s">
        <v>3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29</v>
      </c>
      <c r="DW103" s="2" t="s">
        <v>29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57248652</v>
      </c>
      <c r="EF103" s="2">
        <v>40</v>
      </c>
      <c r="EG103" s="2" t="s">
        <v>33</v>
      </c>
      <c r="EH103" s="2">
        <v>0</v>
      </c>
      <c r="EI103" s="2" t="s">
        <v>3</v>
      </c>
      <c r="EJ103" s="2">
        <v>2</v>
      </c>
      <c r="EK103" s="2">
        <v>68</v>
      </c>
      <c r="EL103" s="2" t="s">
        <v>34</v>
      </c>
      <c r="EM103" s="2" t="s">
        <v>35</v>
      </c>
      <c r="EN103" s="2"/>
      <c r="EO103" s="2" t="s">
        <v>3</v>
      </c>
      <c r="EP103" s="2"/>
      <c r="EQ103" s="2">
        <v>131072</v>
      </c>
      <c r="ER103" s="2">
        <v>107.63</v>
      </c>
      <c r="ES103" s="2">
        <v>12.53</v>
      </c>
      <c r="ET103" s="2">
        <v>0.06</v>
      </c>
      <c r="EU103" s="2">
        <v>0.01</v>
      </c>
      <c r="EV103" s="2">
        <v>95.04</v>
      </c>
      <c r="EW103" s="2">
        <v>7.2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90</v>
      </c>
      <c r="FY103" s="2">
        <v>46</v>
      </c>
      <c r="FZ103" s="2"/>
      <c r="GA103" s="2" t="s">
        <v>3</v>
      </c>
      <c r="GB103" s="2"/>
      <c r="GC103" s="2"/>
      <c r="GD103" s="2">
        <v>1</v>
      </c>
      <c r="GE103" s="2"/>
      <c r="GF103" s="2">
        <v>-488197810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102"/>
        <v>0</v>
      </c>
      <c r="GM103" s="2">
        <f t="shared" si="103"/>
        <v>247.45</v>
      </c>
      <c r="GN103" s="2">
        <f t="shared" si="104"/>
        <v>0</v>
      </c>
      <c r="GO103" s="2">
        <f t="shared" si="105"/>
        <v>247.45</v>
      </c>
      <c r="GP103" s="2">
        <f t="shared" si="106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107"/>
        <v>0</v>
      </c>
      <c r="GW103" s="2">
        <v>1</v>
      </c>
      <c r="GX103" s="2">
        <f t="shared" si="108"/>
        <v>0</v>
      </c>
      <c r="GY103" s="2"/>
      <c r="GZ103" s="2"/>
      <c r="HA103" s="2">
        <v>0</v>
      </c>
      <c r="HB103" s="2">
        <v>0</v>
      </c>
      <c r="HC103" s="2">
        <f t="shared" si="109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3">
        <v>17</v>
      </c>
      <c r="B104" s="3">
        <v>1</v>
      </c>
      <c r="C104" s="3">
        <f>ROW(SmtRes!A134)</f>
        <v>134</v>
      </c>
      <c r="D104" s="3">
        <f>ROW(EtalonRes!A178)</f>
        <v>178</v>
      </c>
      <c r="E104" s="3" t="s">
        <v>197</v>
      </c>
      <c r="F104" s="3" t="s">
        <v>198</v>
      </c>
      <c r="G104" s="3" t="s">
        <v>199</v>
      </c>
      <c r="H104" s="3" t="s">
        <v>29</v>
      </c>
      <c r="I104" s="3">
        <v>1</v>
      </c>
      <c r="J104" s="3">
        <v>0</v>
      </c>
      <c r="K104" s="3">
        <v>1</v>
      </c>
      <c r="O104" s="3">
        <f t="shared" si="85"/>
        <v>5731.8</v>
      </c>
      <c r="P104" s="3">
        <f t="shared" si="86"/>
        <v>123.3</v>
      </c>
      <c r="Q104" s="3">
        <f t="shared" si="110"/>
        <v>1.1100000000000001</v>
      </c>
      <c r="R104" s="3">
        <f t="shared" si="111"/>
        <v>0.56000000000000005</v>
      </c>
      <c r="S104" s="3">
        <f t="shared" si="87"/>
        <v>5607.39</v>
      </c>
      <c r="T104" s="3">
        <f t="shared" si="88"/>
        <v>0</v>
      </c>
      <c r="U104" s="3">
        <f t="shared" si="89"/>
        <v>7.5383999999999993</v>
      </c>
      <c r="V104" s="3">
        <f t="shared" si="90"/>
        <v>0</v>
      </c>
      <c r="W104" s="3">
        <f t="shared" si="91"/>
        <v>0</v>
      </c>
      <c r="X104" s="3">
        <f t="shared" si="112"/>
        <v>5047.16</v>
      </c>
      <c r="Y104" s="3">
        <f t="shared" si="113"/>
        <v>2579.66</v>
      </c>
      <c r="AA104" s="3">
        <v>57248837</v>
      </c>
      <c r="AB104" s="3">
        <f t="shared" si="92"/>
        <v>107.63</v>
      </c>
      <c r="AC104" s="3">
        <f t="shared" si="114"/>
        <v>12.53</v>
      </c>
      <c r="AD104" s="3">
        <f t="shared" si="115"/>
        <v>0.06</v>
      </c>
      <c r="AE104" s="3">
        <f t="shared" si="116"/>
        <v>0.01</v>
      </c>
      <c r="AF104" s="3">
        <f t="shared" si="116"/>
        <v>95.04</v>
      </c>
      <c r="AG104" s="3">
        <f t="shared" si="93"/>
        <v>0</v>
      </c>
      <c r="AH104" s="3">
        <f t="shared" si="117"/>
        <v>7.2</v>
      </c>
      <c r="AI104" s="3">
        <f t="shared" si="117"/>
        <v>0</v>
      </c>
      <c r="AJ104" s="3">
        <f t="shared" si="94"/>
        <v>0</v>
      </c>
      <c r="AK104" s="3">
        <v>107.63</v>
      </c>
      <c r="AL104" s="3">
        <v>12.53</v>
      </c>
      <c r="AM104" s="3">
        <v>0.06</v>
      </c>
      <c r="AN104" s="3">
        <v>0.01</v>
      </c>
      <c r="AO104" s="3">
        <v>95.04</v>
      </c>
      <c r="AP104" s="3">
        <v>0</v>
      </c>
      <c r="AQ104" s="3">
        <v>7.2</v>
      </c>
      <c r="AR104" s="3">
        <v>0</v>
      </c>
      <c r="AS104" s="3">
        <v>0</v>
      </c>
      <c r="AT104" s="3">
        <v>90</v>
      </c>
      <c r="AU104" s="3">
        <v>46</v>
      </c>
      <c r="AV104" s="3">
        <v>1.0469999999999999</v>
      </c>
      <c r="AW104" s="3">
        <v>1</v>
      </c>
      <c r="AZ104" s="3">
        <v>1</v>
      </c>
      <c r="BA104" s="3">
        <v>56.35</v>
      </c>
      <c r="BB104" s="3">
        <v>18.5</v>
      </c>
      <c r="BC104" s="3">
        <v>9.84</v>
      </c>
      <c r="BD104" s="3" t="s">
        <v>3</v>
      </c>
      <c r="BE104" s="3" t="s">
        <v>3</v>
      </c>
      <c r="BF104" s="3" t="s">
        <v>3</v>
      </c>
      <c r="BG104" s="3" t="s">
        <v>3</v>
      </c>
      <c r="BH104" s="3">
        <v>0</v>
      </c>
      <c r="BI104" s="3">
        <v>2</v>
      </c>
      <c r="BJ104" s="3" t="s">
        <v>200</v>
      </c>
      <c r="BM104" s="3">
        <v>68</v>
      </c>
      <c r="BN104" s="3">
        <v>0</v>
      </c>
      <c r="BO104" s="3" t="s">
        <v>198</v>
      </c>
      <c r="BP104" s="3">
        <v>1</v>
      </c>
      <c r="BQ104" s="3">
        <v>40</v>
      </c>
      <c r="BR104" s="3">
        <v>0</v>
      </c>
      <c r="BS104" s="3">
        <v>56.35</v>
      </c>
      <c r="BT104" s="3">
        <v>1</v>
      </c>
      <c r="BU104" s="3">
        <v>1</v>
      </c>
      <c r="BV104" s="3">
        <v>1</v>
      </c>
      <c r="BW104" s="3">
        <v>1</v>
      </c>
      <c r="BX104" s="3">
        <v>1</v>
      </c>
      <c r="BY104" s="3" t="s">
        <v>3</v>
      </c>
      <c r="BZ104" s="3">
        <v>90</v>
      </c>
      <c r="CA104" s="3">
        <v>46</v>
      </c>
      <c r="CB104" s="3" t="s">
        <v>3</v>
      </c>
      <c r="CE104" s="3">
        <v>1566</v>
      </c>
      <c r="CF104" s="3">
        <v>0</v>
      </c>
      <c r="CG104" s="3">
        <v>0</v>
      </c>
      <c r="CM104" s="3">
        <v>0</v>
      </c>
      <c r="CN104" s="3" t="s">
        <v>3</v>
      </c>
      <c r="CO104" s="3">
        <v>0</v>
      </c>
      <c r="CP104" s="3">
        <f t="shared" si="95"/>
        <v>5731.8</v>
      </c>
      <c r="CQ104" s="3">
        <f t="shared" si="96"/>
        <v>123.3</v>
      </c>
      <c r="CR104" s="3">
        <f t="shared" si="118"/>
        <v>1.1100000000000001</v>
      </c>
      <c r="CS104" s="3">
        <f t="shared" si="119"/>
        <v>0.56000000000000005</v>
      </c>
      <c r="CT104" s="3">
        <f t="shared" si="97"/>
        <v>5607.39</v>
      </c>
      <c r="CU104" s="3">
        <f t="shared" si="98"/>
        <v>0</v>
      </c>
      <c r="CV104" s="3">
        <f t="shared" si="99"/>
        <v>7.5383999999999993</v>
      </c>
      <c r="CW104" s="3">
        <f t="shared" si="100"/>
        <v>0</v>
      </c>
      <c r="CX104" s="3">
        <f t="shared" si="101"/>
        <v>0</v>
      </c>
      <c r="CY104" s="3">
        <f t="shared" si="120"/>
        <v>5047.16</v>
      </c>
      <c r="CZ104" s="3">
        <f t="shared" si="121"/>
        <v>2579.66</v>
      </c>
      <c r="DC104" s="3" t="s">
        <v>3</v>
      </c>
      <c r="DD104" s="3" t="s">
        <v>3</v>
      </c>
      <c r="DE104" s="3" t="s">
        <v>3</v>
      </c>
      <c r="DF104" s="3" t="s">
        <v>3</v>
      </c>
      <c r="DG104" s="3" t="s">
        <v>3</v>
      </c>
      <c r="DH104" s="3" t="s">
        <v>3</v>
      </c>
      <c r="DI104" s="3" t="s">
        <v>3</v>
      </c>
      <c r="DJ104" s="3" t="s">
        <v>3</v>
      </c>
      <c r="DK104" s="3" t="s">
        <v>3</v>
      </c>
      <c r="DL104" s="3" t="s">
        <v>3</v>
      </c>
      <c r="DM104" s="3" t="s">
        <v>3</v>
      </c>
      <c r="DN104" s="3">
        <v>0</v>
      </c>
      <c r="DO104" s="3">
        <v>0</v>
      </c>
      <c r="DP104" s="3">
        <v>1</v>
      </c>
      <c r="DQ104" s="3">
        <v>1</v>
      </c>
      <c r="DU104" s="3">
        <v>1013</v>
      </c>
      <c r="DV104" s="3" t="s">
        <v>29</v>
      </c>
      <c r="DW104" s="3" t="s">
        <v>29</v>
      </c>
      <c r="DX104" s="3">
        <v>1</v>
      </c>
      <c r="DZ104" s="3" t="s">
        <v>3</v>
      </c>
      <c r="EA104" s="3" t="s">
        <v>3</v>
      </c>
      <c r="EB104" s="3" t="s">
        <v>3</v>
      </c>
      <c r="EC104" s="3" t="s">
        <v>3</v>
      </c>
      <c r="EE104" s="3">
        <v>57248652</v>
      </c>
      <c r="EF104" s="3">
        <v>40</v>
      </c>
      <c r="EG104" s="3" t="s">
        <v>33</v>
      </c>
      <c r="EH104" s="3">
        <v>0</v>
      </c>
      <c r="EI104" s="3" t="s">
        <v>3</v>
      </c>
      <c r="EJ104" s="3">
        <v>2</v>
      </c>
      <c r="EK104" s="3">
        <v>68</v>
      </c>
      <c r="EL104" s="3" t="s">
        <v>34</v>
      </c>
      <c r="EM104" s="3" t="s">
        <v>35</v>
      </c>
      <c r="EO104" s="3" t="s">
        <v>3</v>
      </c>
      <c r="EQ104" s="3">
        <v>131072</v>
      </c>
      <c r="ER104" s="3">
        <v>107.63</v>
      </c>
      <c r="ES104" s="3">
        <v>12.53</v>
      </c>
      <c r="ET104" s="3">
        <v>0.06</v>
      </c>
      <c r="EU104" s="3">
        <v>0.01</v>
      </c>
      <c r="EV104" s="3">
        <v>95.04</v>
      </c>
      <c r="EW104" s="3">
        <v>7.2</v>
      </c>
      <c r="EX104" s="3">
        <v>0</v>
      </c>
      <c r="EY104" s="3">
        <v>0</v>
      </c>
      <c r="FQ104" s="3">
        <v>0</v>
      </c>
      <c r="FR104" s="3">
        <v>0</v>
      </c>
      <c r="FS104" s="3">
        <v>0</v>
      </c>
      <c r="FX104" s="3">
        <v>90</v>
      </c>
      <c r="FY104" s="3">
        <v>46</v>
      </c>
      <c r="GA104" s="3" t="s">
        <v>3</v>
      </c>
      <c r="GD104" s="3">
        <v>1</v>
      </c>
      <c r="GF104" s="3">
        <v>-488197810</v>
      </c>
      <c r="GG104" s="3">
        <v>2</v>
      </c>
      <c r="GH104" s="3">
        <v>1</v>
      </c>
      <c r="GI104" s="3">
        <v>2</v>
      </c>
      <c r="GJ104" s="3">
        <v>0</v>
      </c>
      <c r="GK104" s="3">
        <v>0</v>
      </c>
      <c r="GL104" s="3">
        <f t="shared" si="102"/>
        <v>0</v>
      </c>
      <c r="GM104" s="3">
        <f t="shared" si="103"/>
        <v>13358.62</v>
      </c>
      <c r="GN104" s="3">
        <f t="shared" si="104"/>
        <v>0</v>
      </c>
      <c r="GO104" s="3">
        <f t="shared" si="105"/>
        <v>13358.62</v>
      </c>
      <c r="GP104" s="3">
        <f t="shared" si="106"/>
        <v>0</v>
      </c>
      <c r="GR104" s="3">
        <v>0</v>
      </c>
      <c r="GS104" s="3">
        <v>3</v>
      </c>
      <c r="GT104" s="3">
        <v>0</v>
      </c>
      <c r="GU104" s="3" t="s">
        <v>3</v>
      </c>
      <c r="GV104" s="3">
        <f t="shared" si="107"/>
        <v>0</v>
      </c>
      <c r="GW104" s="3">
        <v>1</v>
      </c>
      <c r="GX104" s="3">
        <f t="shared" si="108"/>
        <v>0</v>
      </c>
      <c r="HA104" s="3">
        <v>0</v>
      </c>
      <c r="HB104" s="3">
        <v>0</v>
      </c>
      <c r="HC104" s="3">
        <f t="shared" si="109"/>
        <v>0</v>
      </c>
      <c r="HE104" s="3" t="s">
        <v>3</v>
      </c>
      <c r="HF104" s="3" t="s">
        <v>3</v>
      </c>
      <c r="HM104" s="3" t="s">
        <v>3</v>
      </c>
      <c r="HN104" s="3" t="s">
        <v>3</v>
      </c>
      <c r="HO104" s="3" t="s">
        <v>3</v>
      </c>
      <c r="HP104" s="3" t="s">
        <v>3</v>
      </c>
      <c r="HQ104" s="3" t="s">
        <v>3</v>
      </c>
      <c r="HS104" s="3">
        <v>0</v>
      </c>
      <c r="IK104" s="3">
        <v>0</v>
      </c>
    </row>
    <row r="105" spans="1:255" x14ac:dyDescent="0.2">
      <c r="A105" s="2">
        <v>17</v>
      </c>
      <c r="B105" s="2">
        <v>1</v>
      </c>
      <c r="C105" s="2"/>
      <c r="D105" s="2"/>
      <c r="E105" s="2" t="s">
        <v>201</v>
      </c>
      <c r="F105" s="2" t="s">
        <v>202</v>
      </c>
      <c r="G105" s="2" t="s">
        <v>203</v>
      </c>
      <c r="H105" s="2" t="s">
        <v>192</v>
      </c>
      <c r="I105" s="2">
        <v>1</v>
      </c>
      <c r="J105" s="2">
        <v>0</v>
      </c>
      <c r="K105" s="2">
        <v>1</v>
      </c>
      <c r="L105" s="2"/>
      <c r="M105" s="2"/>
      <c r="N105" s="2"/>
      <c r="O105" s="2">
        <f t="shared" si="85"/>
        <v>4851.08</v>
      </c>
      <c r="P105" s="2">
        <f t="shared" si="86"/>
        <v>4851.08</v>
      </c>
      <c r="Q105" s="2">
        <f t="shared" si="110"/>
        <v>0</v>
      </c>
      <c r="R105" s="2">
        <f t="shared" si="111"/>
        <v>0</v>
      </c>
      <c r="S105" s="2">
        <f t="shared" si="87"/>
        <v>0</v>
      </c>
      <c r="T105" s="2">
        <f t="shared" si="88"/>
        <v>0</v>
      </c>
      <c r="U105" s="2">
        <f t="shared" si="89"/>
        <v>0</v>
      </c>
      <c r="V105" s="2">
        <f t="shared" si="90"/>
        <v>0</v>
      </c>
      <c r="W105" s="2">
        <f t="shared" si="91"/>
        <v>0</v>
      </c>
      <c r="X105" s="2">
        <f t="shared" si="112"/>
        <v>0</v>
      </c>
      <c r="Y105" s="2">
        <f t="shared" si="113"/>
        <v>0</v>
      </c>
      <c r="Z105" s="2"/>
      <c r="AA105" s="2">
        <v>57248835</v>
      </c>
      <c r="AB105" s="2">
        <f t="shared" si="92"/>
        <v>4851.08</v>
      </c>
      <c r="AC105" s="2">
        <f t="shared" si="114"/>
        <v>4851.08</v>
      </c>
      <c r="AD105" s="2">
        <f t="shared" si="115"/>
        <v>0</v>
      </c>
      <c r="AE105" s="2">
        <f t="shared" si="116"/>
        <v>0</v>
      </c>
      <c r="AF105" s="2">
        <f t="shared" si="116"/>
        <v>0</v>
      </c>
      <c r="AG105" s="2">
        <f t="shared" si="93"/>
        <v>0</v>
      </c>
      <c r="AH105" s="2">
        <f t="shared" si="117"/>
        <v>0</v>
      </c>
      <c r="AI105" s="2">
        <f t="shared" si="117"/>
        <v>0</v>
      </c>
      <c r="AJ105" s="2">
        <f t="shared" si="94"/>
        <v>0</v>
      </c>
      <c r="AK105" s="2">
        <v>4851.08</v>
      </c>
      <c r="AL105" s="2">
        <v>4851.08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3</v>
      </c>
      <c r="BJ105" s="2" t="s">
        <v>202</v>
      </c>
      <c r="BK105" s="2"/>
      <c r="BL105" s="2"/>
      <c r="BM105" s="2">
        <v>400007</v>
      </c>
      <c r="BN105" s="2">
        <v>0</v>
      </c>
      <c r="BO105" s="2" t="s">
        <v>3</v>
      </c>
      <c r="BP105" s="2">
        <v>0</v>
      </c>
      <c r="BQ105" s="2">
        <v>214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0</v>
      </c>
      <c r="CA105" s="2">
        <v>0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3</v>
      </c>
      <c r="CO105" s="2">
        <v>0</v>
      </c>
      <c r="CP105" s="2">
        <f t="shared" si="95"/>
        <v>4851.08</v>
      </c>
      <c r="CQ105" s="2">
        <f t="shared" si="96"/>
        <v>4851.08</v>
      </c>
      <c r="CR105" s="2">
        <f t="shared" si="118"/>
        <v>0</v>
      </c>
      <c r="CS105" s="2">
        <f t="shared" si="119"/>
        <v>0</v>
      </c>
      <c r="CT105" s="2">
        <f t="shared" si="97"/>
        <v>0</v>
      </c>
      <c r="CU105" s="2">
        <f t="shared" si="98"/>
        <v>0</v>
      </c>
      <c r="CV105" s="2">
        <f t="shared" si="99"/>
        <v>0</v>
      </c>
      <c r="CW105" s="2">
        <f t="shared" si="100"/>
        <v>0</v>
      </c>
      <c r="CX105" s="2">
        <f t="shared" si="101"/>
        <v>0</v>
      </c>
      <c r="CY105" s="2">
        <f t="shared" si="120"/>
        <v>0</v>
      </c>
      <c r="CZ105" s="2">
        <f t="shared" si="121"/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1013</v>
      </c>
      <c r="DV105" s="2" t="s">
        <v>192</v>
      </c>
      <c r="DW105" s="2" t="s">
        <v>192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57248792</v>
      </c>
      <c r="EF105" s="2">
        <v>214</v>
      </c>
      <c r="EG105" s="2" t="s">
        <v>193</v>
      </c>
      <c r="EH105" s="2">
        <v>0</v>
      </c>
      <c r="EI105" s="2" t="s">
        <v>3</v>
      </c>
      <c r="EJ105" s="2">
        <v>3</v>
      </c>
      <c r="EK105" s="2">
        <v>400007</v>
      </c>
      <c r="EL105" s="2" t="s">
        <v>193</v>
      </c>
      <c r="EM105" s="2" t="s">
        <v>194</v>
      </c>
      <c r="EN105" s="2"/>
      <c r="EO105" s="2" t="s">
        <v>3</v>
      </c>
      <c r="EP105" s="2"/>
      <c r="EQ105" s="2">
        <v>131088</v>
      </c>
      <c r="ER105" s="2">
        <v>0</v>
      </c>
      <c r="ES105" s="2">
        <v>4851.08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f>P105</f>
        <v>4851.08</v>
      </c>
      <c r="FS105" s="2">
        <v>0</v>
      </c>
      <c r="FT105" s="2"/>
      <c r="FU105" s="2"/>
      <c r="FV105" s="2"/>
      <c r="FW105" s="2"/>
      <c r="FX105" s="2">
        <v>0</v>
      </c>
      <c r="FY105" s="2">
        <v>0</v>
      </c>
      <c r="FZ105" s="2"/>
      <c r="GA105" s="2" t="s">
        <v>204</v>
      </c>
      <c r="GB105" s="2"/>
      <c r="GC105" s="2"/>
      <c r="GD105" s="2">
        <v>1</v>
      </c>
      <c r="GE105" s="2"/>
      <c r="GF105" s="2">
        <v>-1369001160</v>
      </c>
      <c r="GG105" s="2">
        <v>2</v>
      </c>
      <c r="GH105" s="2">
        <v>4</v>
      </c>
      <c r="GI105" s="2">
        <v>-2</v>
      </c>
      <c r="GJ105" s="2">
        <v>0</v>
      </c>
      <c r="GK105" s="2">
        <v>0</v>
      </c>
      <c r="GL105" s="2">
        <f t="shared" si="102"/>
        <v>0</v>
      </c>
      <c r="GM105" s="2">
        <f t="shared" si="103"/>
        <v>4851.08</v>
      </c>
      <c r="GN105" s="2">
        <f t="shared" si="104"/>
        <v>0</v>
      </c>
      <c r="GO105" s="2">
        <f t="shared" si="105"/>
        <v>0</v>
      </c>
      <c r="GP105" s="2">
        <f t="shared" si="106"/>
        <v>0</v>
      </c>
      <c r="GQ105" s="2"/>
      <c r="GR105" s="2">
        <v>1</v>
      </c>
      <c r="GS105" s="2">
        <v>2</v>
      </c>
      <c r="GT105" s="2">
        <v>0</v>
      </c>
      <c r="GU105" s="2" t="s">
        <v>3</v>
      </c>
      <c r="GV105" s="2">
        <f t="shared" si="107"/>
        <v>0</v>
      </c>
      <c r="GW105" s="2">
        <v>1</v>
      </c>
      <c r="GX105" s="2">
        <f t="shared" si="108"/>
        <v>0</v>
      </c>
      <c r="GY105" s="2"/>
      <c r="GZ105" s="2"/>
      <c r="HA105" s="2">
        <v>0</v>
      </c>
      <c r="HB105" s="2">
        <v>0</v>
      </c>
      <c r="HC105" s="2">
        <f t="shared" si="109"/>
        <v>0</v>
      </c>
      <c r="HD105" s="2"/>
      <c r="HE105" s="2" t="s">
        <v>41</v>
      </c>
      <c r="HF105" s="2" t="s">
        <v>196</v>
      </c>
      <c r="HG105" s="2"/>
      <c r="HH105" s="2"/>
      <c r="HI105" s="2"/>
      <c r="HJ105" s="2"/>
      <c r="HK105" s="2"/>
      <c r="HL105" s="2"/>
      <c r="HM105" s="2" t="s">
        <v>3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3">
        <v>17</v>
      </c>
      <c r="B106" s="3">
        <v>1</v>
      </c>
      <c r="E106" s="3" t="s">
        <v>201</v>
      </c>
      <c r="F106" s="3" t="s">
        <v>202</v>
      </c>
      <c r="G106" s="3" t="s">
        <v>203</v>
      </c>
      <c r="H106" s="3" t="s">
        <v>192</v>
      </c>
      <c r="I106" s="3">
        <v>1</v>
      </c>
      <c r="J106" s="3">
        <v>0</v>
      </c>
      <c r="K106" s="3">
        <v>1</v>
      </c>
      <c r="O106" s="3">
        <f t="shared" si="85"/>
        <v>36722.68</v>
      </c>
      <c r="P106" s="3">
        <f t="shared" si="86"/>
        <v>36722.68</v>
      </c>
      <c r="Q106" s="3">
        <f t="shared" si="110"/>
        <v>0</v>
      </c>
      <c r="R106" s="3">
        <f t="shared" si="111"/>
        <v>0</v>
      </c>
      <c r="S106" s="3">
        <f t="shared" si="87"/>
        <v>0</v>
      </c>
      <c r="T106" s="3">
        <f t="shared" si="88"/>
        <v>0</v>
      </c>
      <c r="U106" s="3">
        <f t="shared" si="89"/>
        <v>0</v>
      </c>
      <c r="V106" s="3">
        <f t="shared" si="90"/>
        <v>0</v>
      </c>
      <c r="W106" s="3">
        <f t="shared" si="91"/>
        <v>0</v>
      </c>
      <c r="X106" s="3">
        <f t="shared" si="112"/>
        <v>0</v>
      </c>
      <c r="Y106" s="3">
        <f t="shared" si="113"/>
        <v>0</v>
      </c>
      <c r="AA106" s="3">
        <v>57248837</v>
      </c>
      <c r="AB106" s="3">
        <f t="shared" si="92"/>
        <v>4851.08</v>
      </c>
      <c r="AC106" s="3">
        <f t="shared" si="114"/>
        <v>4851.08</v>
      </c>
      <c r="AD106" s="3">
        <f t="shared" si="115"/>
        <v>0</v>
      </c>
      <c r="AE106" s="3">
        <f t="shared" si="116"/>
        <v>0</v>
      </c>
      <c r="AF106" s="3">
        <f t="shared" si="116"/>
        <v>0</v>
      </c>
      <c r="AG106" s="3">
        <f t="shared" si="93"/>
        <v>0</v>
      </c>
      <c r="AH106" s="3">
        <f t="shared" si="117"/>
        <v>0</v>
      </c>
      <c r="AI106" s="3">
        <f t="shared" si="117"/>
        <v>0</v>
      </c>
      <c r="AJ106" s="3">
        <f t="shared" si="94"/>
        <v>0</v>
      </c>
      <c r="AK106" s="3">
        <v>4851.08</v>
      </c>
      <c r="AL106" s="3">
        <v>4851.08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1</v>
      </c>
      <c r="AW106" s="3">
        <v>1</v>
      </c>
      <c r="AZ106" s="3">
        <v>1</v>
      </c>
      <c r="BA106" s="3">
        <v>1</v>
      </c>
      <c r="BB106" s="3">
        <v>1</v>
      </c>
      <c r="BC106" s="3">
        <v>7.57</v>
      </c>
      <c r="BD106" s="3" t="s">
        <v>3</v>
      </c>
      <c r="BE106" s="3" t="s">
        <v>3</v>
      </c>
      <c r="BF106" s="3" t="s">
        <v>3</v>
      </c>
      <c r="BG106" s="3" t="s">
        <v>3</v>
      </c>
      <c r="BH106" s="3">
        <v>3</v>
      </c>
      <c r="BI106" s="3">
        <v>3</v>
      </c>
      <c r="BJ106" s="3" t="s">
        <v>202</v>
      </c>
      <c r="BM106" s="3">
        <v>400007</v>
      </c>
      <c r="BN106" s="3">
        <v>0</v>
      </c>
      <c r="BO106" s="3" t="s">
        <v>3</v>
      </c>
      <c r="BP106" s="3">
        <v>0</v>
      </c>
      <c r="BQ106" s="3">
        <v>214</v>
      </c>
      <c r="BR106" s="3">
        <v>0</v>
      </c>
      <c r="BS106" s="3">
        <v>1</v>
      </c>
      <c r="BT106" s="3">
        <v>1</v>
      </c>
      <c r="BU106" s="3">
        <v>1</v>
      </c>
      <c r="BV106" s="3">
        <v>1</v>
      </c>
      <c r="BW106" s="3">
        <v>1</v>
      </c>
      <c r="BX106" s="3">
        <v>1</v>
      </c>
      <c r="BY106" s="3" t="s">
        <v>3</v>
      </c>
      <c r="BZ106" s="3">
        <v>0</v>
      </c>
      <c r="CA106" s="3">
        <v>0</v>
      </c>
      <c r="CB106" s="3" t="s">
        <v>3</v>
      </c>
      <c r="CE106" s="3">
        <v>1566</v>
      </c>
      <c r="CF106" s="3">
        <v>0</v>
      </c>
      <c r="CG106" s="3">
        <v>0</v>
      </c>
      <c r="CM106" s="3">
        <v>0</v>
      </c>
      <c r="CN106" s="3" t="s">
        <v>3</v>
      </c>
      <c r="CO106" s="3">
        <v>0</v>
      </c>
      <c r="CP106" s="3">
        <f t="shared" si="95"/>
        <v>36722.68</v>
      </c>
      <c r="CQ106" s="3">
        <f t="shared" si="96"/>
        <v>36722.68</v>
      </c>
      <c r="CR106" s="3">
        <f t="shared" si="118"/>
        <v>0</v>
      </c>
      <c r="CS106" s="3">
        <f t="shared" si="119"/>
        <v>0</v>
      </c>
      <c r="CT106" s="3">
        <f t="shared" si="97"/>
        <v>0</v>
      </c>
      <c r="CU106" s="3">
        <f t="shared" si="98"/>
        <v>0</v>
      </c>
      <c r="CV106" s="3">
        <f t="shared" si="99"/>
        <v>0</v>
      </c>
      <c r="CW106" s="3">
        <f t="shared" si="100"/>
        <v>0</v>
      </c>
      <c r="CX106" s="3">
        <f t="shared" si="101"/>
        <v>0</v>
      </c>
      <c r="CY106" s="3">
        <f t="shared" si="120"/>
        <v>0</v>
      </c>
      <c r="CZ106" s="3">
        <f t="shared" si="121"/>
        <v>0</v>
      </c>
      <c r="DC106" s="3" t="s">
        <v>3</v>
      </c>
      <c r="DD106" s="3" t="s">
        <v>3</v>
      </c>
      <c r="DE106" s="3" t="s">
        <v>3</v>
      </c>
      <c r="DF106" s="3" t="s">
        <v>3</v>
      </c>
      <c r="DG106" s="3" t="s">
        <v>3</v>
      </c>
      <c r="DH106" s="3" t="s">
        <v>3</v>
      </c>
      <c r="DI106" s="3" t="s">
        <v>3</v>
      </c>
      <c r="DJ106" s="3" t="s">
        <v>3</v>
      </c>
      <c r="DK106" s="3" t="s">
        <v>3</v>
      </c>
      <c r="DL106" s="3" t="s">
        <v>3</v>
      </c>
      <c r="DM106" s="3" t="s">
        <v>3</v>
      </c>
      <c r="DN106" s="3">
        <v>0</v>
      </c>
      <c r="DO106" s="3">
        <v>0</v>
      </c>
      <c r="DP106" s="3">
        <v>1</v>
      </c>
      <c r="DQ106" s="3">
        <v>1</v>
      </c>
      <c r="DU106" s="3">
        <v>1013</v>
      </c>
      <c r="DV106" s="3" t="s">
        <v>192</v>
      </c>
      <c r="DW106" s="3" t="s">
        <v>192</v>
      </c>
      <c r="DX106" s="3">
        <v>1</v>
      </c>
      <c r="DZ106" s="3" t="s">
        <v>3</v>
      </c>
      <c r="EA106" s="3" t="s">
        <v>3</v>
      </c>
      <c r="EB106" s="3" t="s">
        <v>3</v>
      </c>
      <c r="EC106" s="3" t="s">
        <v>3</v>
      </c>
      <c r="EE106" s="3">
        <v>57248792</v>
      </c>
      <c r="EF106" s="3">
        <v>214</v>
      </c>
      <c r="EG106" s="3" t="s">
        <v>193</v>
      </c>
      <c r="EH106" s="3">
        <v>0</v>
      </c>
      <c r="EI106" s="3" t="s">
        <v>3</v>
      </c>
      <c r="EJ106" s="3">
        <v>3</v>
      </c>
      <c r="EK106" s="3">
        <v>400007</v>
      </c>
      <c r="EL106" s="3" t="s">
        <v>193</v>
      </c>
      <c r="EM106" s="3" t="s">
        <v>194</v>
      </c>
      <c r="EO106" s="3" t="s">
        <v>3</v>
      </c>
      <c r="EQ106" s="3">
        <v>131088</v>
      </c>
      <c r="ER106" s="3">
        <v>0</v>
      </c>
      <c r="ES106" s="3">
        <v>4851.08</v>
      </c>
      <c r="ET106" s="3">
        <v>0</v>
      </c>
      <c r="EU106" s="3">
        <v>0</v>
      </c>
      <c r="EV106" s="3">
        <v>0</v>
      </c>
      <c r="EW106" s="3">
        <v>0</v>
      </c>
      <c r="EX106" s="3">
        <v>0</v>
      </c>
      <c r="EY106" s="3">
        <v>0</v>
      </c>
      <c r="EZ106" s="3">
        <v>5</v>
      </c>
      <c r="FC106" s="3">
        <v>1</v>
      </c>
      <c r="FD106" s="3">
        <v>18</v>
      </c>
      <c r="FF106" s="3">
        <v>42981</v>
      </c>
      <c r="FQ106" s="3">
        <v>0</v>
      </c>
      <c r="FR106" s="3">
        <f>P106</f>
        <v>36722.68</v>
      </c>
      <c r="FS106" s="3">
        <v>0</v>
      </c>
      <c r="FX106" s="3">
        <v>0</v>
      </c>
      <c r="FY106" s="3">
        <v>0</v>
      </c>
      <c r="GA106" s="3" t="s">
        <v>204</v>
      </c>
      <c r="GD106" s="3">
        <v>1</v>
      </c>
      <c r="GF106" s="3">
        <v>-1369001160</v>
      </c>
      <c r="GG106" s="3">
        <v>2</v>
      </c>
      <c r="GH106" s="3">
        <v>3</v>
      </c>
      <c r="GI106" s="3">
        <v>5</v>
      </c>
      <c r="GJ106" s="3">
        <v>0</v>
      </c>
      <c r="GK106" s="3">
        <v>0</v>
      </c>
      <c r="GL106" s="3">
        <f t="shared" si="102"/>
        <v>0</v>
      </c>
      <c r="GM106" s="3">
        <f t="shared" si="103"/>
        <v>36722.68</v>
      </c>
      <c r="GN106" s="3">
        <f t="shared" si="104"/>
        <v>0</v>
      </c>
      <c r="GO106" s="3">
        <f t="shared" si="105"/>
        <v>0</v>
      </c>
      <c r="GP106" s="3">
        <f t="shared" si="106"/>
        <v>0</v>
      </c>
      <c r="GR106" s="3">
        <v>1</v>
      </c>
      <c r="GS106" s="3">
        <v>1</v>
      </c>
      <c r="GT106" s="3">
        <v>0</v>
      </c>
      <c r="GU106" s="3" t="s">
        <v>3</v>
      </c>
      <c r="GV106" s="3">
        <f t="shared" si="107"/>
        <v>0</v>
      </c>
      <c r="GW106" s="3">
        <v>1</v>
      </c>
      <c r="GX106" s="3">
        <f t="shared" si="108"/>
        <v>0</v>
      </c>
      <c r="HA106" s="3">
        <v>0</v>
      </c>
      <c r="HB106" s="3">
        <v>0</v>
      </c>
      <c r="HC106" s="3">
        <f t="shared" si="109"/>
        <v>0</v>
      </c>
      <c r="HE106" s="3" t="s">
        <v>41</v>
      </c>
      <c r="HF106" s="3" t="s">
        <v>196</v>
      </c>
      <c r="HM106" s="3" t="s">
        <v>3</v>
      </c>
      <c r="HN106" s="3" t="s">
        <v>3</v>
      </c>
      <c r="HO106" s="3" t="s">
        <v>3</v>
      </c>
      <c r="HP106" s="3" t="s">
        <v>3</v>
      </c>
      <c r="HQ106" s="3" t="s">
        <v>3</v>
      </c>
      <c r="HS106" s="3">
        <v>0</v>
      </c>
      <c r="IK106" s="3">
        <v>0</v>
      </c>
    </row>
    <row r="107" spans="1:255" x14ac:dyDescent="0.2">
      <c r="A107" s="2">
        <v>17</v>
      </c>
      <c r="B107" s="2">
        <v>1</v>
      </c>
      <c r="C107" s="2">
        <f>ROW(SmtRes!A144)</f>
        <v>144</v>
      </c>
      <c r="D107" s="2">
        <f>ROW(EtalonRes!A192)</f>
        <v>192</v>
      </c>
      <c r="E107" s="2" t="s">
        <v>205</v>
      </c>
      <c r="F107" s="2" t="s">
        <v>42</v>
      </c>
      <c r="G107" s="2" t="s">
        <v>206</v>
      </c>
      <c r="H107" s="2" t="s">
        <v>44</v>
      </c>
      <c r="I107" s="2">
        <v>1</v>
      </c>
      <c r="J107" s="2">
        <v>0</v>
      </c>
      <c r="K107" s="2">
        <v>1</v>
      </c>
      <c r="L107" s="2"/>
      <c r="M107" s="2"/>
      <c r="N107" s="2"/>
      <c r="O107" s="2">
        <f t="shared" si="85"/>
        <v>111.11</v>
      </c>
      <c r="P107" s="2">
        <f t="shared" si="86"/>
        <v>9.15</v>
      </c>
      <c r="Q107" s="2">
        <f>(ROUND((ROUND((((ET107*1.2))*AV107*I107),2)*BB107),2)+ROUND((ROUND(((AE107-((EU107*1.2)))*AV107*I107),2)*BS107),2))</f>
        <v>1.03</v>
      </c>
      <c r="R107" s="2">
        <f>(ROUND((ROUND((((EU107*1.2))*AV107*I107),2)*BS107),2)+ROUND((ROUND(((AE107-((EU107*1.2)))*AV107*I107),2)*BS107),2))</f>
        <v>0</v>
      </c>
      <c r="S107" s="2">
        <f t="shared" si="87"/>
        <v>100.93</v>
      </c>
      <c r="T107" s="2">
        <f t="shared" si="88"/>
        <v>0</v>
      </c>
      <c r="U107" s="2">
        <f t="shared" si="89"/>
        <v>7.5509639999999996</v>
      </c>
      <c r="V107" s="2">
        <f t="shared" si="90"/>
        <v>0</v>
      </c>
      <c r="W107" s="2">
        <f t="shared" si="91"/>
        <v>0</v>
      </c>
      <c r="X107" s="2">
        <f>(ROUND((((S107+ROUND((ROUND((((EU107*1.2))*AV107*I107),2)*BS107),2))*AT107)/100),2)+ROUND(((ROUND((ROUND(((AE107-((EU107*1.2)))*AV107*I107),2)*BS107),2)*AT107)/100),2))</f>
        <v>90.84</v>
      </c>
      <c r="Y107" s="2">
        <f>(ROUND((((S107+ROUND((ROUND((((EU107*1.2))*AV107*I107),2)*BS107),2))*AU107)/100),2)+ROUND(((ROUND((ROUND(((AE107-((EU107*1.2)))*AV107*I107),2)*BS107),2)*AU107)/100),2))</f>
        <v>46.43</v>
      </c>
      <c r="Z107" s="2"/>
      <c r="AA107" s="2">
        <v>57248835</v>
      </c>
      <c r="AB107" s="2">
        <f t="shared" si="92"/>
        <v>106.53</v>
      </c>
      <c r="AC107" s="2">
        <f>ROUND(((ES107*1)),6)</f>
        <v>9.15</v>
      </c>
      <c r="AD107" s="2">
        <f>ROUND(((((ET107*1.2))-((EU107*1.2)))+AE107),6)</f>
        <v>0.98399999999999999</v>
      </c>
      <c r="AE107" s="2">
        <f>ROUND(((EU107*1.2)),6)</f>
        <v>0</v>
      </c>
      <c r="AF107" s="2">
        <f>ROUND(((EV107*1.2)),6)</f>
        <v>96.396000000000001</v>
      </c>
      <c r="AG107" s="2">
        <f t="shared" si="93"/>
        <v>0</v>
      </c>
      <c r="AH107" s="2">
        <f>((EW107*1.2))</f>
        <v>7.2119999999999997</v>
      </c>
      <c r="AI107" s="2">
        <f>((EX107*1.2))</f>
        <v>0</v>
      </c>
      <c r="AJ107" s="2">
        <f t="shared" si="94"/>
        <v>0</v>
      </c>
      <c r="AK107" s="2">
        <v>90.3</v>
      </c>
      <c r="AL107" s="2">
        <v>9.15</v>
      </c>
      <c r="AM107" s="2">
        <v>0.82</v>
      </c>
      <c r="AN107" s="2">
        <v>0</v>
      </c>
      <c r="AO107" s="2">
        <v>80.33</v>
      </c>
      <c r="AP107" s="2">
        <v>0</v>
      </c>
      <c r="AQ107" s="2">
        <v>6.01</v>
      </c>
      <c r="AR107" s="2">
        <v>0</v>
      </c>
      <c r="AS107" s="2">
        <v>0</v>
      </c>
      <c r="AT107" s="2">
        <v>90</v>
      </c>
      <c r="AU107" s="2">
        <v>46</v>
      </c>
      <c r="AV107" s="2">
        <v>1.0469999999999999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0</v>
      </c>
      <c r="BI107" s="2">
        <v>2</v>
      </c>
      <c r="BJ107" s="2" t="s">
        <v>45</v>
      </c>
      <c r="BK107" s="2"/>
      <c r="BL107" s="2"/>
      <c r="BM107" s="2">
        <v>68</v>
      </c>
      <c r="BN107" s="2">
        <v>0</v>
      </c>
      <c r="BO107" s="2" t="s">
        <v>42</v>
      </c>
      <c r="BP107" s="2">
        <v>1</v>
      </c>
      <c r="BQ107" s="2">
        <v>40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90</v>
      </c>
      <c r="CA107" s="2">
        <v>46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820</v>
      </c>
      <c r="CO107" s="2">
        <v>0</v>
      </c>
      <c r="CP107" s="2">
        <f t="shared" si="95"/>
        <v>111.11000000000001</v>
      </c>
      <c r="CQ107" s="2">
        <f t="shared" si="96"/>
        <v>9.15</v>
      </c>
      <c r="CR107" s="2">
        <f>(ROUND((ROUND((((ET107*1.2))*AV107*1),2)*BB107),2)+ROUND((ROUND(((AE107-((EU107*1.2)))*AV107*1),2)*BS107),2))</f>
        <v>1.03</v>
      </c>
      <c r="CS107" s="2">
        <f>(ROUND((ROUND((((EU107*1.2))*AV107*1),2)*BS107),2)+ROUND((ROUND(((AE107-((EU107*1.2)))*AV107*1),2)*BS107),2))</f>
        <v>0</v>
      </c>
      <c r="CT107" s="2">
        <f t="shared" si="97"/>
        <v>100.93</v>
      </c>
      <c r="CU107" s="2">
        <f t="shared" si="98"/>
        <v>0</v>
      </c>
      <c r="CV107" s="2">
        <f t="shared" si="99"/>
        <v>7.5509639999999996</v>
      </c>
      <c r="CW107" s="2">
        <f t="shared" si="100"/>
        <v>0</v>
      </c>
      <c r="CX107" s="2">
        <f t="shared" si="101"/>
        <v>0</v>
      </c>
      <c r="CY107" s="2">
        <f>(ROUND((((S107+ROUND((ROUND((((EU107*1.2))*AV107*1),2)*BS107),2))*AT107)/100),2)+ROUND(((ROUND((ROUND(((AE107-((EU107*1.2)))*AV107*1),2)*BS107),2)*AT107)/100),2))</f>
        <v>90.84</v>
      </c>
      <c r="CZ107" s="2">
        <f>(ROUND((((S107+ROUND((ROUND((((EU107*1.2))*AV107*1),2)*BS107),2))*AU107)/100),2)+ROUND(((ROUND((ROUND(((AE107-((EU107*1.2)))*AV107*1),2)*BS107),2)*AU107)/100),2))</f>
        <v>46.43</v>
      </c>
      <c r="DA107" s="2"/>
      <c r="DB107" s="2">
        <v>71</v>
      </c>
      <c r="DC107" s="2" t="s">
        <v>3</v>
      </c>
      <c r="DD107" s="2" t="s">
        <v>119</v>
      </c>
      <c r="DE107" s="2" t="s">
        <v>120</v>
      </c>
      <c r="DF107" s="2" t="s">
        <v>120</v>
      </c>
      <c r="DG107" s="2" t="s">
        <v>120</v>
      </c>
      <c r="DH107" s="2" t="s">
        <v>3</v>
      </c>
      <c r="DI107" s="2" t="s">
        <v>120</v>
      </c>
      <c r="DJ107" s="2" t="s">
        <v>120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1013</v>
      </c>
      <c r="DV107" s="2" t="s">
        <v>44</v>
      </c>
      <c r="DW107" s="2" t="s">
        <v>44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57248652</v>
      </c>
      <c r="EF107" s="2">
        <v>40</v>
      </c>
      <c r="EG107" s="2" t="s">
        <v>33</v>
      </c>
      <c r="EH107" s="2">
        <v>0</v>
      </c>
      <c r="EI107" s="2" t="s">
        <v>3</v>
      </c>
      <c r="EJ107" s="2">
        <v>2</v>
      </c>
      <c r="EK107" s="2">
        <v>68</v>
      </c>
      <c r="EL107" s="2" t="s">
        <v>34</v>
      </c>
      <c r="EM107" s="2" t="s">
        <v>35</v>
      </c>
      <c r="EN107" s="2"/>
      <c r="EO107" s="2" t="s">
        <v>124</v>
      </c>
      <c r="EP107" s="2"/>
      <c r="EQ107" s="2">
        <v>131072</v>
      </c>
      <c r="ER107" s="2">
        <v>90.3</v>
      </c>
      <c r="ES107" s="2">
        <v>9.15</v>
      </c>
      <c r="ET107" s="2">
        <v>0.82</v>
      </c>
      <c r="EU107" s="2">
        <v>0</v>
      </c>
      <c r="EV107" s="2">
        <v>80.33</v>
      </c>
      <c r="EW107" s="2">
        <v>6.01</v>
      </c>
      <c r="EX107" s="2">
        <v>0</v>
      </c>
      <c r="EY107" s="2">
        <v>0</v>
      </c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90</v>
      </c>
      <c r="FY107" s="2">
        <v>46</v>
      </c>
      <c r="FZ107" s="2"/>
      <c r="GA107" s="2" t="s">
        <v>3</v>
      </c>
      <c r="GB107" s="2"/>
      <c r="GC107" s="2"/>
      <c r="GD107" s="2">
        <v>1</v>
      </c>
      <c r="GE107" s="2"/>
      <c r="GF107" s="2">
        <v>-1237448989</v>
      </c>
      <c r="GG107" s="2">
        <v>2</v>
      </c>
      <c r="GH107" s="2">
        <v>1</v>
      </c>
      <c r="GI107" s="2">
        <v>2</v>
      </c>
      <c r="GJ107" s="2">
        <v>0</v>
      </c>
      <c r="GK107" s="2">
        <v>0</v>
      </c>
      <c r="GL107" s="2">
        <f t="shared" si="102"/>
        <v>0</v>
      </c>
      <c r="GM107" s="2">
        <f t="shared" si="103"/>
        <v>248.38</v>
      </c>
      <c r="GN107" s="2">
        <f t="shared" si="104"/>
        <v>0</v>
      </c>
      <c r="GO107" s="2">
        <f t="shared" si="105"/>
        <v>248.38</v>
      </c>
      <c r="GP107" s="2">
        <f t="shared" si="106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7"/>
        <v>0</v>
      </c>
      <c r="GW107" s="2">
        <v>1</v>
      </c>
      <c r="GX107" s="2">
        <f t="shared" si="108"/>
        <v>0</v>
      </c>
      <c r="GY107" s="2"/>
      <c r="GZ107" s="2"/>
      <c r="HA107" s="2">
        <v>0</v>
      </c>
      <c r="HB107" s="2">
        <v>0</v>
      </c>
      <c r="HC107" s="2">
        <f t="shared" si="109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3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3">
        <v>17</v>
      </c>
      <c r="B108" s="3">
        <v>1</v>
      </c>
      <c r="C108" s="3">
        <f>ROW(SmtRes!A154)</f>
        <v>154</v>
      </c>
      <c r="D108" s="3">
        <f>ROW(EtalonRes!A206)</f>
        <v>206</v>
      </c>
      <c r="E108" s="3" t="s">
        <v>205</v>
      </c>
      <c r="F108" s="3" t="s">
        <v>42</v>
      </c>
      <c r="G108" s="3" t="s">
        <v>206</v>
      </c>
      <c r="H108" s="3" t="s">
        <v>44</v>
      </c>
      <c r="I108" s="3">
        <v>1</v>
      </c>
      <c r="J108" s="3">
        <v>0</v>
      </c>
      <c r="K108" s="3">
        <v>1</v>
      </c>
      <c r="O108" s="3">
        <f t="shared" si="85"/>
        <v>5755.96</v>
      </c>
      <c r="P108" s="3">
        <f t="shared" si="86"/>
        <v>58.74</v>
      </c>
      <c r="Q108" s="3">
        <f>(ROUND((ROUND((((ET108*1.2))*AV108*I108),2)*BB108),2)+ROUND((ROUND(((AE108-((EU108*1.2)))*AV108*I108),2)*BS108),2))</f>
        <v>9.81</v>
      </c>
      <c r="R108" s="3">
        <f>(ROUND((ROUND((((EU108*1.2))*AV108*I108),2)*BS108),2)+ROUND((ROUND(((AE108-((EU108*1.2)))*AV108*I108),2)*BS108),2))</f>
        <v>0</v>
      </c>
      <c r="S108" s="3">
        <f t="shared" si="87"/>
        <v>5687.41</v>
      </c>
      <c r="T108" s="3">
        <f t="shared" si="88"/>
        <v>0</v>
      </c>
      <c r="U108" s="3">
        <f t="shared" si="89"/>
        <v>7.5509639999999996</v>
      </c>
      <c r="V108" s="3">
        <f t="shared" si="90"/>
        <v>0</v>
      </c>
      <c r="W108" s="3">
        <f t="shared" si="91"/>
        <v>0</v>
      </c>
      <c r="X108" s="3">
        <f>(ROUND((((S108+ROUND((ROUND((((EU108*1.2))*AV108*I108),2)*BS108),2))*AT108)/100),2)+ROUND(((ROUND((ROUND(((AE108-((EU108*1.2)))*AV108*I108),2)*BS108),2)*AT108)/100),2))</f>
        <v>5118.67</v>
      </c>
      <c r="Y108" s="3">
        <f>(ROUND((((S108+ROUND((ROUND((((EU108*1.2))*AV108*I108),2)*BS108),2))*AU108)/100),2)+ROUND(((ROUND((ROUND(((AE108-((EU108*1.2)))*AV108*I108),2)*BS108),2)*AU108)/100),2))</f>
        <v>2616.21</v>
      </c>
      <c r="AA108" s="3">
        <v>57248837</v>
      </c>
      <c r="AB108" s="3">
        <f t="shared" si="92"/>
        <v>106.53</v>
      </c>
      <c r="AC108" s="3">
        <f>ROUND(((ES108*1)),6)</f>
        <v>9.15</v>
      </c>
      <c r="AD108" s="3">
        <f>ROUND(((((ET108*1.2))-((EU108*1.2)))+AE108),6)</f>
        <v>0.98399999999999999</v>
      </c>
      <c r="AE108" s="3">
        <f>ROUND(((EU108*1.2)),6)</f>
        <v>0</v>
      </c>
      <c r="AF108" s="3">
        <f>ROUND(((EV108*1.2)),6)</f>
        <v>96.396000000000001</v>
      </c>
      <c r="AG108" s="3">
        <f t="shared" si="93"/>
        <v>0</v>
      </c>
      <c r="AH108" s="3">
        <f>((EW108*1.2))</f>
        <v>7.2119999999999997</v>
      </c>
      <c r="AI108" s="3">
        <f>((EX108*1.2))</f>
        <v>0</v>
      </c>
      <c r="AJ108" s="3">
        <f t="shared" si="94"/>
        <v>0</v>
      </c>
      <c r="AK108" s="3">
        <v>90.3</v>
      </c>
      <c r="AL108" s="3">
        <v>9.15</v>
      </c>
      <c r="AM108" s="3">
        <v>0.82</v>
      </c>
      <c r="AN108" s="3">
        <v>0</v>
      </c>
      <c r="AO108" s="3">
        <v>80.33</v>
      </c>
      <c r="AP108" s="3">
        <v>0</v>
      </c>
      <c r="AQ108" s="3">
        <v>6.01</v>
      </c>
      <c r="AR108" s="3">
        <v>0</v>
      </c>
      <c r="AS108" s="3">
        <v>0</v>
      </c>
      <c r="AT108" s="3">
        <v>90</v>
      </c>
      <c r="AU108" s="3">
        <v>46</v>
      </c>
      <c r="AV108" s="3">
        <v>1.0469999999999999</v>
      </c>
      <c r="AW108" s="3">
        <v>1</v>
      </c>
      <c r="AZ108" s="3">
        <v>1</v>
      </c>
      <c r="BA108" s="3">
        <v>56.35</v>
      </c>
      <c r="BB108" s="3">
        <v>9.52</v>
      </c>
      <c r="BC108" s="3">
        <v>6.42</v>
      </c>
      <c r="BD108" s="3" t="s">
        <v>3</v>
      </c>
      <c r="BE108" s="3" t="s">
        <v>3</v>
      </c>
      <c r="BF108" s="3" t="s">
        <v>3</v>
      </c>
      <c r="BG108" s="3" t="s">
        <v>3</v>
      </c>
      <c r="BH108" s="3">
        <v>0</v>
      </c>
      <c r="BI108" s="3">
        <v>2</v>
      </c>
      <c r="BJ108" s="3" t="s">
        <v>45</v>
      </c>
      <c r="BM108" s="3">
        <v>68</v>
      </c>
      <c r="BN108" s="3">
        <v>0</v>
      </c>
      <c r="BO108" s="3" t="s">
        <v>42</v>
      </c>
      <c r="BP108" s="3">
        <v>1</v>
      </c>
      <c r="BQ108" s="3">
        <v>40</v>
      </c>
      <c r="BR108" s="3">
        <v>0</v>
      </c>
      <c r="BS108" s="3">
        <v>56.35</v>
      </c>
      <c r="BT108" s="3">
        <v>1</v>
      </c>
      <c r="BU108" s="3">
        <v>1</v>
      </c>
      <c r="BV108" s="3">
        <v>1</v>
      </c>
      <c r="BW108" s="3">
        <v>1</v>
      </c>
      <c r="BX108" s="3">
        <v>1</v>
      </c>
      <c r="BY108" s="3" t="s">
        <v>3</v>
      </c>
      <c r="BZ108" s="3">
        <v>90</v>
      </c>
      <c r="CA108" s="3">
        <v>46</v>
      </c>
      <c r="CB108" s="3" t="s">
        <v>3</v>
      </c>
      <c r="CE108" s="3">
        <v>1566</v>
      </c>
      <c r="CF108" s="3">
        <v>0</v>
      </c>
      <c r="CG108" s="3">
        <v>0</v>
      </c>
      <c r="CM108" s="3">
        <v>0</v>
      </c>
      <c r="CN108" s="3" t="s">
        <v>820</v>
      </c>
      <c r="CO108" s="3">
        <v>0</v>
      </c>
      <c r="CP108" s="3">
        <f t="shared" si="95"/>
        <v>5755.96</v>
      </c>
      <c r="CQ108" s="3">
        <f t="shared" si="96"/>
        <v>58.74</v>
      </c>
      <c r="CR108" s="3">
        <f>(ROUND((ROUND((((ET108*1.2))*AV108*1),2)*BB108),2)+ROUND((ROUND(((AE108-((EU108*1.2)))*AV108*1),2)*BS108),2))</f>
        <v>9.81</v>
      </c>
      <c r="CS108" s="3">
        <f>(ROUND((ROUND((((EU108*1.2))*AV108*1),2)*BS108),2)+ROUND((ROUND(((AE108-((EU108*1.2)))*AV108*1),2)*BS108),2))</f>
        <v>0</v>
      </c>
      <c r="CT108" s="3">
        <f t="shared" si="97"/>
        <v>5687.41</v>
      </c>
      <c r="CU108" s="3">
        <f t="shared" si="98"/>
        <v>0</v>
      </c>
      <c r="CV108" s="3">
        <f t="shared" si="99"/>
        <v>7.5509639999999996</v>
      </c>
      <c r="CW108" s="3">
        <f t="shared" si="100"/>
        <v>0</v>
      </c>
      <c r="CX108" s="3">
        <f t="shared" si="101"/>
        <v>0</v>
      </c>
      <c r="CY108" s="3">
        <f>(ROUND((((S108+ROUND((ROUND((((EU108*1.2))*AV108*1),2)*BS108),2))*AT108)/100),2)+ROUND(((ROUND((ROUND(((AE108-((EU108*1.2)))*AV108*1),2)*BS108),2)*AT108)/100),2))</f>
        <v>5118.67</v>
      </c>
      <c r="CZ108" s="3">
        <f>(ROUND((((S108+ROUND((ROUND((((EU108*1.2))*AV108*1),2)*BS108),2))*AU108)/100),2)+ROUND(((ROUND((ROUND(((AE108-((EU108*1.2)))*AV108*1),2)*BS108),2)*AU108)/100),2))</f>
        <v>2616.21</v>
      </c>
      <c r="DB108" s="3">
        <v>72</v>
      </c>
      <c r="DC108" s="3" t="s">
        <v>3</v>
      </c>
      <c r="DD108" s="3" t="s">
        <v>119</v>
      </c>
      <c r="DE108" s="3" t="s">
        <v>120</v>
      </c>
      <c r="DF108" s="3" t="s">
        <v>120</v>
      </c>
      <c r="DG108" s="3" t="s">
        <v>120</v>
      </c>
      <c r="DH108" s="3" t="s">
        <v>3</v>
      </c>
      <c r="DI108" s="3" t="s">
        <v>120</v>
      </c>
      <c r="DJ108" s="3" t="s">
        <v>120</v>
      </c>
      <c r="DK108" s="3" t="s">
        <v>3</v>
      </c>
      <c r="DL108" s="3" t="s">
        <v>3</v>
      </c>
      <c r="DM108" s="3" t="s">
        <v>3</v>
      </c>
      <c r="DN108" s="3">
        <v>0</v>
      </c>
      <c r="DO108" s="3">
        <v>0</v>
      </c>
      <c r="DP108" s="3">
        <v>1</v>
      </c>
      <c r="DQ108" s="3">
        <v>1</v>
      </c>
      <c r="DU108" s="3">
        <v>1013</v>
      </c>
      <c r="DV108" s="3" t="s">
        <v>44</v>
      </c>
      <c r="DW108" s="3" t="s">
        <v>44</v>
      </c>
      <c r="DX108" s="3">
        <v>1</v>
      </c>
      <c r="DZ108" s="3" t="s">
        <v>3</v>
      </c>
      <c r="EA108" s="3" t="s">
        <v>3</v>
      </c>
      <c r="EB108" s="3" t="s">
        <v>3</v>
      </c>
      <c r="EC108" s="3" t="s">
        <v>3</v>
      </c>
      <c r="EE108" s="3">
        <v>57248652</v>
      </c>
      <c r="EF108" s="3">
        <v>40</v>
      </c>
      <c r="EG108" s="3" t="s">
        <v>33</v>
      </c>
      <c r="EH108" s="3">
        <v>0</v>
      </c>
      <c r="EI108" s="3" t="s">
        <v>3</v>
      </c>
      <c r="EJ108" s="3">
        <v>2</v>
      </c>
      <c r="EK108" s="3">
        <v>68</v>
      </c>
      <c r="EL108" s="3" t="s">
        <v>34</v>
      </c>
      <c r="EM108" s="3" t="s">
        <v>35</v>
      </c>
      <c r="EO108" s="3" t="s">
        <v>124</v>
      </c>
      <c r="EQ108" s="3">
        <v>131072</v>
      </c>
      <c r="ER108" s="3">
        <v>90.3</v>
      </c>
      <c r="ES108" s="3">
        <v>9.15</v>
      </c>
      <c r="ET108" s="3">
        <v>0.82</v>
      </c>
      <c r="EU108" s="3">
        <v>0</v>
      </c>
      <c r="EV108" s="3">
        <v>80.33</v>
      </c>
      <c r="EW108" s="3">
        <v>6.01</v>
      </c>
      <c r="EX108" s="3">
        <v>0</v>
      </c>
      <c r="EY108" s="3">
        <v>0</v>
      </c>
      <c r="FQ108" s="3">
        <v>0</v>
      </c>
      <c r="FR108" s="3">
        <v>0</v>
      </c>
      <c r="FS108" s="3">
        <v>0</v>
      </c>
      <c r="FX108" s="3">
        <v>90</v>
      </c>
      <c r="FY108" s="3">
        <v>46</v>
      </c>
      <c r="GA108" s="3" t="s">
        <v>3</v>
      </c>
      <c r="GD108" s="3">
        <v>1</v>
      </c>
      <c r="GF108" s="3">
        <v>-1237448989</v>
      </c>
      <c r="GG108" s="3">
        <v>2</v>
      </c>
      <c r="GH108" s="3">
        <v>1</v>
      </c>
      <c r="GI108" s="3">
        <v>2</v>
      </c>
      <c r="GJ108" s="3">
        <v>0</v>
      </c>
      <c r="GK108" s="3">
        <v>0</v>
      </c>
      <c r="GL108" s="3">
        <f t="shared" si="102"/>
        <v>0</v>
      </c>
      <c r="GM108" s="3">
        <f t="shared" si="103"/>
        <v>13490.84</v>
      </c>
      <c r="GN108" s="3">
        <f t="shared" si="104"/>
        <v>0</v>
      </c>
      <c r="GO108" s="3">
        <f t="shared" si="105"/>
        <v>13490.84</v>
      </c>
      <c r="GP108" s="3">
        <f t="shared" si="106"/>
        <v>0</v>
      </c>
      <c r="GR108" s="3">
        <v>0</v>
      </c>
      <c r="GS108" s="3">
        <v>3</v>
      </c>
      <c r="GT108" s="3">
        <v>0</v>
      </c>
      <c r="GU108" s="3" t="s">
        <v>3</v>
      </c>
      <c r="GV108" s="3">
        <f t="shared" si="107"/>
        <v>0</v>
      </c>
      <c r="GW108" s="3">
        <v>1</v>
      </c>
      <c r="GX108" s="3">
        <f t="shared" si="108"/>
        <v>0</v>
      </c>
      <c r="HA108" s="3">
        <v>0</v>
      </c>
      <c r="HB108" s="3">
        <v>0</v>
      </c>
      <c r="HC108" s="3">
        <f t="shared" si="109"/>
        <v>0</v>
      </c>
      <c r="HE108" s="3" t="s">
        <v>3</v>
      </c>
      <c r="HF108" s="3" t="s">
        <v>3</v>
      </c>
      <c r="HM108" s="3" t="s">
        <v>3</v>
      </c>
      <c r="HN108" s="3" t="s">
        <v>3</v>
      </c>
      <c r="HO108" s="3" t="s">
        <v>3</v>
      </c>
      <c r="HP108" s="3" t="s">
        <v>3</v>
      </c>
      <c r="HQ108" s="3" t="s">
        <v>3</v>
      </c>
      <c r="HS108" s="3">
        <v>0</v>
      </c>
      <c r="IK108" s="3">
        <v>0</v>
      </c>
    </row>
    <row r="109" spans="1:255" x14ac:dyDescent="0.2">
      <c r="A109" s="2">
        <v>18</v>
      </c>
      <c r="B109" s="2">
        <v>1</v>
      </c>
      <c r="C109" s="2">
        <v>144</v>
      </c>
      <c r="D109" s="2"/>
      <c r="E109" s="2" t="s">
        <v>207</v>
      </c>
      <c r="F109" s="2" t="s">
        <v>208</v>
      </c>
      <c r="G109" s="2" t="s">
        <v>209</v>
      </c>
      <c r="H109" s="2" t="s">
        <v>192</v>
      </c>
      <c r="I109" s="2">
        <f>I107*J109</f>
        <v>1</v>
      </c>
      <c r="J109" s="2">
        <v>1</v>
      </c>
      <c r="K109" s="2">
        <v>1</v>
      </c>
      <c r="L109" s="2"/>
      <c r="M109" s="2"/>
      <c r="N109" s="2"/>
      <c r="O109" s="2">
        <f t="shared" si="85"/>
        <v>2385.0700000000002</v>
      </c>
      <c r="P109" s="2">
        <f t="shared" si="86"/>
        <v>2385.0700000000002</v>
      </c>
      <c r="Q109" s="2">
        <f>(ROUND((ROUND(((ET109)*AV109*I109),2)*BB109),2)+ROUND((ROUND(((AE109-(EU109))*AV109*I109),2)*BS109),2))</f>
        <v>0</v>
      </c>
      <c r="R109" s="2">
        <f>(ROUND((ROUND(((EU109)*AV109*I109),2)*BS109),2)+ROUND((ROUND(((AE109-(EU109))*AV109*I109),2)*BS109),2))</f>
        <v>0</v>
      </c>
      <c r="S109" s="2">
        <f t="shared" si="87"/>
        <v>0</v>
      </c>
      <c r="T109" s="2">
        <f t="shared" si="88"/>
        <v>0</v>
      </c>
      <c r="U109" s="2">
        <f t="shared" si="89"/>
        <v>0</v>
      </c>
      <c r="V109" s="2">
        <f t="shared" si="90"/>
        <v>0</v>
      </c>
      <c r="W109" s="2">
        <f t="shared" si="91"/>
        <v>0</v>
      </c>
      <c r="X109" s="2">
        <f>(ROUND((((S109+ROUND((ROUND(((EU109)*AV109*I109),2)*BS109),2))*AT109)/100),2)+ROUND(((ROUND((ROUND(((AE109-(EU109))*AV109*I109),2)*BS109),2)*AT109)/100),2))</f>
        <v>0</v>
      </c>
      <c r="Y109" s="2">
        <f>(ROUND((((S109+ROUND((ROUND(((EU109)*AV109*I109),2)*BS109),2))*AU109)/100),2)+ROUND(((ROUND((ROUND(((AE109-(EU109))*AV109*I109),2)*BS109),2)*AU109)/100),2))</f>
        <v>0</v>
      </c>
      <c r="Z109" s="2"/>
      <c r="AA109" s="2">
        <v>57248835</v>
      </c>
      <c r="AB109" s="2">
        <f t="shared" si="92"/>
        <v>2385.0700000000002</v>
      </c>
      <c r="AC109" s="2">
        <f>ROUND((ES109),6)</f>
        <v>2385.0700000000002</v>
      </c>
      <c r="AD109" s="2">
        <f>ROUND((((ET109)-(EU109))+AE109),6)</f>
        <v>0</v>
      </c>
      <c r="AE109" s="2">
        <f>ROUND((EU109),6)</f>
        <v>0</v>
      </c>
      <c r="AF109" s="2">
        <f>ROUND((EV109),6)</f>
        <v>0</v>
      </c>
      <c r="AG109" s="2">
        <f t="shared" si="93"/>
        <v>0</v>
      </c>
      <c r="AH109" s="2">
        <f>(EW109)</f>
        <v>0</v>
      </c>
      <c r="AI109" s="2">
        <f>(EX109)</f>
        <v>0</v>
      </c>
      <c r="AJ109" s="2">
        <f t="shared" si="94"/>
        <v>0</v>
      </c>
      <c r="AK109" s="2">
        <v>2385.0700000000002</v>
      </c>
      <c r="AL109" s="2">
        <v>2385.0700000000002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1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3</v>
      </c>
      <c r="BI109" s="2">
        <v>3</v>
      </c>
      <c r="BJ109" s="2" t="s">
        <v>208</v>
      </c>
      <c r="BK109" s="2"/>
      <c r="BL109" s="2"/>
      <c r="BM109" s="2">
        <v>400007</v>
      </c>
      <c r="BN109" s="2">
        <v>0</v>
      </c>
      <c r="BO109" s="2" t="s">
        <v>3</v>
      </c>
      <c r="BP109" s="2">
        <v>0</v>
      </c>
      <c r="BQ109" s="2">
        <v>214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90</v>
      </c>
      <c r="CA109" s="2">
        <v>46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821</v>
      </c>
      <c r="CO109" s="2">
        <v>0</v>
      </c>
      <c r="CP109" s="2">
        <f t="shared" si="95"/>
        <v>2385.0700000000002</v>
      </c>
      <c r="CQ109" s="2">
        <f t="shared" si="96"/>
        <v>2385.0700000000002</v>
      </c>
      <c r="CR109" s="2">
        <f>(ROUND((ROUND(((ET109)*AV109*1),2)*BB109),2)+ROUND((ROUND(((AE109-(EU109))*AV109*1),2)*BS109),2))</f>
        <v>0</v>
      </c>
      <c r="CS109" s="2">
        <f>(ROUND((ROUND(((EU109)*AV109*1),2)*BS109),2)+ROUND((ROUND(((AE109-(EU109))*AV109*1),2)*BS109),2))</f>
        <v>0</v>
      </c>
      <c r="CT109" s="2">
        <f t="shared" si="97"/>
        <v>0</v>
      </c>
      <c r="CU109" s="2">
        <f t="shared" si="98"/>
        <v>0</v>
      </c>
      <c r="CV109" s="2">
        <f t="shared" si="99"/>
        <v>0</v>
      </c>
      <c r="CW109" s="2">
        <f t="shared" si="100"/>
        <v>0</v>
      </c>
      <c r="CX109" s="2">
        <f t="shared" si="101"/>
        <v>0</v>
      </c>
      <c r="CY109" s="2">
        <f>(ROUND((((S109+ROUND((ROUND(((EU109)*AV109*1),2)*BS109),2))*AT109)/100),2)+ROUND(((ROUND((ROUND(((AE109-(EU109))*AV109*1),2)*BS109),2)*AT109)/100),2))</f>
        <v>0</v>
      </c>
      <c r="CZ109" s="2">
        <f>(ROUND((((S109+ROUND((ROUND(((EU109)*AV109*1),2)*BS109),2))*AU109)/100),2)+ROUND(((ROUND((ROUND(((AE109-(EU109))*AV109*1),2)*BS109),2)*AU109)/100),2))</f>
        <v>0</v>
      </c>
      <c r="DA109" s="2"/>
      <c r="DB109" s="2"/>
      <c r="DC109" s="2" t="s">
        <v>3</v>
      </c>
      <c r="DD109" s="2" t="s">
        <v>3</v>
      </c>
      <c r="DE109" s="2" t="s">
        <v>3</v>
      </c>
      <c r="DF109" s="2" t="s">
        <v>3</v>
      </c>
      <c r="DG109" s="2" t="s">
        <v>3</v>
      </c>
      <c r="DH109" s="2" t="s">
        <v>3</v>
      </c>
      <c r="DI109" s="2" t="s">
        <v>3</v>
      </c>
      <c r="DJ109" s="2" t="s">
        <v>3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192</v>
      </c>
      <c r="DW109" s="2" t="s">
        <v>192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57248792</v>
      </c>
      <c r="EF109" s="2">
        <v>214</v>
      </c>
      <c r="EG109" s="2" t="s">
        <v>193</v>
      </c>
      <c r="EH109" s="2">
        <v>0</v>
      </c>
      <c r="EI109" s="2" t="s">
        <v>3</v>
      </c>
      <c r="EJ109" s="2">
        <v>3</v>
      </c>
      <c r="EK109" s="2">
        <v>400007</v>
      </c>
      <c r="EL109" s="2" t="s">
        <v>193</v>
      </c>
      <c r="EM109" s="2" t="s">
        <v>194</v>
      </c>
      <c r="EN109" s="2"/>
      <c r="EO109" s="2" t="s">
        <v>124</v>
      </c>
      <c r="EP109" s="2"/>
      <c r="EQ109" s="2">
        <v>16</v>
      </c>
      <c r="ER109" s="2">
        <v>0</v>
      </c>
      <c r="ES109" s="2">
        <v>2385.0700000000002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f>P109</f>
        <v>2385.0700000000002</v>
      </c>
      <c r="FS109" s="2">
        <v>0</v>
      </c>
      <c r="FT109" s="2"/>
      <c r="FU109" s="2"/>
      <c r="FV109" s="2"/>
      <c r="FW109" s="2"/>
      <c r="FX109" s="2">
        <v>90</v>
      </c>
      <c r="FY109" s="2">
        <v>46</v>
      </c>
      <c r="FZ109" s="2"/>
      <c r="GA109" s="2" t="s">
        <v>210</v>
      </c>
      <c r="GB109" s="2"/>
      <c r="GC109" s="2"/>
      <c r="GD109" s="2">
        <v>1</v>
      </c>
      <c r="GE109" s="2"/>
      <c r="GF109" s="2">
        <v>2003060663</v>
      </c>
      <c r="GG109" s="2">
        <v>2</v>
      </c>
      <c r="GH109" s="2">
        <v>4</v>
      </c>
      <c r="GI109" s="2">
        <v>-2</v>
      </c>
      <c r="GJ109" s="2">
        <v>0</v>
      </c>
      <c r="GK109" s="2">
        <v>0</v>
      </c>
      <c r="GL109" s="2">
        <f t="shared" si="102"/>
        <v>0</v>
      </c>
      <c r="GM109" s="2">
        <f t="shared" si="103"/>
        <v>2385.0700000000002</v>
      </c>
      <c r="GN109" s="2">
        <f t="shared" si="104"/>
        <v>0</v>
      </c>
      <c r="GO109" s="2">
        <f t="shared" si="105"/>
        <v>0</v>
      </c>
      <c r="GP109" s="2">
        <f t="shared" si="106"/>
        <v>0</v>
      </c>
      <c r="GQ109" s="2"/>
      <c r="GR109" s="2">
        <v>1</v>
      </c>
      <c r="GS109" s="2">
        <v>2</v>
      </c>
      <c r="GT109" s="2">
        <v>0</v>
      </c>
      <c r="GU109" s="2" t="s">
        <v>3</v>
      </c>
      <c r="GV109" s="2">
        <f t="shared" si="107"/>
        <v>0</v>
      </c>
      <c r="GW109" s="2">
        <v>1</v>
      </c>
      <c r="GX109" s="2">
        <f t="shared" si="108"/>
        <v>0</v>
      </c>
      <c r="GY109" s="2"/>
      <c r="GZ109" s="2"/>
      <c r="HA109" s="2">
        <v>0</v>
      </c>
      <c r="HB109" s="2">
        <v>0</v>
      </c>
      <c r="HC109" s="2">
        <f t="shared" si="109"/>
        <v>0</v>
      </c>
      <c r="HD109" s="2"/>
      <c r="HE109" s="2" t="s">
        <v>41</v>
      </c>
      <c r="HF109" s="2" t="s">
        <v>196</v>
      </c>
      <c r="HG109" s="2"/>
      <c r="HH109" s="2"/>
      <c r="HI109" s="2"/>
      <c r="HJ109" s="2"/>
      <c r="HK109" s="2"/>
      <c r="HL109" s="2"/>
      <c r="HM109" s="2" t="s">
        <v>119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3">
        <v>18</v>
      </c>
      <c r="B110" s="3">
        <v>1</v>
      </c>
      <c r="C110" s="3">
        <v>154</v>
      </c>
      <c r="E110" s="3" t="s">
        <v>207</v>
      </c>
      <c r="F110" s="3" t="s">
        <v>208</v>
      </c>
      <c r="G110" s="3" t="s">
        <v>209</v>
      </c>
      <c r="H110" s="3" t="s">
        <v>192</v>
      </c>
      <c r="I110" s="3">
        <f>I108*J110</f>
        <v>1</v>
      </c>
      <c r="J110" s="3">
        <v>1</v>
      </c>
      <c r="K110" s="3">
        <v>1</v>
      </c>
      <c r="O110" s="3">
        <f t="shared" si="85"/>
        <v>18054.98</v>
      </c>
      <c r="P110" s="3">
        <f t="shared" si="86"/>
        <v>18054.98</v>
      </c>
      <c r="Q110" s="3">
        <f>(ROUND((ROUND(((ET110)*AV110*I110),2)*BB110),2)+ROUND((ROUND(((AE110-(EU110))*AV110*I110),2)*BS110),2))</f>
        <v>0</v>
      </c>
      <c r="R110" s="3">
        <f>(ROUND((ROUND(((EU110)*AV110*I110),2)*BS110),2)+ROUND((ROUND(((AE110-(EU110))*AV110*I110),2)*BS110),2))</f>
        <v>0</v>
      </c>
      <c r="S110" s="3">
        <f t="shared" si="87"/>
        <v>0</v>
      </c>
      <c r="T110" s="3">
        <f t="shared" si="88"/>
        <v>0</v>
      </c>
      <c r="U110" s="3">
        <f t="shared" si="89"/>
        <v>0</v>
      </c>
      <c r="V110" s="3">
        <f t="shared" si="90"/>
        <v>0</v>
      </c>
      <c r="W110" s="3">
        <f t="shared" si="91"/>
        <v>0</v>
      </c>
      <c r="X110" s="3">
        <f>(ROUND((((S110+ROUND((ROUND(((EU110)*AV110*I110),2)*BS110),2))*AT110)/100),2)+ROUND(((ROUND((ROUND(((AE110-(EU110))*AV110*I110),2)*BS110),2)*AT110)/100),2))</f>
        <v>0</v>
      </c>
      <c r="Y110" s="3">
        <f>(ROUND((((S110+ROUND((ROUND(((EU110)*AV110*I110),2)*BS110),2))*AU110)/100),2)+ROUND(((ROUND((ROUND(((AE110-(EU110))*AV110*I110),2)*BS110),2)*AU110)/100),2))</f>
        <v>0</v>
      </c>
      <c r="AA110" s="3">
        <v>57248837</v>
      </c>
      <c r="AB110" s="3">
        <f t="shared" si="92"/>
        <v>2385.0700000000002</v>
      </c>
      <c r="AC110" s="3">
        <f>ROUND((ES110),6)</f>
        <v>2385.0700000000002</v>
      </c>
      <c r="AD110" s="3">
        <f>ROUND((((ET110)-(EU110))+AE110),6)</f>
        <v>0</v>
      </c>
      <c r="AE110" s="3">
        <f>ROUND((EU110),6)</f>
        <v>0</v>
      </c>
      <c r="AF110" s="3">
        <f>ROUND((EV110),6)</f>
        <v>0</v>
      </c>
      <c r="AG110" s="3">
        <f t="shared" si="93"/>
        <v>0</v>
      </c>
      <c r="AH110" s="3">
        <f>(EW110)</f>
        <v>0</v>
      </c>
      <c r="AI110" s="3">
        <f>(EX110)</f>
        <v>0</v>
      </c>
      <c r="AJ110" s="3">
        <f t="shared" si="94"/>
        <v>0</v>
      </c>
      <c r="AK110" s="3">
        <v>2385.0700000000002</v>
      </c>
      <c r="AL110" s="3">
        <v>2385.0700000000002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1</v>
      </c>
      <c r="AW110" s="3">
        <v>1</v>
      </c>
      <c r="AZ110" s="3">
        <v>1</v>
      </c>
      <c r="BA110" s="3">
        <v>1</v>
      </c>
      <c r="BB110" s="3">
        <v>1</v>
      </c>
      <c r="BC110" s="3">
        <v>7.57</v>
      </c>
      <c r="BD110" s="3" t="s">
        <v>3</v>
      </c>
      <c r="BE110" s="3" t="s">
        <v>3</v>
      </c>
      <c r="BF110" s="3" t="s">
        <v>3</v>
      </c>
      <c r="BG110" s="3" t="s">
        <v>3</v>
      </c>
      <c r="BH110" s="3">
        <v>3</v>
      </c>
      <c r="BI110" s="3">
        <v>3</v>
      </c>
      <c r="BJ110" s="3" t="s">
        <v>208</v>
      </c>
      <c r="BM110" s="3">
        <v>400007</v>
      </c>
      <c r="BN110" s="3">
        <v>0</v>
      </c>
      <c r="BO110" s="3" t="s">
        <v>3</v>
      </c>
      <c r="BP110" s="3">
        <v>0</v>
      </c>
      <c r="BQ110" s="3">
        <v>214</v>
      </c>
      <c r="BR110" s="3">
        <v>0</v>
      </c>
      <c r="BS110" s="3">
        <v>1</v>
      </c>
      <c r="BT110" s="3">
        <v>1</v>
      </c>
      <c r="BU110" s="3">
        <v>1</v>
      </c>
      <c r="BV110" s="3">
        <v>1</v>
      </c>
      <c r="BW110" s="3">
        <v>1</v>
      </c>
      <c r="BX110" s="3">
        <v>1</v>
      </c>
      <c r="BY110" s="3" t="s">
        <v>3</v>
      </c>
      <c r="BZ110" s="3">
        <v>90</v>
      </c>
      <c r="CA110" s="3">
        <v>46</v>
      </c>
      <c r="CB110" s="3" t="s">
        <v>3</v>
      </c>
      <c r="CE110" s="3">
        <v>1566</v>
      </c>
      <c r="CF110" s="3">
        <v>0</v>
      </c>
      <c r="CG110" s="3">
        <v>0</v>
      </c>
      <c r="CM110" s="3">
        <v>0</v>
      </c>
      <c r="CN110" s="3" t="s">
        <v>821</v>
      </c>
      <c r="CO110" s="3">
        <v>0</v>
      </c>
      <c r="CP110" s="3">
        <f t="shared" si="95"/>
        <v>18054.98</v>
      </c>
      <c r="CQ110" s="3">
        <f t="shared" si="96"/>
        <v>18054.98</v>
      </c>
      <c r="CR110" s="3">
        <f>(ROUND((ROUND(((ET110)*AV110*1),2)*BB110),2)+ROUND((ROUND(((AE110-(EU110))*AV110*1),2)*BS110),2))</f>
        <v>0</v>
      </c>
      <c r="CS110" s="3">
        <f>(ROUND((ROUND(((EU110)*AV110*1),2)*BS110),2)+ROUND((ROUND(((AE110-(EU110))*AV110*1),2)*BS110),2))</f>
        <v>0</v>
      </c>
      <c r="CT110" s="3">
        <f t="shared" si="97"/>
        <v>0</v>
      </c>
      <c r="CU110" s="3">
        <f t="shared" si="98"/>
        <v>0</v>
      </c>
      <c r="CV110" s="3">
        <f t="shared" si="99"/>
        <v>0</v>
      </c>
      <c r="CW110" s="3">
        <f t="shared" si="100"/>
        <v>0</v>
      </c>
      <c r="CX110" s="3">
        <f t="shared" si="101"/>
        <v>0</v>
      </c>
      <c r="CY110" s="3">
        <f>(ROUND((((S110+ROUND((ROUND(((EU110)*AV110*1),2)*BS110),2))*AT110)/100),2)+ROUND(((ROUND((ROUND(((AE110-(EU110))*AV110*1),2)*BS110),2)*AT110)/100),2))</f>
        <v>0</v>
      </c>
      <c r="CZ110" s="3">
        <f>(ROUND((((S110+ROUND((ROUND(((EU110)*AV110*1),2)*BS110),2))*AU110)/100),2)+ROUND(((ROUND((ROUND(((AE110-(EU110))*AV110*1),2)*BS110),2)*AU110)/100),2))</f>
        <v>0</v>
      </c>
      <c r="DC110" s="3" t="s">
        <v>3</v>
      </c>
      <c r="DD110" s="3" t="s">
        <v>3</v>
      </c>
      <c r="DE110" s="3" t="s">
        <v>3</v>
      </c>
      <c r="DF110" s="3" t="s">
        <v>3</v>
      </c>
      <c r="DG110" s="3" t="s">
        <v>3</v>
      </c>
      <c r="DH110" s="3" t="s">
        <v>3</v>
      </c>
      <c r="DI110" s="3" t="s">
        <v>3</v>
      </c>
      <c r="DJ110" s="3" t="s">
        <v>3</v>
      </c>
      <c r="DK110" s="3" t="s">
        <v>3</v>
      </c>
      <c r="DL110" s="3" t="s">
        <v>3</v>
      </c>
      <c r="DM110" s="3" t="s">
        <v>3</v>
      </c>
      <c r="DN110" s="3">
        <v>0</v>
      </c>
      <c r="DO110" s="3">
        <v>0</v>
      </c>
      <c r="DP110" s="3">
        <v>1</v>
      </c>
      <c r="DQ110" s="3">
        <v>1</v>
      </c>
      <c r="DU110" s="3">
        <v>1013</v>
      </c>
      <c r="DV110" s="3" t="s">
        <v>192</v>
      </c>
      <c r="DW110" s="3" t="s">
        <v>192</v>
      </c>
      <c r="DX110" s="3">
        <v>1</v>
      </c>
      <c r="DZ110" s="3" t="s">
        <v>3</v>
      </c>
      <c r="EA110" s="3" t="s">
        <v>3</v>
      </c>
      <c r="EB110" s="3" t="s">
        <v>3</v>
      </c>
      <c r="EC110" s="3" t="s">
        <v>3</v>
      </c>
      <c r="EE110" s="3">
        <v>57248792</v>
      </c>
      <c r="EF110" s="3">
        <v>214</v>
      </c>
      <c r="EG110" s="3" t="s">
        <v>193</v>
      </c>
      <c r="EH110" s="3">
        <v>0</v>
      </c>
      <c r="EI110" s="3" t="s">
        <v>3</v>
      </c>
      <c r="EJ110" s="3">
        <v>3</v>
      </c>
      <c r="EK110" s="3">
        <v>400007</v>
      </c>
      <c r="EL110" s="3" t="s">
        <v>193</v>
      </c>
      <c r="EM110" s="3" t="s">
        <v>194</v>
      </c>
      <c r="EO110" s="3" t="s">
        <v>124</v>
      </c>
      <c r="EQ110" s="3">
        <v>16</v>
      </c>
      <c r="ER110" s="3">
        <v>0</v>
      </c>
      <c r="ES110" s="3">
        <v>2385.0700000000002</v>
      </c>
      <c r="ET110" s="3">
        <v>0</v>
      </c>
      <c r="EU110" s="3">
        <v>0</v>
      </c>
      <c r="EV110" s="3">
        <v>0</v>
      </c>
      <c r="EW110" s="3">
        <v>0</v>
      </c>
      <c r="EX110" s="3">
        <v>0</v>
      </c>
      <c r="EZ110" s="3">
        <v>5</v>
      </c>
      <c r="FC110" s="3">
        <v>1</v>
      </c>
      <c r="FD110" s="3">
        <v>18</v>
      </c>
      <c r="FF110" s="3">
        <v>21132</v>
      </c>
      <c r="FQ110" s="3">
        <v>0</v>
      </c>
      <c r="FR110" s="3">
        <f>P110</f>
        <v>18054.98</v>
      </c>
      <c r="FS110" s="3">
        <v>0</v>
      </c>
      <c r="FX110" s="3">
        <v>90</v>
      </c>
      <c r="FY110" s="3">
        <v>46</v>
      </c>
      <c r="GA110" s="3" t="s">
        <v>210</v>
      </c>
      <c r="GD110" s="3">
        <v>1</v>
      </c>
      <c r="GF110" s="3">
        <v>2003060663</v>
      </c>
      <c r="GG110" s="3">
        <v>2</v>
      </c>
      <c r="GH110" s="3">
        <v>3</v>
      </c>
      <c r="GI110" s="3">
        <v>5</v>
      </c>
      <c r="GJ110" s="3">
        <v>0</v>
      </c>
      <c r="GK110" s="3">
        <v>0</v>
      </c>
      <c r="GL110" s="3">
        <f t="shared" si="102"/>
        <v>0</v>
      </c>
      <c r="GM110" s="3">
        <f t="shared" si="103"/>
        <v>18054.98</v>
      </c>
      <c r="GN110" s="3">
        <f t="shared" si="104"/>
        <v>0</v>
      </c>
      <c r="GO110" s="3">
        <f t="shared" si="105"/>
        <v>0</v>
      </c>
      <c r="GP110" s="3">
        <f t="shared" si="106"/>
        <v>0</v>
      </c>
      <c r="GR110" s="3">
        <v>1</v>
      </c>
      <c r="GS110" s="3">
        <v>1</v>
      </c>
      <c r="GT110" s="3">
        <v>0</v>
      </c>
      <c r="GU110" s="3" t="s">
        <v>3</v>
      </c>
      <c r="GV110" s="3">
        <f t="shared" si="107"/>
        <v>0</v>
      </c>
      <c r="GW110" s="3">
        <v>1</v>
      </c>
      <c r="GX110" s="3">
        <f t="shared" si="108"/>
        <v>0</v>
      </c>
      <c r="HA110" s="3">
        <v>0</v>
      </c>
      <c r="HB110" s="3">
        <v>0</v>
      </c>
      <c r="HC110" s="3">
        <f t="shared" si="109"/>
        <v>0</v>
      </c>
      <c r="HE110" s="3" t="s">
        <v>41</v>
      </c>
      <c r="HF110" s="3" t="s">
        <v>196</v>
      </c>
      <c r="HM110" s="3" t="s">
        <v>119</v>
      </c>
      <c r="HN110" s="3" t="s">
        <v>3</v>
      </c>
      <c r="HO110" s="3" t="s">
        <v>3</v>
      </c>
      <c r="HP110" s="3" t="s">
        <v>3</v>
      </c>
      <c r="HQ110" s="3" t="s">
        <v>3</v>
      </c>
      <c r="HS110" s="3">
        <v>0</v>
      </c>
      <c r="IK110" s="3">
        <v>0</v>
      </c>
    </row>
    <row r="111" spans="1:255" x14ac:dyDescent="0.2">
      <c r="A111" s="2">
        <v>17</v>
      </c>
      <c r="B111" s="2">
        <v>1</v>
      </c>
      <c r="C111" s="2">
        <f>ROW(SmtRes!A160)</f>
        <v>160</v>
      </c>
      <c r="D111" s="2">
        <f>ROW(EtalonRes!A213)</f>
        <v>213</v>
      </c>
      <c r="E111" s="2" t="s">
        <v>211</v>
      </c>
      <c r="F111" s="2" t="s">
        <v>47</v>
      </c>
      <c r="G111" s="2" t="s">
        <v>212</v>
      </c>
      <c r="H111" s="2" t="s">
        <v>29</v>
      </c>
      <c r="I111" s="2">
        <f>ROUND(4+1+1,9)</f>
        <v>6</v>
      </c>
      <c r="J111" s="2">
        <v>0</v>
      </c>
      <c r="K111" s="2">
        <f>ROUND(4+1+1,9)</f>
        <v>6</v>
      </c>
      <c r="L111" s="2"/>
      <c r="M111" s="2"/>
      <c r="N111" s="2"/>
      <c r="O111" s="2">
        <f t="shared" si="85"/>
        <v>156.97</v>
      </c>
      <c r="P111" s="2">
        <f t="shared" si="86"/>
        <v>14.04</v>
      </c>
      <c r="Q111" s="2">
        <f>(ROUND((ROUND((((ET111*1.2))*AV111*I111),2)*BB111),2)+ROUND((ROUND(((AE111-((EU111*1.2)))*AV111*I111),2)*BS111),2))</f>
        <v>0.15</v>
      </c>
      <c r="R111" s="2">
        <f>(ROUND((ROUND((((EU111*1.2))*AV111*I111),2)*BS111),2)+ROUND((ROUND(((AE111-((EU111*1.2)))*AV111*I111),2)*BS111),2))</f>
        <v>0</v>
      </c>
      <c r="S111" s="2">
        <f t="shared" si="87"/>
        <v>142.78</v>
      </c>
      <c r="T111" s="2">
        <f t="shared" si="88"/>
        <v>0</v>
      </c>
      <c r="U111" s="2">
        <f t="shared" si="89"/>
        <v>10.252224</v>
      </c>
      <c r="V111" s="2">
        <f t="shared" si="90"/>
        <v>0</v>
      </c>
      <c r="W111" s="2">
        <f t="shared" si="91"/>
        <v>0</v>
      </c>
      <c r="X111" s="2">
        <f>(ROUND((((S111+ROUND((ROUND((((EU111*1.2))*AV111*I111),2)*BS111),2))*AT111)/100),2)+ROUND(((ROUND((ROUND(((AE111-((EU111*1.2)))*AV111*I111),2)*BS111),2)*AT111)/100),2))</f>
        <v>128.5</v>
      </c>
      <c r="Y111" s="2">
        <f>(ROUND((((S111+ROUND((ROUND((((EU111*1.2))*AV111*I111),2)*BS111),2))*AU111)/100),2)+ROUND(((ROUND((ROUND(((AE111-((EU111*1.2)))*AV111*I111),2)*BS111),2)*AU111)/100),2))</f>
        <v>65.680000000000007</v>
      </c>
      <c r="Z111" s="2"/>
      <c r="AA111" s="2">
        <v>57248835</v>
      </c>
      <c r="AB111" s="2">
        <f t="shared" si="92"/>
        <v>25.091999999999999</v>
      </c>
      <c r="AC111" s="2">
        <f>ROUND(((ES111*1)),6)</f>
        <v>2.34</v>
      </c>
      <c r="AD111" s="2">
        <f>ROUND(((((ET111*1.2))-((EU111*1.2)))+AE111),6)</f>
        <v>2.4E-2</v>
      </c>
      <c r="AE111" s="2">
        <f>ROUND(((EU111*1.2)),6)</f>
        <v>0</v>
      </c>
      <c r="AF111" s="2">
        <f>ROUND(((EV111*1.2)),6)</f>
        <v>22.728000000000002</v>
      </c>
      <c r="AG111" s="2">
        <f t="shared" si="93"/>
        <v>0</v>
      </c>
      <c r="AH111" s="2">
        <f>((EW111*1.2))</f>
        <v>1.6320000000000001</v>
      </c>
      <c r="AI111" s="2">
        <f>((EX111*1.2))</f>
        <v>0</v>
      </c>
      <c r="AJ111" s="2">
        <f t="shared" si="94"/>
        <v>0</v>
      </c>
      <c r="AK111" s="2">
        <v>21.3</v>
      </c>
      <c r="AL111" s="2">
        <v>2.34</v>
      </c>
      <c r="AM111" s="2">
        <v>0.02</v>
      </c>
      <c r="AN111" s="2">
        <v>0</v>
      </c>
      <c r="AO111" s="2">
        <v>18.940000000000001</v>
      </c>
      <c r="AP111" s="2">
        <v>0</v>
      </c>
      <c r="AQ111" s="2">
        <v>1.36</v>
      </c>
      <c r="AR111" s="2">
        <v>0</v>
      </c>
      <c r="AS111" s="2">
        <v>0</v>
      </c>
      <c r="AT111" s="2">
        <v>90</v>
      </c>
      <c r="AU111" s="2">
        <v>46</v>
      </c>
      <c r="AV111" s="2">
        <v>1.0469999999999999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0</v>
      </c>
      <c r="BI111" s="2">
        <v>2</v>
      </c>
      <c r="BJ111" s="2" t="s">
        <v>49</v>
      </c>
      <c r="BK111" s="2"/>
      <c r="BL111" s="2"/>
      <c r="BM111" s="2">
        <v>68</v>
      </c>
      <c r="BN111" s="2">
        <v>0</v>
      </c>
      <c r="BO111" s="2" t="s">
        <v>47</v>
      </c>
      <c r="BP111" s="2">
        <v>1</v>
      </c>
      <c r="BQ111" s="2">
        <v>40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90</v>
      </c>
      <c r="CA111" s="2">
        <v>46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820</v>
      </c>
      <c r="CO111" s="2">
        <v>0</v>
      </c>
      <c r="CP111" s="2">
        <f t="shared" si="95"/>
        <v>156.97</v>
      </c>
      <c r="CQ111" s="2">
        <f t="shared" si="96"/>
        <v>2.34</v>
      </c>
      <c r="CR111" s="2">
        <f>(ROUND((ROUND((((ET111*1.2))*AV111*1),2)*BB111),2)+ROUND((ROUND(((AE111-((EU111*1.2)))*AV111*1),2)*BS111),2))</f>
        <v>0.03</v>
      </c>
      <c r="CS111" s="2">
        <f>(ROUND((ROUND((((EU111*1.2))*AV111*1),2)*BS111),2)+ROUND((ROUND(((AE111-((EU111*1.2)))*AV111*1),2)*BS111),2))</f>
        <v>0</v>
      </c>
      <c r="CT111" s="2">
        <f t="shared" si="97"/>
        <v>23.8</v>
      </c>
      <c r="CU111" s="2">
        <f t="shared" si="98"/>
        <v>0</v>
      </c>
      <c r="CV111" s="2">
        <f t="shared" si="99"/>
        <v>1.708704</v>
      </c>
      <c r="CW111" s="2">
        <f t="shared" si="100"/>
        <v>0</v>
      </c>
      <c r="CX111" s="2">
        <f t="shared" si="101"/>
        <v>0</v>
      </c>
      <c r="CY111" s="2">
        <f>(ROUND((((S111+ROUND((ROUND((((EU111*1.2))*AV111*1),2)*BS111),2))*AT111)/100),2)+ROUND(((ROUND((ROUND(((AE111-((EU111*1.2)))*AV111*1),2)*BS111),2)*AT111)/100),2))</f>
        <v>128.5</v>
      </c>
      <c r="CZ111" s="2">
        <f>(ROUND((((S111+ROUND((ROUND((((EU111*1.2))*AV111*1),2)*BS111),2))*AU111)/100),2)+ROUND(((ROUND((ROUND(((AE111-((EU111*1.2)))*AV111*1),2)*BS111),2)*AU111)/100),2))</f>
        <v>65.680000000000007</v>
      </c>
      <c r="DA111" s="2"/>
      <c r="DB111" s="2">
        <v>73</v>
      </c>
      <c r="DC111" s="2" t="s">
        <v>3</v>
      </c>
      <c r="DD111" s="2" t="s">
        <v>119</v>
      </c>
      <c r="DE111" s="2" t="s">
        <v>120</v>
      </c>
      <c r="DF111" s="2" t="s">
        <v>120</v>
      </c>
      <c r="DG111" s="2" t="s">
        <v>120</v>
      </c>
      <c r="DH111" s="2" t="s">
        <v>3</v>
      </c>
      <c r="DI111" s="2" t="s">
        <v>120</v>
      </c>
      <c r="DJ111" s="2" t="s">
        <v>120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1013</v>
      </c>
      <c r="DV111" s="2" t="s">
        <v>29</v>
      </c>
      <c r="DW111" s="2" t="s">
        <v>29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57248652</v>
      </c>
      <c r="EF111" s="2">
        <v>40</v>
      </c>
      <c r="EG111" s="2" t="s">
        <v>33</v>
      </c>
      <c r="EH111" s="2">
        <v>0</v>
      </c>
      <c r="EI111" s="2" t="s">
        <v>3</v>
      </c>
      <c r="EJ111" s="2">
        <v>2</v>
      </c>
      <c r="EK111" s="2">
        <v>68</v>
      </c>
      <c r="EL111" s="2" t="s">
        <v>34</v>
      </c>
      <c r="EM111" s="2" t="s">
        <v>35</v>
      </c>
      <c r="EN111" s="2"/>
      <c r="EO111" s="2" t="s">
        <v>124</v>
      </c>
      <c r="EP111" s="2"/>
      <c r="EQ111" s="2">
        <v>131072</v>
      </c>
      <c r="ER111" s="2">
        <v>21.3</v>
      </c>
      <c r="ES111" s="2">
        <v>2.34</v>
      </c>
      <c r="ET111" s="2">
        <v>0.02</v>
      </c>
      <c r="EU111" s="2">
        <v>0</v>
      </c>
      <c r="EV111" s="2">
        <v>18.940000000000001</v>
      </c>
      <c r="EW111" s="2">
        <v>1.36</v>
      </c>
      <c r="EX111" s="2">
        <v>0</v>
      </c>
      <c r="EY111" s="2">
        <v>0</v>
      </c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90</v>
      </c>
      <c r="FY111" s="2">
        <v>46</v>
      </c>
      <c r="FZ111" s="2"/>
      <c r="GA111" s="2" t="s">
        <v>3</v>
      </c>
      <c r="GB111" s="2"/>
      <c r="GC111" s="2"/>
      <c r="GD111" s="2">
        <v>1</v>
      </c>
      <c r="GE111" s="2"/>
      <c r="GF111" s="2">
        <v>-635599801</v>
      </c>
      <c r="GG111" s="2">
        <v>2</v>
      </c>
      <c r="GH111" s="2">
        <v>1</v>
      </c>
      <c r="GI111" s="2">
        <v>2</v>
      </c>
      <c r="GJ111" s="2">
        <v>0</v>
      </c>
      <c r="GK111" s="2">
        <v>0</v>
      </c>
      <c r="GL111" s="2">
        <f t="shared" si="102"/>
        <v>0</v>
      </c>
      <c r="GM111" s="2">
        <f t="shared" si="103"/>
        <v>351.15</v>
      </c>
      <c r="GN111" s="2">
        <f t="shared" si="104"/>
        <v>0</v>
      </c>
      <c r="GO111" s="2">
        <f t="shared" si="105"/>
        <v>351.15</v>
      </c>
      <c r="GP111" s="2">
        <f t="shared" si="106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7"/>
        <v>0</v>
      </c>
      <c r="GW111" s="2">
        <v>1</v>
      </c>
      <c r="GX111" s="2">
        <f t="shared" si="108"/>
        <v>0</v>
      </c>
      <c r="GY111" s="2"/>
      <c r="GZ111" s="2"/>
      <c r="HA111" s="2">
        <v>0</v>
      </c>
      <c r="HB111" s="2">
        <v>0</v>
      </c>
      <c r="HC111" s="2">
        <f t="shared" si="109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3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3">
        <v>17</v>
      </c>
      <c r="B112" s="3">
        <v>1</v>
      </c>
      <c r="C112" s="3">
        <f>ROW(SmtRes!A166)</f>
        <v>166</v>
      </c>
      <c r="D112" s="3">
        <f>ROW(EtalonRes!A220)</f>
        <v>220</v>
      </c>
      <c r="E112" s="3" t="s">
        <v>211</v>
      </c>
      <c r="F112" s="3" t="s">
        <v>47</v>
      </c>
      <c r="G112" s="3" t="s">
        <v>212</v>
      </c>
      <c r="H112" s="3" t="s">
        <v>29</v>
      </c>
      <c r="I112" s="3">
        <f>ROUND(4+1+1,9)</f>
        <v>6</v>
      </c>
      <c r="J112" s="3">
        <v>0</v>
      </c>
      <c r="K112" s="3">
        <f>ROUND(4+1+1,9)</f>
        <v>6</v>
      </c>
      <c r="O112" s="3">
        <f t="shared" si="85"/>
        <v>8191.07</v>
      </c>
      <c r="P112" s="3">
        <f t="shared" si="86"/>
        <v>143.77000000000001</v>
      </c>
      <c r="Q112" s="3">
        <f>(ROUND((ROUND((((ET112*1.2))*AV112*I112),2)*BB112),2)+ROUND((ROUND(((AE112-((EU112*1.2)))*AV112*I112),2)*BS112),2))</f>
        <v>1.65</v>
      </c>
      <c r="R112" s="3">
        <f>(ROUND((ROUND((((EU112*1.2))*AV112*I112),2)*BS112),2)+ROUND((ROUND(((AE112-((EU112*1.2)))*AV112*I112),2)*BS112),2))</f>
        <v>0</v>
      </c>
      <c r="S112" s="3">
        <f t="shared" si="87"/>
        <v>8045.65</v>
      </c>
      <c r="T112" s="3">
        <f t="shared" si="88"/>
        <v>0</v>
      </c>
      <c r="U112" s="3">
        <f t="shared" si="89"/>
        <v>10.252224</v>
      </c>
      <c r="V112" s="3">
        <f t="shared" si="90"/>
        <v>0</v>
      </c>
      <c r="W112" s="3">
        <f t="shared" si="91"/>
        <v>0</v>
      </c>
      <c r="X112" s="3">
        <f>(ROUND((((S112+ROUND((ROUND((((EU112*1.2))*AV112*I112),2)*BS112),2))*AT112)/100),2)+ROUND(((ROUND((ROUND(((AE112-((EU112*1.2)))*AV112*I112),2)*BS112),2)*AT112)/100),2))</f>
        <v>7241.09</v>
      </c>
      <c r="Y112" s="3">
        <f>(ROUND((((S112+ROUND((ROUND((((EU112*1.2))*AV112*I112),2)*BS112),2))*AU112)/100),2)+ROUND(((ROUND((ROUND(((AE112-((EU112*1.2)))*AV112*I112),2)*BS112),2)*AU112)/100),2))</f>
        <v>3701</v>
      </c>
      <c r="AA112" s="3">
        <v>57248837</v>
      </c>
      <c r="AB112" s="3">
        <f t="shared" si="92"/>
        <v>25.091999999999999</v>
      </c>
      <c r="AC112" s="3">
        <f>ROUND(((ES112*1)),6)</f>
        <v>2.34</v>
      </c>
      <c r="AD112" s="3">
        <f>ROUND(((((ET112*1.2))-((EU112*1.2)))+AE112),6)</f>
        <v>2.4E-2</v>
      </c>
      <c r="AE112" s="3">
        <f>ROUND(((EU112*1.2)),6)</f>
        <v>0</v>
      </c>
      <c r="AF112" s="3">
        <f>ROUND(((EV112*1.2)),6)</f>
        <v>22.728000000000002</v>
      </c>
      <c r="AG112" s="3">
        <f t="shared" si="93"/>
        <v>0</v>
      </c>
      <c r="AH112" s="3">
        <f>((EW112*1.2))</f>
        <v>1.6320000000000001</v>
      </c>
      <c r="AI112" s="3">
        <f>((EX112*1.2))</f>
        <v>0</v>
      </c>
      <c r="AJ112" s="3">
        <f t="shared" si="94"/>
        <v>0</v>
      </c>
      <c r="AK112" s="3">
        <v>21.3</v>
      </c>
      <c r="AL112" s="3">
        <v>2.34</v>
      </c>
      <c r="AM112" s="3">
        <v>0.02</v>
      </c>
      <c r="AN112" s="3">
        <v>0</v>
      </c>
      <c r="AO112" s="3">
        <v>18.940000000000001</v>
      </c>
      <c r="AP112" s="3">
        <v>0</v>
      </c>
      <c r="AQ112" s="3">
        <v>1.36</v>
      </c>
      <c r="AR112" s="3">
        <v>0</v>
      </c>
      <c r="AS112" s="3">
        <v>0</v>
      </c>
      <c r="AT112" s="3">
        <v>90</v>
      </c>
      <c r="AU112" s="3">
        <v>46</v>
      </c>
      <c r="AV112" s="3">
        <v>1.0469999999999999</v>
      </c>
      <c r="AW112" s="3">
        <v>1</v>
      </c>
      <c r="AZ112" s="3">
        <v>1</v>
      </c>
      <c r="BA112" s="3">
        <v>56.35</v>
      </c>
      <c r="BB112" s="3">
        <v>11</v>
      </c>
      <c r="BC112" s="3">
        <v>10.24</v>
      </c>
      <c r="BD112" s="3" t="s">
        <v>3</v>
      </c>
      <c r="BE112" s="3" t="s">
        <v>3</v>
      </c>
      <c r="BF112" s="3" t="s">
        <v>3</v>
      </c>
      <c r="BG112" s="3" t="s">
        <v>3</v>
      </c>
      <c r="BH112" s="3">
        <v>0</v>
      </c>
      <c r="BI112" s="3">
        <v>2</v>
      </c>
      <c r="BJ112" s="3" t="s">
        <v>49</v>
      </c>
      <c r="BM112" s="3">
        <v>68</v>
      </c>
      <c r="BN112" s="3">
        <v>0</v>
      </c>
      <c r="BO112" s="3" t="s">
        <v>47</v>
      </c>
      <c r="BP112" s="3">
        <v>1</v>
      </c>
      <c r="BQ112" s="3">
        <v>40</v>
      </c>
      <c r="BR112" s="3">
        <v>0</v>
      </c>
      <c r="BS112" s="3">
        <v>56.35</v>
      </c>
      <c r="BT112" s="3">
        <v>1</v>
      </c>
      <c r="BU112" s="3">
        <v>1</v>
      </c>
      <c r="BV112" s="3">
        <v>1</v>
      </c>
      <c r="BW112" s="3">
        <v>1</v>
      </c>
      <c r="BX112" s="3">
        <v>1</v>
      </c>
      <c r="BY112" s="3" t="s">
        <v>3</v>
      </c>
      <c r="BZ112" s="3">
        <v>90</v>
      </c>
      <c r="CA112" s="3">
        <v>46</v>
      </c>
      <c r="CB112" s="3" t="s">
        <v>3</v>
      </c>
      <c r="CE112" s="3">
        <v>1566</v>
      </c>
      <c r="CF112" s="3">
        <v>0</v>
      </c>
      <c r="CG112" s="3">
        <v>0</v>
      </c>
      <c r="CM112" s="3">
        <v>0</v>
      </c>
      <c r="CN112" s="3" t="s">
        <v>820</v>
      </c>
      <c r="CO112" s="3">
        <v>0</v>
      </c>
      <c r="CP112" s="3">
        <f t="shared" si="95"/>
        <v>8191.07</v>
      </c>
      <c r="CQ112" s="3">
        <f t="shared" si="96"/>
        <v>23.96</v>
      </c>
      <c r="CR112" s="3">
        <f>(ROUND((ROUND((((ET112*1.2))*AV112*1),2)*BB112),2)+ROUND((ROUND(((AE112-((EU112*1.2)))*AV112*1),2)*BS112),2))</f>
        <v>0.33</v>
      </c>
      <c r="CS112" s="3">
        <f>(ROUND((ROUND((((EU112*1.2))*AV112*1),2)*BS112),2)+ROUND((ROUND(((AE112-((EU112*1.2)))*AV112*1),2)*BS112),2))</f>
        <v>0</v>
      </c>
      <c r="CT112" s="3">
        <f t="shared" si="97"/>
        <v>1341.13</v>
      </c>
      <c r="CU112" s="3">
        <f t="shared" si="98"/>
        <v>0</v>
      </c>
      <c r="CV112" s="3">
        <f t="shared" si="99"/>
        <v>1.708704</v>
      </c>
      <c r="CW112" s="3">
        <f t="shared" si="100"/>
        <v>0</v>
      </c>
      <c r="CX112" s="3">
        <f t="shared" si="101"/>
        <v>0</v>
      </c>
      <c r="CY112" s="3">
        <f>(ROUND((((S112+ROUND((ROUND((((EU112*1.2))*AV112*1),2)*BS112),2))*AT112)/100),2)+ROUND(((ROUND((ROUND(((AE112-((EU112*1.2)))*AV112*1),2)*BS112),2)*AT112)/100),2))</f>
        <v>7241.09</v>
      </c>
      <c r="CZ112" s="3">
        <f>(ROUND((((S112+ROUND((ROUND((((EU112*1.2))*AV112*1),2)*BS112),2))*AU112)/100),2)+ROUND(((ROUND((ROUND(((AE112-((EU112*1.2)))*AV112*1),2)*BS112),2)*AU112)/100),2))</f>
        <v>3701</v>
      </c>
      <c r="DB112" s="3">
        <v>74</v>
      </c>
      <c r="DC112" s="3" t="s">
        <v>3</v>
      </c>
      <c r="DD112" s="3" t="s">
        <v>119</v>
      </c>
      <c r="DE112" s="3" t="s">
        <v>120</v>
      </c>
      <c r="DF112" s="3" t="s">
        <v>120</v>
      </c>
      <c r="DG112" s="3" t="s">
        <v>120</v>
      </c>
      <c r="DH112" s="3" t="s">
        <v>3</v>
      </c>
      <c r="DI112" s="3" t="s">
        <v>120</v>
      </c>
      <c r="DJ112" s="3" t="s">
        <v>120</v>
      </c>
      <c r="DK112" s="3" t="s">
        <v>3</v>
      </c>
      <c r="DL112" s="3" t="s">
        <v>3</v>
      </c>
      <c r="DM112" s="3" t="s">
        <v>3</v>
      </c>
      <c r="DN112" s="3">
        <v>0</v>
      </c>
      <c r="DO112" s="3">
        <v>0</v>
      </c>
      <c r="DP112" s="3">
        <v>1</v>
      </c>
      <c r="DQ112" s="3">
        <v>1</v>
      </c>
      <c r="DU112" s="3">
        <v>1013</v>
      </c>
      <c r="DV112" s="3" t="s">
        <v>29</v>
      </c>
      <c r="DW112" s="3" t="s">
        <v>29</v>
      </c>
      <c r="DX112" s="3">
        <v>1</v>
      </c>
      <c r="DZ112" s="3" t="s">
        <v>3</v>
      </c>
      <c r="EA112" s="3" t="s">
        <v>3</v>
      </c>
      <c r="EB112" s="3" t="s">
        <v>3</v>
      </c>
      <c r="EC112" s="3" t="s">
        <v>3</v>
      </c>
      <c r="EE112" s="3">
        <v>57248652</v>
      </c>
      <c r="EF112" s="3">
        <v>40</v>
      </c>
      <c r="EG112" s="3" t="s">
        <v>33</v>
      </c>
      <c r="EH112" s="3">
        <v>0</v>
      </c>
      <c r="EI112" s="3" t="s">
        <v>3</v>
      </c>
      <c r="EJ112" s="3">
        <v>2</v>
      </c>
      <c r="EK112" s="3">
        <v>68</v>
      </c>
      <c r="EL112" s="3" t="s">
        <v>34</v>
      </c>
      <c r="EM112" s="3" t="s">
        <v>35</v>
      </c>
      <c r="EO112" s="3" t="s">
        <v>124</v>
      </c>
      <c r="EQ112" s="3">
        <v>131072</v>
      </c>
      <c r="ER112" s="3">
        <v>21.3</v>
      </c>
      <c r="ES112" s="3">
        <v>2.34</v>
      </c>
      <c r="ET112" s="3">
        <v>0.02</v>
      </c>
      <c r="EU112" s="3">
        <v>0</v>
      </c>
      <c r="EV112" s="3">
        <v>18.940000000000001</v>
      </c>
      <c r="EW112" s="3">
        <v>1.36</v>
      </c>
      <c r="EX112" s="3">
        <v>0</v>
      </c>
      <c r="EY112" s="3">
        <v>0</v>
      </c>
      <c r="FQ112" s="3">
        <v>0</v>
      </c>
      <c r="FR112" s="3">
        <v>0</v>
      </c>
      <c r="FS112" s="3">
        <v>0</v>
      </c>
      <c r="FX112" s="3">
        <v>90</v>
      </c>
      <c r="FY112" s="3">
        <v>46</v>
      </c>
      <c r="GA112" s="3" t="s">
        <v>3</v>
      </c>
      <c r="GD112" s="3">
        <v>1</v>
      </c>
      <c r="GF112" s="3">
        <v>-635599801</v>
      </c>
      <c r="GG112" s="3">
        <v>2</v>
      </c>
      <c r="GH112" s="3">
        <v>1</v>
      </c>
      <c r="GI112" s="3">
        <v>2</v>
      </c>
      <c r="GJ112" s="3">
        <v>0</v>
      </c>
      <c r="GK112" s="3">
        <v>0</v>
      </c>
      <c r="GL112" s="3">
        <f t="shared" si="102"/>
        <v>0</v>
      </c>
      <c r="GM112" s="3">
        <f t="shared" si="103"/>
        <v>19133.16</v>
      </c>
      <c r="GN112" s="3">
        <f t="shared" si="104"/>
        <v>0</v>
      </c>
      <c r="GO112" s="3">
        <f t="shared" si="105"/>
        <v>19133.16</v>
      </c>
      <c r="GP112" s="3">
        <f t="shared" si="106"/>
        <v>0</v>
      </c>
      <c r="GR112" s="3">
        <v>0</v>
      </c>
      <c r="GS112" s="3">
        <v>3</v>
      </c>
      <c r="GT112" s="3">
        <v>0</v>
      </c>
      <c r="GU112" s="3" t="s">
        <v>3</v>
      </c>
      <c r="GV112" s="3">
        <f t="shared" si="107"/>
        <v>0</v>
      </c>
      <c r="GW112" s="3">
        <v>1</v>
      </c>
      <c r="GX112" s="3">
        <f t="shared" si="108"/>
        <v>0</v>
      </c>
      <c r="HA112" s="3">
        <v>0</v>
      </c>
      <c r="HB112" s="3">
        <v>0</v>
      </c>
      <c r="HC112" s="3">
        <f t="shared" si="109"/>
        <v>0</v>
      </c>
      <c r="HE112" s="3" t="s">
        <v>3</v>
      </c>
      <c r="HF112" s="3" t="s">
        <v>3</v>
      </c>
      <c r="HM112" s="3" t="s">
        <v>3</v>
      </c>
      <c r="HN112" s="3" t="s">
        <v>3</v>
      </c>
      <c r="HO112" s="3" t="s">
        <v>3</v>
      </c>
      <c r="HP112" s="3" t="s">
        <v>3</v>
      </c>
      <c r="HQ112" s="3" t="s">
        <v>3</v>
      </c>
      <c r="HS112" s="3">
        <v>0</v>
      </c>
      <c r="IK112" s="3">
        <v>0</v>
      </c>
    </row>
    <row r="113" spans="1:255" x14ac:dyDescent="0.2">
      <c r="A113" s="2">
        <v>17</v>
      </c>
      <c r="B113" s="2">
        <v>1</v>
      </c>
      <c r="C113" s="2"/>
      <c r="D113" s="2"/>
      <c r="E113" s="2" t="s">
        <v>213</v>
      </c>
      <c r="F113" s="2" t="s">
        <v>214</v>
      </c>
      <c r="G113" s="2" t="s">
        <v>215</v>
      </c>
      <c r="H113" s="2" t="s">
        <v>192</v>
      </c>
      <c r="I113" s="2">
        <v>4</v>
      </c>
      <c r="J113" s="2">
        <v>0</v>
      </c>
      <c r="K113" s="2">
        <v>4</v>
      </c>
      <c r="L113" s="2"/>
      <c r="M113" s="2"/>
      <c r="N113" s="2"/>
      <c r="O113" s="2">
        <f t="shared" si="85"/>
        <v>2908.32</v>
      </c>
      <c r="P113" s="2">
        <f t="shared" si="86"/>
        <v>2908.32</v>
      </c>
      <c r="Q113" s="2">
        <f t="shared" ref="Q113:Q122" si="122">(ROUND((ROUND(((ET113)*AV113*I113),2)*BB113),2)+ROUND((ROUND(((AE113-(EU113))*AV113*I113),2)*BS113),2))</f>
        <v>0</v>
      </c>
      <c r="R113" s="2">
        <f t="shared" ref="R113:R122" si="123">(ROUND((ROUND(((EU113)*AV113*I113),2)*BS113),2)+ROUND((ROUND(((AE113-(EU113))*AV113*I113),2)*BS113),2))</f>
        <v>0</v>
      </c>
      <c r="S113" s="2">
        <f t="shared" si="87"/>
        <v>0</v>
      </c>
      <c r="T113" s="2">
        <f t="shared" si="88"/>
        <v>0</v>
      </c>
      <c r="U113" s="2">
        <f t="shared" si="89"/>
        <v>0</v>
      </c>
      <c r="V113" s="2">
        <f t="shared" si="90"/>
        <v>0</v>
      </c>
      <c r="W113" s="2">
        <f t="shared" si="91"/>
        <v>0</v>
      </c>
      <c r="X113" s="2">
        <f t="shared" ref="X113:X122" si="124">(ROUND((((S113+ROUND((ROUND(((EU113)*AV113*I113),2)*BS113),2))*AT113)/100),2)+ROUND(((ROUND((ROUND(((AE113-(EU113))*AV113*I113),2)*BS113),2)*AT113)/100),2))</f>
        <v>0</v>
      </c>
      <c r="Y113" s="2">
        <f t="shared" ref="Y113:Y122" si="125">(ROUND((((S113+ROUND((ROUND(((EU113)*AV113*I113),2)*BS113),2))*AU113)/100),2)+ROUND(((ROUND((ROUND(((AE113-(EU113))*AV113*I113),2)*BS113),2)*AU113)/100),2))</f>
        <v>0</v>
      </c>
      <c r="Z113" s="2"/>
      <c r="AA113" s="2">
        <v>57248835</v>
      </c>
      <c r="AB113" s="2">
        <f t="shared" si="92"/>
        <v>727.08</v>
      </c>
      <c r="AC113" s="2">
        <f t="shared" ref="AC113:AC122" si="126">ROUND((ES113),6)</f>
        <v>727.08</v>
      </c>
      <c r="AD113" s="2">
        <f t="shared" ref="AD113:AD122" si="127">ROUND((((ET113)-(EU113))+AE113),6)</f>
        <v>0</v>
      </c>
      <c r="AE113" s="2">
        <f t="shared" ref="AE113:AE122" si="128">ROUND((EU113),6)</f>
        <v>0</v>
      </c>
      <c r="AF113" s="2">
        <f t="shared" ref="AF113:AF122" si="129">ROUND((EV113),6)</f>
        <v>0</v>
      </c>
      <c r="AG113" s="2">
        <f t="shared" si="93"/>
        <v>0</v>
      </c>
      <c r="AH113" s="2">
        <f t="shared" ref="AH113:AH122" si="130">(EW113)</f>
        <v>0</v>
      </c>
      <c r="AI113" s="2">
        <f t="shared" ref="AI113:AI122" si="131">(EX113)</f>
        <v>0</v>
      </c>
      <c r="AJ113" s="2">
        <f t="shared" si="94"/>
        <v>0</v>
      </c>
      <c r="AK113" s="2">
        <v>727.07999999999993</v>
      </c>
      <c r="AL113" s="2">
        <v>727.07999999999993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3</v>
      </c>
      <c r="BJ113" s="2" t="s">
        <v>214</v>
      </c>
      <c r="BK113" s="2"/>
      <c r="BL113" s="2"/>
      <c r="BM113" s="2">
        <v>400007</v>
      </c>
      <c r="BN113" s="2">
        <v>0</v>
      </c>
      <c r="BO113" s="2" t="s">
        <v>3</v>
      </c>
      <c r="BP113" s="2">
        <v>0</v>
      </c>
      <c r="BQ113" s="2">
        <v>214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0</v>
      </c>
      <c r="CA113" s="2">
        <v>0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3</v>
      </c>
      <c r="CO113" s="2">
        <v>0</v>
      </c>
      <c r="CP113" s="2">
        <f t="shared" si="95"/>
        <v>2908.32</v>
      </c>
      <c r="CQ113" s="2">
        <f t="shared" si="96"/>
        <v>727.08</v>
      </c>
      <c r="CR113" s="2">
        <f t="shared" ref="CR113:CR122" si="132">(ROUND((ROUND(((ET113)*AV113*1),2)*BB113),2)+ROUND((ROUND(((AE113-(EU113))*AV113*1),2)*BS113),2))</f>
        <v>0</v>
      </c>
      <c r="CS113" s="2">
        <f t="shared" ref="CS113:CS122" si="133">(ROUND((ROUND(((EU113)*AV113*1),2)*BS113),2)+ROUND((ROUND(((AE113-(EU113))*AV113*1),2)*BS113),2))</f>
        <v>0</v>
      </c>
      <c r="CT113" s="2">
        <f t="shared" si="97"/>
        <v>0</v>
      </c>
      <c r="CU113" s="2">
        <f t="shared" si="98"/>
        <v>0</v>
      </c>
      <c r="CV113" s="2">
        <f t="shared" si="99"/>
        <v>0</v>
      </c>
      <c r="CW113" s="2">
        <f t="shared" si="100"/>
        <v>0</v>
      </c>
      <c r="CX113" s="2">
        <f t="shared" si="101"/>
        <v>0</v>
      </c>
      <c r="CY113" s="2">
        <f t="shared" ref="CY113:CY122" si="134">(ROUND((((S113+ROUND((ROUND(((EU113)*AV113*1),2)*BS113),2))*AT113)/100),2)+ROUND(((ROUND((ROUND(((AE113-(EU113))*AV113*1),2)*BS113),2)*AT113)/100),2))</f>
        <v>0</v>
      </c>
      <c r="CZ113" s="2">
        <f t="shared" ref="CZ113:CZ122" si="135"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1013</v>
      </c>
      <c r="DV113" s="2" t="s">
        <v>192</v>
      </c>
      <c r="DW113" s="2" t="s">
        <v>192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57248792</v>
      </c>
      <c r="EF113" s="2">
        <v>214</v>
      </c>
      <c r="EG113" s="2" t="s">
        <v>193</v>
      </c>
      <c r="EH113" s="2">
        <v>0</v>
      </c>
      <c r="EI113" s="2" t="s">
        <v>3</v>
      </c>
      <c r="EJ113" s="2">
        <v>3</v>
      </c>
      <c r="EK113" s="2">
        <v>400007</v>
      </c>
      <c r="EL113" s="2" t="s">
        <v>193</v>
      </c>
      <c r="EM113" s="2" t="s">
        <v>194</v>
      </c>
      <c r="EN113" s="2"/>
      <c r="EO113" s="2" t="s">
        <v>3</v>
      </c>
      <c r="EP113" s="2"/>
      <c r="EQ113" s="2">
        <v>131088</v>
      </c>
      <c r="ER113" s="2">
        <v>0</v>
      </c>
      <c r="ES113" s="2">
        <v>727.07999999999993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f t="shared" ref="FR113:FR122" si="136">P113</f>
        <v>2908.32</v>
      </c>
      <c r="FS113" s="2">
        <v>0</v>
      </c>
      <c r="FT113" s="2"/>
      <c r="FU113" s="2"/>
      <c r="FV113" s="2"/>
      <c r="FW113" s="2"/>
      <c r="FX113" s="2">
        <v>0</v>
      </c>
      <c r="FY113" s="2">
        <v>0</v>
      </c>
      <c r="FZ113" s="2"/>
      <c r="GA113" s="2" t="s">
        <v>216</v>
      </c>
      <c r="GB113" s="2"/>
      <c r="GC113" s="2"/>
      <c r="GD113" s="2">
        <v>1</v>
      </c>
      <c r="GE113" s="2"/>
      <c r="GF113" s="2">
        <v>-204230185</v>
      </c>
      <c r="GG113" s="2">
        <v>2</v>
      </c>
      <c r="GH113" s="2">
        <v>4</v>
      </c>
      <c r="GI113" s="2">
        <v>-2</v>
      </c>
      <c r="GJ113" s="2">
        <v>0</v>
      </c>
      <c r="GK113" s="2">
        <v>0</v>
      </c>
      <c r="GL113" s="2">
        <f t="shared" si="102"/>
        <v>0</v>
      </c>
      <c r="GM113" s="2">
        <f t="shared" si="103"/>
        <v>2908.32</v>
      </c>
      <c r="GN113" s="2">
        <f t="shared" si="104"/>
        <v>0</v>
      </c>
      <c r="GO113" s="2">
        <f t="shared" si="105"/>
        <v>0</v>
      </c>
      <c r="GP113" s="2">
        <f t="shared" si="106"/>
        <v>0</v>
      </c>
      <c r="GQ113" s="2"/>
      <c r="GR113" s="2">
        <v>1</v>
      </c>
      <c r="GS113" s="2">
        <v>2</v>
      </c>
      <c r="GT113" s="2">
        <v>0</v>
      </c>
      <c r="GU113" s="2" t="s">
        <v>3</v>
      </c>
      <c r="GV113" s="2">
        <f t="shared" si="107"/>
        <v>0</v>
      </c>
      <c r="GW113" s="2">
        <v>1</v>
      </c>
      <c r="GX113" s="2">
        <f t="shared" si="108"/>
        <v>0</v>
      </c>
      <c r="GY113" s="2"/>
      <c r="GZ113" s="2"/>
      <c r="HA113" s="2">
        <v>0</v>
      </c>
      <c r="HB113" s="2">
        <v>0</v>
      </c>
      <c r="HC113" s="2">
        <f t="shared" si="109"/>
        <v>0</v>
      </c>
      <c r="HD113" s="2"/>
      <c r="HE113" s="2" t="s">
        <v>41</v>
      </c>
      <c r="HF113" s="2" t="s">
        <v>196</v>
      </c>
      <c r="HG113" s="2"/>
      <c r="HH113" s="2"/>
      <c r="HI113" s="2"/>
      <c r="HJ113" s="2"/>
      <c r="HK113" s="2"/>
      <c r="HL113" s="2"/>
      <c r="HM113" s="2" t="s">
        <v>3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3">
        <v>17</v>
      </c>
      <c r="B114" s="3">
        <v>1</v>
      </c>
      <c r="E114" s="3" t="s">
        <v>213</v>
      </c>
      <c r="F114" s="3" t="s">
        <v>214</v>
      </c>
      <c r="G114" s="3" t="s">
        <v>215</v>
      </c>
      <c r="H114" s="3" t="s">
        <v>192</v>
      </c>
      <c r="I114" s="3">
        <v>4</v>
      </c>
      <c r="J114" s="3">
        <v>0</v>
      </c>
      <c r="K114" s="3">
        <v>4</v>
      </c>
      <c r="O114" s="3">
        <f t="shared" si="85"/>
        <v>22015.98</v>
      </c>
      <c r="P114" s="3">
        <f t="shared" si="86"/>
        <v>22015.98</v>
      </c>
      <c r="Q114" s="3">
        <f t="shared" si="122"/>
        <v>0</v>
      </c>
      <c r="R114" s="3">
        <f t="shared" si="123"/>
        <v>0</v>
      </c>
      <c r="S114" s="3">
        <f t="shared" si="87"/>
        <v>0</v>
      </c>
      <c r="T114" s="3">
        <f t="shared" si="88"/>
        <v>0</v>
      </c>
      <c r="U114" s="3">
        <f t="shared" si="89"/>
        <v>0</v>
      </c>
      <c r="V114" s="3">
        <f t="shared" si="90"/>
        <v>0</v>
      </c>
      <c r="W114" s="3">
        <f t="shared" si="91"/>
        <v>0</v>
      </c>
      <c r="X114" s="3">
        <f t="shared" si="124"/>
        <v>0</v>
      </c>
      <c r="Y114" s="3">
        <f t="shared" si="125"/>
        <v>0</v>
      </c>
      <c r="AA114" s="3">
        <v>57248837</v>
      </c>
      <c r="AB114" s="3">
        <f t="shared" si="92"/>
        <v>727.08</v>
      </c>
      <c r="AC114" s="3">
        <f t="shared" si="126"/>
        <v>727.08</v>
      </c>
      <c r="AD114" s="3">
        <f t="shared" si="127"/>
        <v>0</v>
      </c>
      <c r="AE114" s="3">
        <f t="shared" si="128"/>
        <v>0</v>
      </c>
      <c r="AF114" s="3">
        <f t="shared" si="129"/>
        <v>0</v>
      </c>
      <c r="AG114" s="3">
        <f t="shared" si="93"/>
        <v>0</v>
      </c>
      <c r="AH114" s="3">
        <f t="shared" si="130"/>
        <v>0</v>
      </c>
      <c r="AI114" s="3">
        <f t="shared" si="131"/>
        <v>0</v>
      </c>
      <c r="AJ114" s="3">
        <f t="shared" si="94"/>
        <v>0</v>
      </c>
      <c r="AK114" s="3">
        <v>727.07999999999993</v>
      </c>
      <c r="AL114" s="3">
        <v>727.07999999999993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1</v>
      </c>
      <c r="AW114" s="3">
        <v>1</v>
      </c>
      <c r="AZ114" s="3">
        <v>1</v>
      </c>
      <c r="BA114" s="3">
        <v>1</v>
      </c>
      <c r="BB114" s="3">
        <v>1</v>
      </c>
      <c r="BC114" s="3">
        <v>7.57</v>
      </c>
      <c r="BD114" s="3" t="s">
        <v>3</v>
      </c>
      <c r="BE114" s="3" t="s">
        <v>3</v>
      </c>
      <c r="BF114" s="3" t="s">
        <v>3</v>
      </c>
      <c r="BG114" s="3" t="s">
        <v>3</v>
      </c>
      <c r="BH114" s="3">
        <v>3</v>
      </c>
      <c r="BI114" s="3">
        <v>3</v>
      </c>
      <c r="BJ114" s="3" t="s">
        <v>214</v>
      </c>
      <c r="BM114" s="3">
        <v>400007</v>
      </c>
      <c r="BN114" s="3">
        <v>0</v>
      </c>
      <c r="BO114" s="3" t="s">
        <v>3</v>
      </c>
      <c r="BP114" s="3">
        <v>0</v>
      </c>
      <c r="BQ114" s="3">
        <v>214</v>
      </c>
      <c r="BR114" s="3">
        <v>0</v>
      </c>
      <c r="BS114" s="3">
        <v>1</v>
      </c>
      <c r="BT114" s="3">
        <v>1</v>
      </c>
      <c r="BU114" s="3">
        <v>1</v>
      </c>
      <c r="BV114" s="3">
        <v>1</v>
      </c>
      <c r="BW114" s="3">
        <v>1</v>
      </c>
      <c r="BX114" s="3">
        <v>1</v>
      </c>
      <c r="BY114" s="3" t="s">
        <v>3</v>
      </c>
      <c r="BZ114" s="3">
        <v>0</v>
      </c>
      <c r="CA114" s="3">
        <v>0</v>
      </c>
      <c r="CB114" s="3" t="s">
        <v>3</v>
      </c>
      <c r="CE114" s="3">
        <v>1566</v>
      </c>
      <c r="CF114" s="3">
        <v>0</v>
      </c>
      <c r="CG114" s="3">
        <v>0</v>
      </c>
      <c r="CM114" s="3">
        <v>0</v>
      </c>
      <c r="CN114" s="3" t="s">
        <v>3</v>
      </c>
      <c r="CO114" s="3">
        <v>0</v>
      </c>
      <c r="CP114" s="3">
        <f t="shared" si="95"/>
        <v>22015.98</v>
      </c>
      <c r="CQ114" s="3">
        <f t="shared" si="96"/>
        <v>5504</v>
      </c>
      <c r="CR114" s="3">
        <f t="shared" si="132"/>
        <v>0</v>
      </c>
      <c r="CS114" s="3">
        <f t="shared" si="133"/>
        <v>0</v>
      </c>
      <c r="CT114" s="3">
        <f t="shared" si="97"/>
        <v>0</v>
      </c>
      <c r="CU114" s="3">
        <f t="shared" si="98"/>
        <v>0</v>
      </c>
      <c r="CV114" s="3">
        <f t="shared" si="99"/>
        <v>0</v>
      </c>
      <c r="CW114" s="3">
        <f t="shared" si="100"/>
        <v>0</v>
      </c>
      <c r="CX114" s="3">
        <f t="shared" si="101"/>
        <v>0</v>
      </c>
      <c r="CY114" s="3">
        <f t="shared" si="134"/>
        <v>0</v>
      </c>
      <c r="CZ114" s="3">
        <f t="shared" si="135"/>
        <v>0</v>
      </c>
      <c r="DC114" s="3" t="s">
        <v>3</v>
      </c>
      <c r="DD114" s="3" t="s">
        <v>3</v>
      </c>
      <c r="DE114" s="3" t="s">
        <v>3</v>
      </c>
      <c r="DF114" s="3" t="s">
        <v>3</v>
      </c>
      <c r="DG114" s="3" t="s">
        <v>3</v>
      </c>
      <c r="DH114" s="3" t="s">
        <v>3</v>
      </c>
      <c r="DI114" s="3" t="s">
        <v>3</v>
      </c>
      <c r="DJ114" s="3" t="s">
        <v>3</v>
      </c>
      <c r="DK114" s="3" t="s">
        <v>3</v>
      </c>
      <c r="DL114" s="3" t="s">
        <v>3</v>
      </c>
      <c r="DM114" s="3" t="s">
        <v>3</v>
      </c>
      <c r="DN114" s="3">
        <v>0</v>
      </c>
      <c r="DO114" s="3">
        <v>0</v>
      </c>
      <c r="DP114" s="3">
        <v>1</v>
      </c>
      <c r="DQ114" s="3">
        <v>1</v>
      </c>
      <c r="DU114" s="3">
        <v>1013</v>
      </c>
      <c r="DV114" s="3" t="s">
        <v>192</v>
      </c>
      <c r="DW114" s="3" t="s">
        <v>192</v>
      </c>
      <c r="DX114" s="3">
        <v>1</v>
      </c>
      <c r="DZ114" s="3" t="s">
        <v>3</v>
      </c>
      <c r="EA114" s="3" t="s">
        <v>3</v>
      </c>
      <c r="EB114" s="3" t="s">
        <v>3</v>
      </c>
      <c r="EC114" s="3" t="s">
        <v>3</v>
      </c>
      <c r="EE114" s="3">
        <v>57248792</v>
      </c>
      <c r="EF114" s="3">
        <v>214</v>
      </c>
      <c r="EG114" s="3" t="s">
        <v>193</v>
      </c>
      <c r="EH114" s="3">
        <v>0</v>
      </c>
      <c r="EI114" s="3" t="s">
        <v>3</v>
      </c>
      <c r="EJ114" s="3">
        <v>3</v>
      </c>
      <c r="EK114" s="3">
        <v>400007</v>
      </c>
      <c r="EL114" s="3" t="s">
        <v>193</v>
      </c>
      <c r="EM114" s="3" t="s">
        <v>194</v>
      </c>
      <c r="EO114" s="3" t="s">
        <v>3</v>
      </c>
      <c r="EQ114" s="3">
        <v>131088</v>
      </c>
      <c r="ER114" s="3">
        <v>0</v>
      </c>
      <c r="ES114" s="3">
        <v>727.07999999999993</v>
      </c>
      <c r="ET114" s="3">
        <v>0</v>
      </c>
      <c r="EU114" s="3">
        <v>0</v>
      </c>
      <c r="EV114" s="3">
        <v>0</v>
      </c>
      <c r="EW114" s="3">
        <v>0</v>
      </c>
      <c r="EX114" s="3">
        <v>0</v>
      </c>
      <c r="EY114" s="3">
        <v>0</v>
      </c>
      <c r="EZ114" s="3">
        <v>5</v>
      </c>
      <c r="FC114" s="3">
        <v>1</v>
      </c>
      <c r="FD114" s="3">
        <v>18</v>
      </c>
      <c r="FF114" s="3">
        <v>6442</v>
      </c>
      <c r="FQ114" s="3">
        <v>0</v>
      </c>
      <c r="FR114" s="3">
        <f t="shared" si="136"/>
        <v>22015.98</v>
      </c>
      <c r="FS114" s="3">
        <v>0</v>
      </c>
      <c r="FX114" s="3">
        <v>0</v>
      </c>
      <c r="FY114" s="3">
        <v>0</v>
      </c>
      <c r="GA114" s="3" t="s">
        <v>216</v>
      </c>
      <c r="GD114" s="3">
        <v>1</v>
      </c>
      <c r="GF114" s="3">
        <v>-204230185</v>
      </c>
      <c r="GG114" s="3">
        <v>2</v>
      </c>
      <c r="GH114" s="3">
        <v>3</v>
      </c>
      <c r="GI114" s="3">
        <v>5</v>
      </c>
      <c r="GJ114" s="3">
        <v>0</v>
      </c>
      <c r="GK114" s="3">
        <v>0</v>
      </c>
      <c r="GL114" s="3">
        <f t="shared" si="102"/>
        <v>0</v>
      </c>
      <c r="GM114" s="3">
        <f t="shared" si="103"/>
        <v>22015.98</v>
      </c>
      <c r="GN114" s="3">
        <f t="shared" si="104"/>
        <v>0</v>
      </c>
      <c r="GO114" s="3">
        <f t="shared" si="105"/>
        <v>0</v>
      </c>
      <c r="GP114" s="3">
        <f t="shared" si="106"/>
        <v>0</v>
      </c>
      <c r="GR114" s="3">
        <v>1</v>
      </c>
      <c r="GS114" s="3">
        <v>1</v>
      </c>
      <c r="GT114" s="3">
        <v>0</v>
      </c>
      <c r="GU114" s="3" t="s">
        <v>3</v>
      </c>
      <c r="GV114" s="3">
        <f t="shared" si="107"/>
        <v>0</v>
      </c>
      <c r="GW114" s="3">
        <v>1</v>
      </c>
      <c r="GX114" s="3">
        <f t="shared" si="108"/>
        <v>0</v>
      </c>
      <c r="HA114" s="3">
        <v>0</v>
      </c>
      <c r="HB114" s="3">
        <v>0</v>
      </c>
      <c r="HC114" s="3">
        <f t="shared" si="109"/>
        <v>0</v>
      </c>
      <c r="HE114" s="3" t="s">
        <v>41</v>
      </c>
      <c r="HF114" s="3" t="s">
        <v>196</v>
      </c>
      <c r="HM114" s="3" t="s">
        <v>3</v>
      </c>
      <c r="HN114" s="3" t="s">
        <v>3</v>
      </c>
      <c r="HO114" s="3" t="s">
        <v>3</v>
      </c>
      <c r="HP114" s="3" t="s">
        <v>3</v>
      </c>
      <c r="HQ114" s="3" t="s">
        <v>3</v>
      </c>
      <c r="HS114" s="3">
        <v>0</v>
      </c>
      <c r="IK114" s="3">
        <v>0</v>
      </c>
    </row>
    <row r="115" spans="1:255" x14ac:dyDescent="0.2">
      <c r="A115" s="2">
        <v>17</v>
      </c>
      <c r="B115" s="2">
        <v>1</v>
      </c>
      <c r="C115" s="2"/>
      <c r="D115" s="2"/>
      <c r="E115" s="2" t="s">
        <v>217</v>
      </c>
      <c r="F115" s="2" t="s">
        <v>218</v>
      </c>
      <c r="G115" s="2" t="s">
        <v>219</v>
      </c>
      <c r="H115" s="2" t="s">
        <v>192</v>
      </c>
      <c r="I115" s="2">
        <v>1</v>
      </c>
      <c r="J115" s="2">
        <v>0</v>
      </c>
      <c r="K115" s="2">
        <v>1</v>
      </c>
      <c r="L115" s="2"/>
      <c r="M115" s="2"/>
      <c r="N115" s="2"/>
      <c r="O115" s="2">
        <f t="shared" si="85"/>
        <v>803.15</v>
      </c>
      <c r="P115" s="2">
        <f t="shared" si="86"/>
        <v>803.15</v>
      </c>
      <c r="Q115" s="2">
        <f t="shared" si="122"/>
        <v>0</v>
      </c>
      <c r="R115" s="2">
        <f t="shared" si="123"/>
        <v>0</v>
      </c>
      <c r="S115" s="2">
        <f t="shared" si="87"/>
        <v>0</v>
      </c>
      <c r="T115" s="2">
        <f t="shared" si="88"/>
        <v>0</v>
      </c>
      <c r="U115" s="2">
        <f t="shared" si="89"/>
        <v>0</v>
      </c>
      <c r="V115" s="2">
        <f t="shared" si="90"/>
        <v>0</v>
      </c>
      <c r="W115" s="2">
        <f t="shared" si="91"/>
        <v>0</v>
      </c>
      <c r="X115" s="2">
        <f t="shared" si="124"/>
        <v>0</v>
      </c>
      <c r="Y115" s="2">
        <f t="shared" si="125"/>
        <v>0</v>
      </c>
      <c r="Z115" s="2"/>
      <c r="AA115" s="2">
        <v>57248835</v>
      </c>
      <c r="AB115" s="2">
        <f t="shared" si="92"/>
        <v>803.15</v>
      </c>
      <c r="AC115" s="2">
        <f t="shared" si="126"/>
        <v>803.15</v>
      </c>
      <c r="AD115" s="2">
        <f t="shared" si="127"/>
        <v>0</v>
      </c>
      <c r="AE115" s="2">
        <f t="shared" si="128"/>
        <v>0</v>
      </c>
      <c r="AF115" s="2">
        <f t="shared" si="129"/>
        <v>0</v>
      </c>
      <c r="AG115" s="2">
        <f t="shared" si="93"/>
        <v>0</v>
      </c>
      <c r="AH115" s="2">
        <f t="shared" si="130"/>
        <v>0</v>
      </c>
      <c r="AI115" s="2">
        <f t="shared" si="131"/>
        <v>0</v>
      </c>
      <c r="AJ115" s="2">
        <f t="shared" si="94"/>
        <v>0</v>
      </c>
      <c r="AK115" s="2">
        <v>803.15</v>
      </c>
      <c r="AL115" s="2">
        <v>803.15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1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3</v>
      </c>
      <c r="BI115" s="2">
        <v>3</v>
      </c>
      <c r="BJ115" s="2" t="s">
        <v>218</v>
      </c>
      <c r="BK115" s="2"/>
      <c r="BL115" s="2"/>
      <c r="BM115" s="2">
        <v>400007</v>
      </c>
      <c r="BN115" s="2">
        <v>0</v>
      </c>
      <c r="BO115" s="2" t="s">
        <v>3</v>
      </c>
      <c r="BP115" s="2">
        <v>0</v>
      </c>
      <c r="BQ115" s="2">
        <v>214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0</v>
      </c>
      <c r="CA115" s="2">
        <v>0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3</v>
      </c>
      <c r="CO115" s="2">
        <v>0</v>
      </c>
      <c r="CP115" s="2">
        <f t="shared" si="95"/>
        <v>803.15</v>
      </c>
      <c r="CQ115" s="2">
        <f t="shared" si="96"/>
        <v>803.15</v>
      </c>
      <c r="CR115" s="2">
        <f t="shared" si="132"/>
        <v>0</v>
      </c>
      <c r="CS115" s="2">
        <f t="shared" si="133"/>
        <v>0</v>
      </c>
      <c r="CT115" s="2">
        <f t="shared" si="97"/>
        <v>0</v>
      </c>
      <c r="CU115" s="2">
        <f t="shared" si="98"/>
        <v>0</v>
      </c>
      <c r="CV115" s="2">
        <f t="shared" si="99"/>
        <v>0</v>
      </c>
      <c r="CW115" s="2">
        <f t="shared" si="100"/>
        <v>0</v>
      </c>
      <c r="CX115" s="2">
        <f t="shared" si="101"/>
        <v>0</v>
      </c>
      <c r="CY115" s="2">
        <f t="shared" si="134"/>
        <v>0</v>
      </c>
      <c r="CZ115" s="2">
        <f t="shared" si="135"/>
        <v>0</v>
      </c>
      <c r="DA115" s="2"/>
      <c r="DB115" s="2"/>
      <c r="DC115" s="2" t="s">
        <v>3</v>
      </c>
      <c r="DD115" s="2" t="s">
        <v>3</v>
      </c>
      <c r="DE115" s="2" t="s">
        <v>3</v>
      </c>
      <c r="DF115" s="2" t="s">
        <v>3</v>
      </c>
      <c r="DG115" s="2" t="s">
        <v>3</v>
      </c>
      <c r="DH115" s="2" t="s">
        <v>3</v>
      </c>
      <c r="DI115" s="2" t="s">
        <v>3</v>
      </c>
      <c r="DJ115" s="2" t="s">
        <v>3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1013</v>
      </c>
      <c r="DV115" s="2" t="s">
        <v>192</v>
      </c>
      <c r="DW115" s="2" t="s">
        <v>192</v>
      </c>
      <c r="DX115" s="2">
        <v>1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57248792</v>
      </c>
      <c r="EF115" s="2">
        <v>214</v>
      </c>
      <c r="EG115" s="2" t="s">
        <v>193</v>
      </c>
      <c r="EH115" s="2">
        <v>0</v>
      </c>
      <c r="EI115" s="2" t="s">
        <v>3</v>
      </c>
      <c r="EJ115" s="2">
        <v>3</v>
      </c>
      <c r="EK115" s="2">
        <v>400007</v>
      </c>
      <c r="EL115" s="2" t="s">
        <v>193</v>
      </c>
      <c r="EM115" s="2" t="s">
        <v>194</v>
      </c>
      <c r="EN115" s="2"/>
      <c r="EO115" s="2" t="s">
        <v>3</v>
      </c>
      <c r="EP115" s="2"/>
      <c r="EQ115" s="2">
        <v>131088</v>
      </c>
      <c r="ER115" s="2">
        <v>0</v>
      </c>
      <c r="ES115" s="2">
        <v>803.15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f t="shared" si="136"/>
        <v>803.15</v>
      </c>
      <c r="FS115" s="2">
        <v>0</v>
      </c>
      <c r="FT115" s="2"/>
      <c r="FU115" s="2"/>
      <c r="FV115" s="2"/>
      <c r="FW115" s="2"/>
      <c r="FX115" s="2">
        <v>0</v>
      </c>
      <c r="FY115" s="2">
        <v>0</v>
      </c>
      <c r="FZ115" s="2"/>
      <c r="GA115" s="2" t="s">
        <v>220</v>
      </c>
      <c r="GB115" s="2"/>
      <c r="GC115" s="2"/>
      <c r="GD115" s="2">
        <v>1</v>
      </c>
      <c r="GE115" s="2"/>
      <c r="GF115" s="2">
        <v>-2128409666</v>
      </c>
      <c r="GG115" s="2">
        <v>2</v>
      </c>
      <c r="GH115" s="2">
        <v>4</v>
      </c>
      <c r="GI115" s="2">
        <v>-2</v>
      </c>
      <c r="GJ115" s="2">
        <v>0</v>
      </c>
      <c r="GK115" s="2">
        <v>0</v>
      </c>
      <c r="GL115" s="2">
        <f t="shared" si="102"/>
        <v>0</v>
      </c>
      <c r="GM115" s="2">
        <f t="shared" si="103"/>
        <v>803.15</v>
      </c>
      <c r="GN115" s="2">
        <f t="shared" si="104"/>
        <v>0</v>
      </c>
      <c r="GO115" s="2">
        <f t="shared" si="105"/>
        <v>0</v>
      </c>
      <c r="GP115" s="2">
        <f t="shared" si="106"/>
        <v>0</v>
      </c>
      <c r="GQ115" s="2"/>
      <c r="GR115" s="2">
        <v>1</v>
      </c>
      <c r="GS115" s="2">
        <v>2</v>
      </c>
      <c r="GT115" s="2">
        <v>0</v>
      </c>
      <c r="GU115" s="2" t="s">
        <v>3</v>
      </c>
      <c r="GV115" s="2">
        <f t="shared" si="107"/>
        <v>0</v>
      </c>
      <c r="GW115" s="2">
        <v>1</v>
      </c>
      <c r="GX115" s="2">
        <f t="shared" si="108"/>
        <v>0</v>
      </c>
      <c r="GY115" s="2"/>
      <c r="GZ115" s="2"/>
      <c r="HA115" s="2">
        <v>0</v>
      </c>
      <c r="HB115" s="2">
        <v>0</v>
      </c>
      <c r="HC115" s="2">
        <f t="shared" si="109"/>
        <v>0</v>
      </c>
      <c r="HD115" s="2"/>
      <c r="HE115" s="2" t="s">
        <v>41</v>
      </c>
      <c r="HF115" s="2" t="s">
        <v>196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3">
        <v>17</v>
      </c>
      <c r="B116" s="3">
        <v>1</v>
      </c>
      <c r="E116" s="3" t="s">
        <v>217</v>
      </c>
      <c r="F116" s="3" t="s">
        <v>218</v>
      </c>
      <c r="G116" s="3" t="s">
        <v>219</v>
      </c>
      <c r="H116" s="3" t="s">
        <v>192</v>
      </c>
      <c r="I116" s="3">
        <v>1</v>
      </c>
      <c r="J116" s="3">
        <v>0</v>
      </c>
      <c r="K116" s="3">
        <v>1</v>
      </c>
      <c r="O116" s="3">
        <f t="shared" si="85"/>
        <v>6079.85</v>
      </c>
      <c r="P116" s="3">
        <f t="shared" si="86"/>
        <v>6079.85</v>
      </c>
      <c r="Q116" s="3">
        <f t="shared" si="122"/>
        <v>0</v>
      </c>
      <c r="R116" s="3">
        <f t="shared" si="123"/>
        <v>0</v>
      </c>
      <c r="S116" s="3">
        <f t="shared" si="87"/>
        <v>0</v>
      </c>
      <c r="T116" s="3">
        <f t="shared" si="88"/>
        <v>0</v>
      </c>
      <c r="U116" s="3">
        <f t="shared" si="89"/>
        <v>0</v>
      </c>
      <c r="V116" s="3">
        <f t="shared" si="90"/>
        <v>0</v>
      </c>
      <c r="W116" s="3">
        <f t="shared" si="91"/>
        <v>0</v>
      </c>
      <c r="X116" s="3">
        <f t="shared" si="124"/>
        <v>0</v>
      </c>
      <c r="Y116" s="3">
        <f t="shared" si="125"/>
        <v>0</v>
      </c>
      <c r="AA116" s="3">
        <v>57248837</v>
      </c>
      <c r="AB116" s="3">
        <f t="shared" si="92"/>
        <v>803.15</v>
      </c>
      <c r="AC116" s="3">
        <f t="shared" si="126"/>
        <v>803.15</v>
      </c>
      <c r="AD116" s="3">
        <f t="shared" si="127"/>
        <v>0</v>
      </c>
      <c r="AE116" s="3">
        <f t="shared" si="128"/>
        <v>0</v>
      </c>
      <c r="AF116" s="3">
        <f t="shared" si="129"/>
        <v>0</v>
      </c>
      <c r="AG116" s="3">
        <f t="shared" si="93"/>
        <v>0</v>
      </c>
      <c r="AH116" s="3">
        <f t="shared" si="130"/>
        <v>0</v>
      </c>
      <c r="AI116" s="3">
        <f t="shared" si="131"/>
        <v>0</v>
      </c>
      <c r="AJ116" s="3">
        <f t="shared" si="94"/>
        <v>0</v>
      </c>
      <c r="AK116" s="3">
        <v>803.15</v>
      </c>
      <c r="AL116" s="3">
        <v>803.15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1</v>
      </c>
      <c r="AW116" s="3">
        <v>1</v>
      </c>
      <c r="AZ116" s="3">
        <v>1</v>
      </c>
      <c r="BA116" s="3">
        <v>1</v>
      </c>
      <c r="BB116" s="3">
        <v>1</v>
      </c>
      <c r="BC116" s="3">
        <v>7.57</v>
      </c>
      <c r="BD116" s="3" t="s">
        <v>3</v>
      </c>
      <c r="BE116" s="3" t="s">
        <v>3</v>
      </c>
      <c r="BF116" s="3" t="s">
        <v>3</v>
      </c>
      <c r="BG116" s="3" t="s">
        <v>3</v>
      </c>
      <c r="BH116" s="3">
        <v>3</v>
      </c>
      <c r="BI116" s="3">
        <v>3</v>
      </c>
      <c r="BJ116" s="3" t="s">
        <v>218</v>
      </c>
      <c r="BM116" s="3">
        <v>400007</v>
      </c>
      <c r="BN116" s="3">
        <v>0</v>
      </c>
      <c r="BO116" s="3" t="s">
        <v>3</v>
      </c>
      <c r="BP116" s="3">
        <v>0</v>
      </c>
      <c r="BQ116" s="3">
        <v>214</v>
      </c>
      <c r="BR116" s="3">
        <v>0</v>
      </c>
      <c r="BS116" s="3">
        <v>1</v>
      </c>
      <c r="BT116" s="3">
        <v>1</v>
      </c>
      <c r="BU116" s="3">
        <v>1</v>
      </c>
      <c r="BV116" s="3">
        <v>1</v>
      </c>
      <c r="BW116" s="3">
        <v>1</v>
      </c>
      <c r="BX116" s="3">
        <v>1</v>
      </c>
      <c r="BY116" s="3" t="s">
        <v>3</v>
      </c>
      <c r="BZ116" s="3">
        <v>0</v>
      </c>
      <c r="CA116" s="3">
        <v>0</v>
      </c>
      <c r="CB116" s="3" t="s">
        <v>3</v>
      </c>
      <c r="CE116" s="3">
        <v>1566</v>
      </c>
      <c r="CF116" s="3">
        <v>0</v>
      </c>
      <c r="CG116" s="3">
        <v>0</v>
      </c>
      <c r="CM116" s="3">
        <v>0</v>
      </c>
      <c r="CN116" s="3" t="s">
        <v>3</v>
      </c>
      <c r="CO116" s="3">
        <v>0</v>
      </c>
      <c r="CP116" s="3">
        <f t="shared" si="95"/>
        <v>6079.85</v>
      </c>
      <c r="CQ116" s="3">
        <f t="shared" si="96"/>
        <v>6079.85</v>
      </c>
      <c r="CR116" s="3">
        <f t="shared" si="132"/>
        <v>0</v>
      </c>
      <c r="CS116" s="3">
        <f t="shared" si="133"/>
        <v>0</v>
      </c>
      <c r="CT116" s="3">
        <f t="shared" si="97"/>
        <v>0</v>
      </c>
      <c r="CU116" s="3">
        <f t="shared" si="98"/>
        <v>0</v>
      </c>
      <c r="CV116" s="3">
        <f t="shared" si="99"/>
        <v>0</v>
      </c>
      <c r="CW116" s="3">
        <f t="shared" si="100"/>
        <v>0</v>
      </c>
      <c r="CX116" s="3">
        <f t="shared" si="101"/>
        <v>0</v>
      </c>
      <c r="CY116" s="3">
        <f t="shared" si="134"/>
        <v>0</v>
      </c>
      <c r="CZ116" s="3">
        <f t="shared" si="135"/>
        <v>0</v>
      </c>
      <c r="DC116" s="3" t="s">
        <v>3</v>
      </c>
      <c r="DD116" s="3" t="s">
        <v>3</v>
      </c>
      <c r="DE116" s="3" t="s">
        <v>3</v>
      </c>
      <c r="DF116" s="3" t="s">
        <v>3</v>
      </c>
      <c r="DG116" s="3" t="s">
        <v>3</v>
      </c>
      <c r="DH116" s="3" t="s">
        <v>3</v>
      </c>
      <c r="DI116" s="3" t="s">
        <v>3</v>
      </c>
      <c r="DJ116" s="3" t="s">
        <v>3</v>
      </c>
      <c r="DK116" s="3" t="s">
        <v>3</v>
      </c>
      <c r="DL116" s="3" t="s">
        <v>3</v>
      </c>
      <c r="DM116" s="3" t="s">
        <v>3</v>
      </c>
      <c r="DN116" s="3">
        <v>0</v>
      </c>
      <c r="DO116" s="3">
        <v>0</v>
      </c>
      <c r="DP116" s="3">
        <v>1</v>
      </c>
      <c r="DQ116" s="3">
        <v>1</v>
      </c>
      <c r="DU116" s="3">
        <v>1013</v>
      </c>
      <c r="DV116" s="3" t="s">
        <v>192</v>
      </c>
      <c r="DW116" s="3" t="s">
        <v>192</v>
      </c>
      <c r="DX116" s="3">
        <v>1</v>
      </c>
      <c r="DZ116" s="3" t="s">
        <v>3</v>
      </c>
      <c r="EA116" s="3" t="s">
        <v>3</v>
      </c>
      <c r="EB116" s="3" t="s">
        <v>3</v>
      </c>
      <c r="EC116" s="3" t="s">
        <v>3</v>
      </c>
      <c r="EE116" s="3">
        <v>57248792</v>
      </c>
      <c r="EF116" s="3">
        <v>214</v>
      </c>
      <c r="EG116" s="3" t="s">
        <v>193</v>
      </c>
      <c r="EH116" s="3">
        <v>0</v>
      </c>
      <c r="EI116" s="3" t="s">
        <v>3</v>
      </c>
      <c r="EJ116" s="3">
        <v>3</v>
      </c>
      <c r="EK116" s="3">
        <v>400007</v>
      </c>
      <c r="EL116" s="3" t="s">
        <v>193</v>
      </c>
      <c r="EM116" s="3" t="s">
        <v>194</v>
      </c>
      <c r="EO116" s="3" t="s">
        <v>3</v>
      </c>
      <c r="EQ116" s="3">
        <v>131088</v>
      </c>
      <c r="ER116" s="3">
        <v>0</v>
      </c>
      <c r="ES116" s="3">
        <v>803.15</v>
      </c>
      <c r="ET116" s="3">
        <v>0</v>
      </c>
      <c r="EU116" s="3">
        <v>0</v>
      </c>
      <c r="EV116" s="3">
        <v>0</v>
      </c>
      <c r="EW116" s="3">
        <v>0</v>
      </c>
      <c r="EX116" s="3">
        <v>0</v>
      </c>
      <c r="EY116" s="3">
        <v>0</v>
      </c>
      <c r="EZ116" s="3">
        <v>5</v>
      </c>
      <c r="FC116" s="3">
        <v>1</v>
      </c>
      <c r="FD116" s="3">
        <v>18</v>
      </c>
      <c r="FF116" s="3">
        <v>7116</v>
      </c>
      <c r="FQ116" s="3">
        <v>0</v>
      </c>
      <c r="FR116" s="3">
        <f t="shared" si="136"/>
        <v>6079.85</v>
      </c>
      <c r="FS116" s="3">
        <v>0</v>
      </c>
      <c r="FX116" s="3">
        <v>0</v>
      </c>
      <c r="FY116" s="3">
        <v>0</v>
      </c>
      <c r="GA116" s="3" t="s">
        <v>220</v>
      </c>
      <c r="GD116" s="3">
        <v>1</v>
      </c>
      <c r="GF116" s="3">
        <v>-2128409666</v>
      </c>
      <c r="GG116" s="3">
        <v>2</v>
      </c>
      <c r="GH116" s="3">
        <v>3</v>
      </c>
      <c r="GI116" s="3">
        <v>5</v>
      </c>
      <c r="GJ116" s="3">
        <v>0</v>
      </c>
      <c r="GK116" s="3">
        <v>0</v>
      </c>
      <c r="GL116" s="3">
        <f t="shared" si="102"/>
        <v>0</v>
      </c>
      <c r="GM116" s="3">
        <f t="shared" si="103"/>
        <v>6079.85</v>
      </c>
      <c r="GN116" s="3">
        <f t="shared" si="104"/>
        <v>0</v>
      </c>
      <c r="GO116" s="3">
        <f t="shared" si="105"/>
        <v>0</v>
      </c>
      <c r="GP116" s="3">
        <f t="shared" si="106"/>
        <v>0</v>
      </c>
      <c r="GR116" s="3">
        <v>1</v>
      </c>
      <c r="GS116" s="3">
        <v>1</v>
      </c>
      <c r="GT116" s="3">
        <v>0</v>
      </c>
      <c r="GU116" s="3" t="s">
        <v>3</v>
      </c>
      <c r="GV116" s="3">
        <f t="shared" si="107"/>
        <v>0</v>
      </c>
      <c r="GW116" s="3">
        <v>1</v>
      </c>
      <c r="GX116" s="3">
        <f t="shared" si="108"/>
        <v>0</v>
      </c>
      <c r="HA116" s="3">
        <v>0</v>
      </c>
      <c r="HB116" s="3">
        <v>0</v>
      </c>
      <c r="HC116" s="3">
        <f t="shared" si="109"/>
        <v>0</v>
      </c>
      <c r="HE116" s="3" t="s">
        <v>41</v>
      </c>
      <c r="HF116" s="3" t="s">
        <v>196</v>
      </c>
      <c r="HM116" s="3" t="s">
        <v>3</v>
      </c>
      <c r="HN116" s="3" t="s">
        <v>3</v>
      </c>
      <c r="HO116" s="3" t="s">
        <v>3</v>
      </c>
      <c r="HP116" s="3" t="s">
        <v>3</v>
      </c>
      <c r="HQ116" s="3" t="s">
        <v>3</v>
      </c>
      <c r="HS116" s="3">
        <v>0</v>
      </c>
      <c r="IK116" s="3">
        <v>0</v>
      </c>
    </row>
    <row r="117" spans="1:255" x14ac:dyDescent="0.2">
      <c r="A117" s="2">
        <v>17</v>
      </c>
      <c r="B117" s="2">
        <v>1</v>
      </c>
      <c r="C117" s="2"/>
      <c r="D117" s="2"/>
      <c r="E117" s="2" t="s">
        <v>221</v>
      </c>
      <c r="F117" s="2" t="s">
        <v>222</v>
      </c>
      <c r="G117" s="2" t="s">
        <v>223</v>
      </c>
      <c r="H117" s="2" t="s">
        <v>192</v>
      </c>
      <c r="I117" s="2">
        <v>1</v>
      </c>
      <c r="J117" s="2">
        <v>0</v>
      </c>
      <c r="K117" s="2">
        <v>1</v>
      </c>
      <c r="L117" s="2"/>
      <c r="M117" s="2"/>
      <c r="N117" s="2"/>
      <c r="O117" s="2">
        <f t="shared" si="85"/>
        <v>937.47</v>
      </c>
      <c r="P117" s="2">
        <f t="shared" si="86"/>
        <v>937.47</v>
      </c>
      <c r="Q117" s="2">
        <f t="shared" si="122"/>
        <v>0</v>
      </c>
      <c r="R117" s="2">
        <f t="shared" si="123"/>
        <v>0</v>
      </c>
      <c r="S117" s="2">
        <f t="shared" si="87"/>
        <v>0</v>
      </c>
      <c r="T117" s="2">
        <f t="shared" si="88"/>
        <v>0</v>
      </c>
      <c r="U117" s="2">
        <f t="shared" si="89"/>
        <v>0</v>
      </c>
      <c r="V117" s="2">
        <f t="shared" si="90"/>
        <v>0</v>
      </c>
      <c r="W117" s="2">
        <f t="shared" si="91"/>
        <v>0</v>
      </c>
      <c r="X117" s="2">
        <f t="shared" si="124"/>
        <v>0</v>
      </c>
      <c r="Y117" s="2">
        <f t="shared" si="125"/>
        <v>0</v>
      </c>
      <c r="Z117" s="2"/>
      <c r="AA117" s="2">
        <v>57248835</v>
      </c>
      <c r="AB117" s="2">
        <f t="shared" si="92"/>
        <v>937.47</v>
      </c>
      <c r="AC117" s="2">
        <f t="shared" si="126"/>
        <v>937.47</v>
      </c>
      <c r="AD117" s="2">
        <f t="shared" si="127"/>
        <v>0</v>
      </c>
      <c r="AE117" s="2">
        <f t="shared" si="128"/>
        <v>0</v>
      </c>
      <c r="AF117" s="2">
        <f t="shared" si="129"/>
        <v>0</v>
      </c>
      <c r="AG117" s="2">
        <f t="shared" si="93"/>
        <v>0</v>
      </c>
      <c r="AH117" s="2">
        <f t="shared" si="130"/>
        <v>0</v>
      </c>
      <c r="AI117" s="2">
        <f t="shared" si="131"/>
        <v>0</v>
      </c>
      <c r="AJ117" s="2">
        <f t="shared" si="94"/>
        <v>0</v>
      </c>
      <c r="AK117" s="2">
        <v>937.47</v>
      </c>
      <c r="AL117" s="2">
        <v>937.47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3</v>
      </c>
      <c r="BJ117" s="2" t="s">
        <v>222</v>
      </c>
      <c r="BK117" s="2"/>
      <c r="BL117" s="2"/>
      <c r="BM117" s="2">
        <v>400007</v>
      </c>
      <c r="BN117" s="2">
        <v>0</v>
      </c>
      <c r="BO117" s="2" t="s">
        <v>3</v>
      </c>
      <c r="BP117" s="2">
        <v>0</v>
      </c>
      <c r="BQ117" s="2">
        <v>214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0</v>
      </c>
      <c r="CA117" s="2">
        <v>0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3</v>
      </c>
      <c r="CO117" s="2">
        <v>0</v>
      </c>
      <c r="CP117" s="2">
        <f t="shared" si="95"/>
        <v>937.47</v>
      </c>
      <c r="CQ117" s="2">
        <f t="shared" si="96"/>
        <v>937.47</v>
      </c>
      <c r="CR117" s="2">
        <f t="shared" si="132"/>
        <v>0</v>
      </c>
      <c r="CS117" s="2">
        <f t="shared" si="133"/>
        <v>0</v>
      </c>
      <c r="CT117" s="2">
        <f t="shared" si="97"/>
        <v>0</v>
      </c>
      <c r="CU117" s="2">
        <f t="shared" si="98"/>
        <v>0</v>
      </c>
      <c r="CV117" s="2">
        <f t="shared" si="99"/>
        <v>0</v>
      </c>
      <c r="CW117" s="2">
        <f t="shared" si="100"/>
        <v>0</v>
      </c>
      <c r="CX117" s="2">
        <f t="shared" si="101"/>
        <v>0</v>
      </c>
      <c r="CY117" s="2">
        <f t="shared" si="134"/>
        <v>0</v>
      </c>
      <c r="CZ117" s="2">
        <f t="shared" si="135"/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1013</v>
      </c>
      <c r="DV117" s="2" t="s">
        <v>192</v>
      </c>
      <c r="DW117" s="2" t="s">
        <v>192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57248792</v>
      </c>
      <c r="EF117" s="2">
        <v>214</v>
      </c>
      <c r="EG117" s="2" t="s">
        <v>193</v>
      </c>
      <c r="EH117" s="2">
        <v>0</v>
      </c>
      <c r="EI117" s="2" t="s">
        <v>3</v>
      </c>
      <c r="EJ117" s="2">
        <v>3</v>
      </c>
      <c r="EK117" s="2">
        <v>400007</v>
      </c>
      <c r="EL117" s="2" t="s">
        <v>193</v>
      </c>
      <c r="EM117" s="2" t="s">
        <v>194</v>
      </c>
      <c r="EN117" s="2"/>
      <c r="EO117" s="2" t="s">
        <v>3</v>
      </c>
      <c r="EP117" s="2"/>
      <c r="EQ117" s="2">
        <v>131088</v>
      </c>
      <c r="ER117" s="2">
        <v>0</v>
      </c>
      <c r="ES117" s="2">
        <v>937.47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f t="shared" si="136"/>
        <v>937.47</v>
      </c>
      <c r="FS117" s="2">
        <v>0</v>
      </c>
      <c r="FT117" s="2"/>
      <c r="FU117" s="2"/>
      <c r="FV117" s="2"/>
      <c r="FW117" s="2"/>
      <c r="FX117" s="2">
        <v>0</v>
      </c>
      <c r="FY117" s="2">
        <v>0</v>
      </c>
      <c r="FZ117" s="2"/>
      <c r="GA117" s="2" t="s">
        <v>224</v>
      </c>
      <c r="GB117" s="2"/>
      <c r="GC117" s="2"/>
      <c r="GD117" s="2">
        <v>1</v>
      </c>
      <c r="GE117" s="2"/>
      <c r="GF117" s="2">
        <v>384040123</v>
      </c>
      <c r="GG117" s="2">
        <v>2</v>
      </c>
      <c r="GH117" s="2">
        <v>4</v>
      </c>
      <c r="GI117" s="2">
        <v>-2</v>
      </c>
      <c r="GJ117" s="2">
        <v>0</v>
      </c>
      <c r="GK117" s="2">
        <v>0</v>
      </c>
      <c r="GL117" s="2">
        <f t="shared" si="102"/>
        <v>0</v>
      </c>
      <c r="GM117" s="2">
        <f t="shared" si="103"/>
        <v>937.47</v>
      </c>
      <c r="GN117" s="2">
        <f t="shared" si="104"/>
        <v>0</v>
      </c>
      <c r="GO117" s="2">
        <f t="shared" si="105"/>
        <v>0</v>
      </c>
      <c r="GP117" s="2">
        <f t="shared" si="106"/>
        <v>0</v>
      </c>
      <c r="GQ117" s="2"/>
      <c r="GR117" s="2">
        <v>1</v>
      </c>
      <c r="GS117" s="2">
        <v>2</v>
      </c>
      <c r="GT117" s="2">
        <v>0</v>
      </c>
      <c r="GU117" s="2" t="s">
        <v>3</v>
      </c>
      <c r="GV117" s="2">
        <f t="shared" si="107"/>
        <v>0</v>
      </c>
      <c r="GW117" s="2">
        <v>1</v>
      </c>
      <c r="GX117" s="2">
        <f t="shared" si="108"/>
        <v>0</v>
      </c>
      <c r="GY117" s="2"/>
      <c r="GZ117" s="2"/>
      <c r="HA117" s="2">
        <v>0</v>
      </c>
      <c r="HB117" s="2">
        <v>0</v>
      </c>
      <c r="HC117" s="2">
        <f t="shared" si="109"/>
        <v>0</v>
      </c>
      <c r="HD117" s="2"/>
      <c r="HE117" s="2" t="s">
        <v>41</v>
      </c>
      <c r="HF117" s="2" t="s">
        <v>196</v>
      </c>
      <c r="HG117" s="2"/>
      <c r="HH117" s="2"/>
      <c r="HI117" s="2"/>
      <c r="HJ117" s="2"/>
      <c r="HK117" s="2"/>
      <c r="HL117" s="2"/>
      <c r="HM117" s="2" t="s">
        <v>3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3">
        <v>17</v>
      </c>
      <c r="B118" s="3">
        <v>1</v>
      </c>
      <c r="E118" s="3" t="s">
        <v>221</v>
      </c>
      <c r="F118" s="3" t="s">
        <v>222</v>
      </c>
      <c r="G118" s="3" t="s">
        <v>223</v>
      </c>
      <c r="H118" s="3" t="s">
        <v>192</v>
      </c>
      <c r="I118" s="3">
        <v>1</v>
      </c>
      <c r="J118" s="3">
        <v>0</v>
      </c>
      <c r="K118" s="3">
        <v>1</v>
      </c>
      <c r="O118" s="3">
        <f t="shared" si="85"/>
        <v>7096.65</v>
      </c>
      <c r="P118" s="3">
        <f t="shared" si="86"/>
        <v>7096.65</v>
      </c>
      <c r="Q118" s="3">
        <f t="shared" si="122"/>
        <v>0</v>
      </c>
      <c r="R118" s="3">
        <f t="shared" si="123"/>
        <v>0</v>
      </c>
      <c r="S118" s="3">
        <f t="shared" si="87"/>
        <v>0</v>
      </c>
      <c r="T118" s="3">
        <f t="shared" si="88"/>
        <v>0</v>
      </c>
      <c r="U118" s="3">
        <f t="shared" si="89"/>
        <v>0</v>
      </c>
      <c r="V118" s="3">
        <f t="shared" si="90"/>
        <v>0</v>
      </c>
      <c r="W118" s="3">
        <f t="shared" si="91"/>
        <v>0</v>
      </c>
      <c r="X118" s="3">
        <f t="shared" si="124"/>
        <v>0</v>
      </c>
      <c r="Y118" s="3">
        <f t="shared" si="125"/>
        <v>0</v>
      </c>
      <c r="AA118" s="3">
        <v>57248837</v>
      </c>
      <c r="AB118" s="3">
        <f t="shared" si="92"/>
        <v>937.47</v>
      </c>
      <c r="AC118" s="3">
        <f t="shared" si="126"/>
        <v>937.47</v>
      </c>
      <c r="AD118" s="3">
        <f t="shared" si="127"/>
        <v>0</v>
      </c>
      <c r="AE118" s="3">
        <f t="shared" si="128"/>
        <v>0</v>
      </c>
      <c r="AF118" s="3">
        <f t="shared" si="129"/>
        <v>0</v>
      </c>
      <c r="AG118" s="3">
        <f t="shared" si="93"/>
        <v>0</v>
      </c>
      <c r="AH118" s="3">
        <f t="shared" si="130"/>
        <v>0</v>
      </c>
      <c r="AI118" s="3">
        <f t="shared" si="131"/>
        <v>0</v>
      </c>
      <c r="AJ118" s="3">
        <f t="shared" si="94"/>
        <v>0</v>
      </c>
      <c r="AK118" s="3">
        <v>937.47</v>
      </c>
      <c r="AL118" s="3">
        <v>937.47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1</v>
      </c>
      <c r="AW118" s="3">
        <v>1</v>
      </c>
      <c r="AZ118" s="3">
        <v>1</v>
      </c>
      <c r="BA118" s="3">
        <v>1</v>
      </c>
      <c r="BB118" s="3">
        <v>1</v>
      </c>
      <c r="BC118" s="3">
        <v>7.57</v>
      </c>
      <c r="BD118" s="3" t="s">
        <v>3</v>
      </c>
      <c r="BE118" s="3" t="s">
        <v>3</v>
      </c>
      <c r="BF118" s="3" t="s">
        <v>3</v>
      </c>
      <c r="BG118" s="3" t="s">
        <v>3</v>
      </c>
      <c r="BH118" s="3">
        <v>3</v>
      </c>
      <c r="BI118" s="3">
        <v>3</v>
      </c>
      <c r="BJ118" s="3" t="s">
        <v>222</v>
      </c>
      <c r="BM118" s="3">
        <v>400007</v>
      </c>
      <c r="BN118" s="3">
        <v>0</v>
      </c>
      <c r="BO118" s="3" t="s">
        <v>3</v>
      </c>
      <c r="BP118" s="3">
        <v>0</v>
      </c>
      <c r="BQ118" s="3">
        <v>214</v>
      </c>
      <c r="BR118" s="3">
        <v>0</v>
      </c>
      <c r="BS118" s="3">
        <v>1</v>
      </c>
      <c r="BT118" s="3">
        <v>1</v>
      </c>
      <c r="BU118" s="3">
        <v>1</v>
      </c>
      <c r="BV118" s="3">
        <v>1</v>
      </c>
      <c r="BW118" s="3">
        <v>1</v>
      </c>
      <c r="BX118" s="3">
        <v>1</v>
      </c>
      <c r="BY118" s="3" t="s">
        <v>3</v>
      </c>
      <c r="BZ118" s="3">
        <v>0</v>
      </c>
      <c r="CA118" s="3">
        <v>0</v>
      </c>
      <c r="CB118" s="3" t="s">
        <v>3</v>
      </c>
      <c r="CE118" s="3">
        <v>1566</v>
      </c>
      <c r="CF118" s="3">
        <v>0</v>
      </c>
      <c r="CG118" s="3">
        <v>0</v>
      </c>
      <c r="CM118" s="3">
        <v>0</v>
      </c>
      <c r="CN118" s="3" t="s">
        <v>3</v>
      </c>
      <c r="CO118" s="3">
        <v>0</v>
      </c>
      <c r="CP118" s="3">
        <f t="shared" si="95"/>
        <v>7096.65</v>
      </c>
      <c r="CQ118" s="3">
        <f t="shared" si="96"/>
        <v>7096.65</v>
      </c>
      <c r="CR118" s="3">
        <f t="shared" si="132"/>
        <v>0</v>
      </c>
      <c r="CS118" s="3">
        <f t="shared" si="133"/>
        <v>0</v>
      </c>
      <c r="CT118" s="3">
        <f t="shared" si="97"/>
        <v>0</v>
      </c>
      <c r="CU118" s="3">
        <f t="shared" si="98"/>
        <v>0</v>
      </c>
      <c r="CV118" s="3">
        <f t="shared" si="99"/>
        <v>0</v>
      </c>
      <c r="CW118" s="3">
        <f t="shared" si="100"/>
        <v>0</v>
      </c>
      <c r="CX118" s="3">
        <f t="shared" si="101"/>
        <v>0</v>
      </c>
      <c r="CY118" s="3">
        <f t="shared" si="134"/>
        <v>0</v>
      </c>
      <c r="CZ118" s="3">
        <f t="shared" si="135"/>
        <v>0</v>
      </c>
      <c r="DC118" s="3" t="s">
        <v>3</v>
      </c>
      <c r="DD118" s="3" t="s">
        <v>3</v>
      </c>
      <c r="DE118" s="3" t="s">
        <v>3</v>
      </c>
      <c r="DF118" s="3" t="s">
        <v>3</v>
      </c>
      <c r="DG118" s="3" t="s">
        <v>3</v>
      </c>
      <c r="DH118" s="3" t="s">
        <v>3</v>
      </c>
      <c r="DI118" s="3" t="s">
        <v>3</v>
      </c>
      <c r="DJ118" s="3" t="s">
        <v>3</v>
      </c>
      <c r="DK118" s="3" t="s">
        <v>3</v>
      </c>
      <c r="DL118" s="3" t="s">
        <v>3</v>
      </c>
      <c r="DM118" s="3" t="s">
        <v>3</v>
      </c>
      <c r="DN118" s="3">
        <v>0</v>
      </c>
      <c r="DO118" s="3">
        <v>0</v>
      </c>
      <c r="DP118" s="3">
        <v>1</v>
      </c>
      <c r="DQ118" s="3">
        <v>1</v>
      </c>
      <c r="DU118" s="3">
        <v>1013</v>
      </c>
      <c r="DV118" s="3" t="s">
        <v>192</v>
      </c>
      <c r="DW118" s="3" t="s">
        <v>192</v>
      </c>
      <c r="DX118" s="3">
        <v>1</v>
      </c>
      <c r="DZ118" s="3" t="s">
        <v>3</v>
      </c>
      <c r="EA118" s="3" t="s">
        <v>3</v>
      </c>
      <c r="EB118" s="3" t="s">
        <v>3</v>
      </c>
      <c r="EC118" s="3" t="s">
        <v>3</v>
      </c>
      <c r="EE118" s="3">
        <v>57248792</v>
      </c>
      <c r="EF118" s="3">
        <v>214</v>
      </c>
      <c r="EG118" s="3" t="s">
        <v>193</v>
      </c>
      <c r="EH118" s="3">
        <v>0</v>
      </c>
      <c r="EI118" s="3" t="s">
        <v>3</v>
      </c>
      <c r="EJ118" s="3">
        <v>3</v>
      </c>
      <c r="EK118" s="3">
        <v>400007</v>
      </c>
      <c r="EL118" s="3" t="s">
        <v>193</v>
      </c>
      <c r="EM118" s="3" t="s">
        <v>194</v>
      </c>
      <c r="EO118" s="3" t="s">
        <v>3</v>
      </c>
      <c r="EQ118" s="3">
        <v>131088</v>
      </c>
      <c r="ER118" s="3">
        <v>0</v>
      </c>
      <c r="ES118" s="3">
        <v>937.47</v>
      </c>
      <c r="ET118" s="3">
        <v>0</v>
      </c>
      <c r="EU118" s="3">
        <v>0</v>
      </c>
      <c r="EV118" s="3">
        <v>0</v>
      </c>
      <c r="EW118" s="3">
        <v>0</v>
      </c>
      <c r="EX118" s="3">
        <v>0</v>
      </c>
      <c r="EY118" s="3">
        <v>0</v>
      </c>
      <c r="EZ118" s="3">
        <v>5</v>
      </c>
      <c r="FC118" s="3">
        <v>1</v>
      </c>
      <c r="FD118" s="3">
        <v>18</v>
      </c>
      <c r="FF118" s="3">
        <v>8306</v>
      </c>
      <c r="FQ118" s="3">
        <v>0</v>
      </c>
      <c r="FR118" s="3">
        <f t="shared" si="136"/>
        <v>7096.65</v>
      </c>
      <c r="FS118" s="3">
        <v>0</v>
      </c>
      <c r="FX118" s="3">
        <v>0</v>
      </c>
      <c r="FY118" s="3">
        <v>0</v>
      </c>
      <c r="GA118" s="3" t="s">
        <v>224</v>
      </c>
      <c r="GD118" s="3">
        <v>1</v>
      </c>
      <c r="GF118" s="3">
        <v>384040123</v>
      </c>
      <c r="GG118" s="3">
        <v>2</v>
      </c>
      <c r="GH118" s="3">
        <v>3</v>
      </c>
      <c r="GI118" s="3">
        <v>5</v>
      </c>
      <c r="GJ118" s="3">
        <v>0</v>
      </c>
      <c r="GK118" s="3">
        <v>0</v>
      </c>
      <c r="GL118" s="3">
        <f t="shared" si="102"/>
        <v>0</v>
      </c>
      <c r="GM118" s="3">
        <f t="shared" si="103"/>
        <v>7096.65</v>
      </c>
      <c r="GN118" s="3">
        <f t="shared" si="104"/>
        <v>0</v>
      </c>
      <c r="GO118" s="3">
        <f t="shared" si="105"/>
        <v>0</v>
      </c>
      <c r="GP118" s="3">
        <f t="shared" si="106"/>
        <v>0</v>
      </c>
      <c r="GR118" s="3">
        <v>1</v>
      </c>
      <c r="GS118" s="3">
        <v>1</v>
      </c>
      <c r="GT118" s="3">
        <v>0</v>
      </c>
      <c r="GU118" s="3" t="s">
        <v>3</v>
      </c>
      <c r="GV118" s="3">
        <f t="shared" si="107"/>
        <v>0</v>
      </c>
      <c r="GW118" s="3">
        <v>1</v>
      </c>
      <c r="GX118" s="3">
        <f t="shared" si="108"/>
        <v>0</v>
      </c>
      <c r="HA118" s="3">
        <v>0</v>
      </c>
      <c r="HB118" s="3">
        <v>0</v>
      </c>
      <c r="HC118" s="3">
        <f t="shared" si="109"/>
        <v>0</v>
      </c>
      <c r="HE118" s="3" t="s">
        <v>41</v>
      </c>
      <c r="HF118" s="3" t="s">
        <v>196</v>
      </c>
      <c r="HM118" s="3" t="s">
        <v>3</v>
      </c>
      <c r="HN118" s="3" t="s">
        <v>3</v>
      </c>
      <c r="HO118" s="3" t="s">
        <v>3</v>
      </c>
      <c r="HP118" s="3" t="s">
        <v>3</v>
      </c>
      <c r="HQ118" s="3" t="s">
        <v>3</v>
      </c>
      <c r="HS118" s="3">
        <v>0</v>
      </c>
      <c r="IK118" s="3">
        <v>0</v>
      </c>
    </row>
    <row r="119" spans="1:255" x14ac:dyDescent="0.2">
      <c r="A119" s="2">
        <v>17</v>
      </c>
      <c r="B119" s="2">
        <v>1</v>
      </c>
      <c r="C119" s="2"/>
      <c r="D119" s="2"/>
      <c r="E119" s="2" t="s">
        <v>225</v>
      </c>
      <c r="F119" s="2" t="s">
        <v>226</v>
      </c>
      <c r="G119" s="2" t="s">
        <v>227</v>
      </c>
      <c r="H119" s="2" t="s">
        <v>228</v>
      </c>
      <c r="I119" s="2">
        <v>8</v>
      </c>
      <c r="J119" s="2">
        <v>0</v>
      </c>
      <c r="K119" s="2">
        <v>8</v>
      </c>
      <c r="L119" s="2"/>
      <c r="M119" s="2"/>
      <c r="N119" s="2"/>
      <c r="O119" s="2">
        <f t="shared" si="85"/>
        <v>715.12</v>
      </c>
      <c r="P119" s="2">
        <f>ROUND((ROUND((AC119*I119),2)*BC119),2)</f>
        <v>715.12</v>
      </c>
      <c r="Q119" s="2">
        <f t="shared" si="122"/>
        <v>0</v>
      </c>
      <c r="R119" s="2">
        <f t="shared" si="123"/>
        <v>0</v>
      </c>
      <c r="S119" s="2">
        <f t="shared" si="87"/>
        <v>0</v>
      </c>
      <c r="T119" s="2">
        <f t="shared" si="88"/>
        <v>0</v>
      </c>
      <c r="U119" s="2">
        <f t="shared" si="89"/>
        <v>0</v>
      </c>
      <c r="V119" s="2">
        <f t="shared" si="90"/>
        <v>0</v>
      </c>
      <c r="W119" s="2">
        <f t="shared" si="91"/>
        <v>0</v>
      </c>
      <c r="X119" s="2">
        <f t="shared" si="124"/>
        <v>0</v>
      </c>
      <c r="Y119" s="2">
        <f t="shared" si="125"/>
        <v>0</v>
      </c>
      <c r="Z119" s="2"/>
      <c r="AA119" s="2">
        <v>57248835</v>
      </c>
      <c r="AB119" s="2">
        <f t="shared" si="92"/>
        <v>89.39</v>
      </c>
      <c r="AC119" s="2">
        <f t="shared" si="126"/>
        <v>89.39</v>
      </c>
      <c r="AD119" s="2">
        <f t="shared" si="127"/>
        <v>0</v>
      </c>
      <c r="AE119" s="2">
        <f t="shared" si="128"/>
        <v>0</v>
      </c>
      <c r="AF119" s="2">
        <f t="shared" si="129"/>
        <v>0</v>
      </c>
      <c r="AG119" s="2">
        <f t="shared" si="93"/>
        <v>0</v>
      </c>
      <c r="AH119" s="2">
        <f t="shared" si="130"/>
        <v>0</v>
      </c>
      <c r="AI119" s="2">
        <f t="shared" si="131"/>
        <v>0</v>
      </c>
      <c r="AJ119" s="2">
        <f t="shared" si="94"/>
        <v>0</v>
      </c>
      <c r="AK119" s="2">
        <v>89.39</v>
      </c>
      <c r="AL119" s="2">
        <v>89.39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3</v>
      </c>
      <c r="BJ119" s="2" t="s">
        <v>229</v>
      </c>
      <c r="BK119" s="2"/>
      <c r="BL119" s="2"/>
      <c r="BM119" s="2">
        <v>746</v>
      </c>
      <c r="BN119" s="2">
        <v>0</v>
      </c>
      <c r="BO119" s="2" t="s">
        <v>3</v>
      </c>
      <c r="BP119" s="2">
        <v>0</v>
      </c>
      <c r="BQ119" s="2">
        <v>130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0</v>
      </c>
      <c r="CA119" s="2">
        <v>0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3</v>
      </c>
      <c r="CO119" s="2">
        <v>0</v>
      </c>
      <c r="CP119" s="2">
        <f t="shared" si="95"/>
        <v>715.12</v>
      </c>
      <c r="CQ119" s="2">
        <f>ROUND((ROUND((AC119*1),2)*BC119),2)</f>
        <v>89.39</v>
      </c>
      <c r="CR119" s="2">
        <f t="shared" si="132"/>
        <v>0</v>
      </c>
      <c r="CS119" s="2">
        <f t="shared" si="133"/>
        <v>0</v>
      </c>
      <c r="CT119" s="2">
        <f t="shared" si="97"/>
        <v>0</v>
      </c>
      <c r="CU119" s="2">
        <f t="shared" si="98"/>
        <v>0</v>
      </c>
      <c r="CV119" s="2">
        <f t="shared" si="99"/>
        <v>0</v>
      </c>
      <c r="CW119" s="2">
        <f t="shared" si="100"/>
        <v>0</v>
      </c>
      <c r="CX119" s="2">
        <f t="shared" si="101"/>
        <v>0</v>
      </c>
      <c r="CY119" s="2">
        <f t="shared" si="134"/>
        <v>0</v>
      </c>
      <c r="CZ119" s="2">
        <f t="shared" si="135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228</v>
      </c>
      <c r="DW119" s="2" t="s">
        <v>228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57248777</v>
      </c>
      <c r="EF119" s="2">
        <v>130</v>
      </c>
      <c r="EG119" s="2" t="s">
        <v>230</v>
      </c>
      <c r="EH119" s="2">
        <v>0</v>
      </c>
      <c r="EI119" s="2" t="s">
        <v>3</v>
      </c>
      <c r="EJ119" s="2">
        <v>3</v>
      </c>
      <c r="EK119" s="2">
        <v>746</v>
      </c>
      <c r="EL119" s="2" t="s">
        <v>231</v>
      </c>
      <c r="EM119" s="2" t="s">
        <v>232</v>
      </c>
      <c r="EN119" s="2"/>
      <c r="EO119" s="2" t="s">
        <v>3</v>
      </c>
      <c r="EP119" s="2"/>
      <c r="EQ119" s="2">
        <v>131072</v>
      </c>
      <c r="ER119" s="2">
        <v>89.39</v>
      </c>
      <c r="ES119" s="2">
        <v>89.39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f t="shared" si="136"/>
        <v>715.12</v>
      </c>
      <c r="FS119" s="2">
        <v>0</v>
      </c>
      <c r="FT119" s="2"/>
      <c r="FU119" s="2"/>
      <c r="FV119" s="2"/>
      <c r="FW119" s="2"/>
      <c r="FX119" s="2">
        <v>0</v>
      </c>
      <c r="FY119" s="2">
        <v>0</v>
      </c>
      <c r="FZ119" s="2"/>
      <c r="GA119" s="2" t="s">
        <v>3</v>
      </c>
      <c r="GB119" s="2"/>
      <c r="GC119" s="2"/>
      <c r="GD119" s="2">
        <v>1</v>
      </c>
      <c r="GE119" s="2"/>
      <c r="GF119" s="2">
        <v>-1920167778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02"/>
        <v>0</v>
      </c>
      <c r="GM119" s="2">
        <f t="shared" si="103"/>
        <v>715.12</v>
      </c>
      <c r="GN119" s="2">
        <f t="shared" si="104"/>
        <v>0</v>
      </c>
      <c r="GO119" s="2">
        <f t="shared" si="105"/>
        <v>0</v>
      </c>
      <c r="GP119" s="2">
        <f t="shared" si="106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07"/>
        <v>0</v>
      </c>
      <c r="GW119" s="2">
        <v>1</v>
      </c>
      <c r="GX119" s="2">
        <f t="shared" si="108"/>
        <v>0</v>
      </c>
      <c r="GY119" s="2"/>
      <c r="GZ119" s="2"/>
      <c r="HA119" s="2">
        <v>0</v>
      </c>
      <c r="HB119" s="2">
        <v>0</v>
      </c>
      <c r="HC119" s="2">
        <f t="shared" si="109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3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3">
        <v>17</v>
      </c>
      <c r="B120" s="3">
        <v>1</v>
      </c>
      <c r="E120" s="3" t="s">
        <v>225</v>
      </c>
      <c r="F120" s="3" t="s">
        <v>226</v>
      </c>
      <c r="G120" s="3" t="s">
        <v>227</v>
      </c>
      <c r="H120" s="3" t="s">
        <v>228</v>
      </c>
      <c r="I120" s="3">
        <v>8</v>
      </c>
      <c r="J120" s="3">
        <v>0</v>
      </c>
      <c r="K120" s="3">
        <v>8</v>
      </c>
      <c r="O120" s="3">
        <f t="shared" si="85"/>
        <v>4834.21</v>
      </c>
      <c r="P120" s="3">
        <f>ROUND((ROUND((AC120*I120),2)*BC120),2)</f>
        <v>4834.21</v>
      </c>
      <c r="Q120" s="3">
        <f t="shared" si="122"/>
        <v>0</v>
      </c>
      <c r="R120" s="3">
        <f t="shared" si="123"/>
        <v>0</v>
      </c>
      <c r="S120" s="3">
        <f t="shared" si="87"/>
        <v>0</v>
      </c>
      <c r="T120" s="3">
        <f t="shared" si="88"/>
        <v>0</v>
      </c>
      <c r="U120" s="3">
        <f t="shared" si="89"/>
        <v>0</v>
      </c>
      <c r="V120" s="3">
        <f t="shared" si="90"/>
        <v>0</v>
      </c>
      <c r="W120" s="3">
        <f t="shared" si="91"/>
        <v>0</v>
      </c>
      <c r="X120" s="3">
        <f t="shared" si="124"/>
        <v>0</v>
      </c>
      <c r="Y120" s="3">
        <f t="shared" si="125"/>
        <v>0</v>
      </c>
      <c r="AA120" s="3">
        <v>57248837</v>
      </c>
      <c r="AB120" s="3">
        <f t="shared" si="92"/>
        <v>89.39</v>
      </c>
      <c r="AC120" s="3">
        <f t="shared" si="126"/>
        <v>89.39</v>
      </c>
      <c r="AD120" s="3">
        <f t="shared" si="127"/>
        <v>0</v>
      </c>
      <c r="AE120" s="3">
        <f t="shared" si="128"/>
        <v>0</v>
      </c>
      <c r="AF120" s="3">
        <f t="shared" si="129"/>
        <v>0</v>
      </c>
      <c r="AG120" s="3">
        <f t="shared" si="93"/>
        <v>0</v>
      </c>
      <c r="AH120" s="3">
        <f t="shared" si="130"/>
        <v>0</v>
      </c>
      <c r="AI120" s="3">
        <f t="shared" si="131"/>
        <v>0</v>
      </c>
      <c r="AJ120" s="3">
        <f t="shared" si="94"/>
        <v>0</v>
      </c>
      <c r="AK120" s="3">
        <v>89.39</v>
      </c>
      <c r="AL120" s="3">
        <v>89.39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1</v>
      </c>
      <c r="AW120" s="3">
        <v>1</v>
      </c>
      <c r="AZ120" s="3">
        <v>1</v>
      </c>
      <c r="BA120" s="3">
        <v>1</v>
      </c>
      <c r="BB120" s="3">
        <v>1</v>
      </c>
      <c r="BC120" s="3">
        <v>6.76</v>
      </c>
      <c r="BD120" s="3" t="s">
        <v>3</v>
      </c>
      <c r="BE120" s="3" t="s">
        <v>3</v>
      </c>
      <c r="BF120" s="3" t="s">
        <v>3</v>
      </c>
      <c r="BG120" s="3" t="s">
        <v>3</v>
      </c>
      <c r="BH120" s="3">
        <v>3</v>
      </c>
      <c r="BI120" s="3">
        <v>3</v>
      </c>
      <c r="BJ120" s="3" t="s">
        <v>229</v>
      </c>
      <c r="BM120" s="3">
        <v>746</v>
      </c>
      <c r="BN120" s="3">
        <v>0</v>
      </c>
      <c r="BO120" s="3" t="s">
        <v>3</v>
      </c>
      <c r="BP120" s="3">
        <v>0</v>
      </c>
      <c r="BQ120" s="3">
        <v>130</v>
      </c>
      <c r="BR120" s="3">
        <v>0</v>
      </c>
      <c r="BS120" s="3">
        <v>1</v>
      </c>
      <c r="BT120" s="3">
        <v>1</v>
      </c>
      <c r="BU120" s="3">
        <v>1</v>
      </c>
      <c r="BV120" s="3">
        <v>1</v>
      </c>
      <c r="BW120" s="3">
        <v>1</v>
      </c>
      <c r="BX120" s="3">
        <v>1</v>
      </c>
      <c r="BY120" s="3" t="s">
        <v>3</v>
      </c>
      <c r="BZ120" s="3">
        <v>0</v>
      </c>
      <c r="CA120" s="3">
        <v>0</v>
      </c>
      <c r="CB120" s="3" t="s">
        <v>3</v>
      </c>
      <c r="CE120" s="3">
        <v>1566</v>
      </c>
      <c r="CF120" s="3">
        <v>0</v>
      </c>
      <c r="CG120" s="3">
        <v>0</v>
      </c>
      <c r="CM120" s="3">
        <v>0</v>
      </c>
      <c r="CN120" s="3" t="s">
        <v>3</v>
      </c>
      <c r="CO120" s="3">
        <v>0</v>
      </c>
      <c r="CP120" s="3">
        <f t="shared" si="95"/>
        <v>4834.21</v>
      </c>
      <c r="CQ120" s="3">
        <f>ROUND((ROUND((AC120*1),2)*BC120),2)</f>
        <v>604.28</v>
      </c>
      <c r="CR120" s="3">
        <f t="shared" si="132"/>
        <v>0</v>
      </c>
      <c r="CS120" s="3">
        <f t="shared" si="133"/>
        <v>0</v>
      </c>
      <c r="CT120" s="3">
        <f t="shared" si="97"/>
        <v>0</v>
      </c>
      <c r="CU120" s="3">
        <f t="shared" si="98"/>
        <v>0</v>
      </c>
      <c r="CV120" s="3">
        <f t="shared" si="99"/>
        <v>0</v>
      </c>
      <c r="CW120" s="3">
        <f t="shared" si="100"/>
        <v>0</v>
      </c>
      <c r="CX120" s="3">
        <f t="shared" si="101"/>
        <v>0</v>
      </c>
      <c r="CY120" s="3">
        <f t="shared" si="134"/>
        <v>0</v>
      </c>
      <c r="CZ120" s="3">
        <f t="shared" si="135"/>
        <v>0</v>
      </c>
      <c r="DC120" s="3" t="s">
        <v>3</v>
      </c>
      <c r="DD120" s="3" t="s">
        <v>3</v>
      </c>
      <c r="DE120" s="3" t="s">
        <v>3</v>
      </c>
      <c r="DF120" s="3" t="s">
        <v>3</v>
      </c>
      <c r="DG120" s="3" t="s">
        <v>3</v>
      </c>
      <c r="DH120" s="3" t="s">
        <v>3</v>
      </c>
      <c r="DI120" s="3" t="s">
        <v>3</v>
      </c>
      <c r="DJ120" s="3" t="s">
        <v>3</v>
      </c>
      <c r="DK120" s="3" t="s">
        <v>3</v>
      </c>
      <c r="DL120" s="3" t="s">
        <v>3</v>
      </c>
      <c r="DM120" s="3" t="s">
        <v>3</v>
      </c>
      <c r="DN120" s="3">
        <v>0</v>
      </c>
      <c r="DO120" s="3">
        <v>0</v>
      </c>
      <c r="DP120" s="3">
        <v>1</v>
      </c>
      <c r="DQ120" s="3">
        <v>1</v>
      </c>
      <c r="DU120" s="3">
        <v>1010</v>
      </c>
      <c r="DV120" s="3" t="s">
        <v>228</v>
      </c>
      <c r="DW120" s="3" t="s">
        <v>228</v>
      </c>
      <c r="DX120" s="3">
        <v>1</v>
      </c>
      <c r="DZ120" s="3" t="s">
        <v>3</v>
      </c>
      <c r="EA120" s="3" t="s">
        <v>3</v>
      </c>
      <c r="EB120" s="3" t="s">
        <v>3</v>
      </c>
      <c r="EC120" s="3" t="s">
        <v>3</v>
      </c>
      <c r="EE120" s="3">
        <v>57248777</v>
      </c>
      <c r="EF120" s="3">
        <v>130</v>
      </c>
      <c r="EG120" s="3" t="s">
        <v>230</v>
      </c>
      <c r="EH120" s="3">
        <v>0</v>
      </c>
      <c r="EI120" s="3" t="s">
        <v>3</v>
      </c>
      <c r="EJ120" s="3">
        <v>3</v>
      </c>
      <c r="EK120" s="3">
        <v>746</v>
      </c>
      <c r="EL120" s="3" t="s">
        <v>231</v>
      </c>
      <c r="EM120" s="3" t="s">
        <v>232</v>
      </c>
      <c r="EO120" s="3" t="s">
        <v>3</v>
      </c>
      <c r="EQ120" s="3">
        <v>131072</v>
      </c>
      <c r="ER120" s="3">
        <v>89.39</v>
      </c>
      <c r="ES120" s="3">
        <v>89.39</v>
      </c>
      <c r="ET120" s="3">
        <v>0</v>
      </c>
      <c r="EU120" s="3">
        <v>0</v>
      </c>
      <c r="EV120" s="3">
        <v>0</v>
      </c>
      <c r="EW120" s="3">
        <v>0</v>
      </c>
      <c r="EX120" s="3">
        <v>0</v>
      </c>
      <c r="EY120" s="3">
        <v>0</v>
      </c>
      <c r="FQ120" s="3">
        <v>0</v>
      </c>
      <c r="FR120" s="3">
        <f t="shared" si="136"/>
        <v>4834.21</v>
      </c>
      <c r="FS120" s="3">
        <v>0</v>
      </c>
      <c r="FX120" s="3">
        <v>0</v>
      </c>
      <c r="FY120" s="3">
        <v>0</v>
      </c>
      <c r="GA120" s="3" t="s">
        <v>3</v>
      </c>
      <c r="GD120" s="3">
        <v>1</v>
      </c>
      <c r="GF120" s="3">
        <v>-1920167778</v>
      </c>
      <c r="GG120" s="3">
        <v>2</v>
      </c>
      <c r="GH120" s="3">
        <v>1</v>
      </c>
      <c r="GI120" s="3">
        <v>2</v>
      </c>
      <c r="GJ120" s="3">
        <v>0</v>
      </c>
      <c r="GK120" s="3">
        <v>0</v>
      </c>
      <c r="GL120" s="3">
        <f t="shared" si="102"/>
        <v>0</v>
      </c>
      <c r="GM120" s="3">
        <f t="shared" si="103"/>
        <v>4834.21</v>
      </c>
      <c r="GN120" s="3">
        <f t="shared" si="104"/>
        <v>0</v>
      </c>
      <c r="GO120" s="3">
        <f t="shared" si="105"/>
        <v>0</v>
      </c>
      <c r="GP120" s="3">
        <f t="shared" si="106"/>
        <v>0</v>
      </c>
      <c r="GR120" s="3">
        <v>0</v>
      </c>
      <c r="GS120" s="3">
        <v>3</v>
      </c>
      <c r="GT120" s="3">
        <v>0</v>
      </c>
      <c r="GU120" s="3" t="s">
        <v>3</v>
      </c>
      <c r="GV120" s="3">
        <f t="shared" si="107"/>
        <v>0</v>
      </c>
      <c r="GW120" s="3">
        <v>1</v>
      </c>
      <c r="GX120" s="3">
        <f t="shared" si="108"/>
        <v>0</v>
      </c>
      <c r="HA120" s="3">
        <v>0</v>
      </c>
      <c r="HB120" s="3">
        <v>0</v>
      </c>
      <c r="HC120" s="3">
        <f t="shared" si="109"/>
        <v>0</v>
      </c>
      <c r="HE120" s="3" t="s">
        <v>3</v>
      </c>
      <c r="HF120" s="3" t="s">
        <v>3</v>
      </c>
      <c r="HM120" s="3" t="s">
        <v>3</v>
      </c>
      <c r="HN120" s="3" t="s">
        <v>3</v>
      </c>
      <c r="HO120" s="3" t="s">
        <v>3</v>
      </c>
      <c r="HP120" s="3" t="s">
        <v>3</v>
      </c>
      <c r="HQ120" s="3" t="s">
        <v>3</v>
      </c>
      <c r="HS120" s="3">
        <v>0</v>
      </c>
      <c r="IK120" s="3">
        <v>0</v>
      </c>
    </row>
    <row r="121" spans="1:255" x14ac:dyDescent="0.2">
      <c r="A121" s="2">
        <v>17</v>
      </c>
      <c r="B121" s="2">
        <v>1</v>
      </c>
      <c r="C121" s="2"/>
      <c r="D121" s="2"/>
      <c r="E121" s="2" t="s">
        <v>233</v>
      </c>
      <c r="F121" s="2" t="s">
        <v>234</v>
      </c>
      <c r="G121" s="2" t="s">
        <v>235</v>
      </c>
      <c r="H121" s="2" t="s">
        <v>228</v>
      </c>
      <c r="I121" s="2">
        <v>2</v>
      </c>
      <c r="J121" s="2">
        <v>0</v>
      </c>
      <c r="K121" s="2">
        <v>2</v>
      </c>
      <c r="L121" s="2"/>
      <c r="M121" s="2"/>
      <c r="N121" s="2"/>
      <c r="O121" s="2">
        <f t="shared" si="85"/>
        <v>556.70000000000005</v>
      </c>
      <c r="P121" s="2">
        <f>ROUND((ROUND((AC121*I121),2)*BC121),2)</f>
        <v>556.70000000000005</v>
      </c>
      <c r="Q121" s="2">
        <f t="shared" si="122"/>
        <v>0</v>
      </c>
      <c r="R121" s="2">
        <f t="shared" si="123"/>
        <v>0</v>
      </c>
      <c r="S121" s="2">
        <f t="shared" si="87"/>
        <v>0</v>
      </c>
      <c r="T121" s="2">
        <f t="shared" si="88"/>
        <v>0</v>
      </c>
      <c r="U121" s="2">
        <f t="shared" si="89"/>
        <v>0</v>
      </c>
      <c r="V121" s="2">
        <f t="shared" si="90"/>
        <v>0</v>
      </c>
      <c r="W121" s="2">
        <f t="shared" si="91"/>
        <v>0</v>
      </c>
      <c r="X121" s="2">
        <f t="shared" si="124"/>
        <v>0</v>
      </c>
      <c r="Y121" s="2">
        <f t="shared" si="125"/>
        <v>0</v>
      </c>
      <c r="Z121" s="2"/>
      <c r="AA121" s="2">
        <v>57248835</v>
      </c>
      <c r="AB121" s="2">
        <f t="shared" si="92"/>
        <v>278.35000000000002</v>
      </c>
      <c r="AC121" s="2">
        <f t="shared" si="126"/>
        <v>278.35000000000002</v>
      </c>
      <c r="AD121" s="2">
        <f t="shared" si="127"/>
        <v>0</v>
      </c>
      <c r="AE121" s="2">
        <f t="shared" si="128"/>
        <v>0</v>
      </c>
      <c r="AF121" s="2">
        <f t="shared" si="129"/>
        <v>0</v>
      </c>
      <c r="AG121" s="2">
        <f t="shared" si="93"/>
        <v>0</v>
      </c>
      <c r="AH121" s="2">
        <f t="shared" si="130"/>
        <v>0</v>
      </c>
      <c r="AI121" s="2">
        <f t="shared" si="131"/>
        <v>0</v>
      </c>
      <c r="AJ121" s="2">
        <f t="shared" si="94"/>
        <v>0</v>
      </c>
      <c r="AK121" s="2">
        <v>278.35000000000002</v>
      </c>
      <c r="AL121" s="2">
        <v>278.35000000000002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3</v>
      </c>
      <c r="BJ121" s="2" t="s">
        <v>236</v>
      </c>
      <c r="BK121" s="2"/>
      <c r="BL121" s="2"/>
      <c r="BM121" s="2">
        <v>746</v>
      </c>
      <c r="BN121" s="2">
        <v>0</v>
      </c>
      <c r="BO121" s="2" t="s">
        <v>3</v>
      </c>
      <c r="BP121" s="2">
        <v>0</v>
      </c>
      <c r="BQ121" s="2">
        <v>130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0</v>
      </c>
      <c r="CA121" s="2">
        <v>0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3</v>
      </c>
      <c r="CO121" s="2">
        <v>0</v>
      </c>
      <c r="CP121" s="2">
        <f t="shared" si="95"/>
        <v>556.70000000000005</v>
      </c>
      <c r="CQ121" s="2">
        <f>ROUND((ROUND((AC121*1),2)*BC121),2)</f>
        <v>278.35000000000002</v>
      </c>
      <c r="CR121" s="2">
        <f t="shared" si="132"/>
        <v>0</v>
      </c>
      <c r="CS121" s="2">
        <f t="shared" si="133"/>
        <v>0</v>
      </c>
      <c r="CT121" s="2">
        <f t="shared" si="97"/>
        <v>0</v>
      </c>
      <c r="CU121" s="2">
        <f t="shared" si="98"/>
        <v>0</v>
      </c>
      <c r="CV121" s="2">
        <f t="shared" si="99"/>
        <v>0</v>
      </c>
      <c r="CW121" s="2">
        <f t="shared" si="100"/>
        <v>0</v>
      </c>
      <c r="CX121" s="2">
        <f t="shared" si="101"/>
        <v>0</v>
      </c>
      <c r="CY121" s="2">
        <f t="shared" si="134"/>
        <v>0</v>
      </c>
      <c r="CZ121" s="2">
        <f t="shared" si="135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228</v>
      </c>
      <c r="DW121" s="2" t="s">
        <v>228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57248777</v>
      </c>
      <c r="EF121" s="2">
        <v>130</v>
      </c>
      <c r="EG121" s="2" t="s">
        <v>230</v>
      </c>
      <c r="EH121" s="2">
        <v>0</v>
      </c>
      <c r="EI121" s="2" t="s">
        <v>3</v>
      </c>
      <c r="EJ121" s="2">
        <v>3</v>
      </c>
      <c r="EK121" s="2">
        <v>746</v>
      </c>
      <c r="EL121" s="2" t="s">
        <v>231</v>
      </c>
      <c r="EM121" s="2" t="s">
        <v>232</v>
      </c>
      <c r="EN121" s="2"/>
      <c r="EO121" s="2" t="s">
        <v>3</v>
      </c>
      <c r="EP121" s="2"/>
      <c r="EQ121" s="2">
        <v>131072</v>
      </c>
      <c r="ER121" s="2">
        <v>278.35000000000002</v>
      </c>
      <c r="ES121" s="2">
        <v>278.35000000000002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f t="shared" si="136"/>
        <v>556.70000000000005</v>
      </c>
      <c r="FS121" s="2">
        <v>0</v>
      </c>
      <c r="FT121" s="2"/>
      <c r="FU121" s="2"/>
      <c r="FV121" s="2"/>
      <c r="FW121" s="2"/>
      <c r="FX121" s="2">
        <v>0</v>
      </c>
      <c r="FY121" s="2">
        <v>0</v>
      </c>
      <c r="FZ121" s="2"/>
      <c r="GA121" s="2" t="s">
        <v>3</v>
      </c>
      <c r="GB121" s="2"/>
      <c r="GC121" s="2"/>
      <c r="GD121" s="2">
        <v>1</v>
      </c>
      <c r="GE121" s="2"/>
      <c r="GF121" s="2">
        <v>1272847060</v>
      </c>
      <c r="GG121" s="2">
        <v>2</v>
      </c>
      <c r="GH121" s="2">
        <v>1</v>
      </c>
      <c r="GI121" s="2">
        <v>-2</v>
      </c>
      <c r="GJ121" s="2">
        <v>0</v>
      </c>
      <c r="GK121" s="2">
        <v>0</v>
      </c>
      <c r="GL121" s="2">
        <f t="shared" si="102"/>
        <v>0</v>
      </c>
      <c r="GM121" s="2">
        <f t="shared" si="103"/>
        <v>556.70000000000005</v>
      </c>
      <c r="GN121" s="2">
        <f t="shared" si="104"/>
        <v>0</v>
      </c>
      <c r="GO121" s="2">
        <f t="shared" si="105"/>
        <v>0</v>
      </c>
      <c r="GP121" s="2">
        <f t="shared" si="106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07"/>
        <v>0</v>
      </c>
      <c r="GW121" s="2">
        <v>1</v>
      </c>
      <c r="GX121" s="2">
        <f t="shared" si="108"/>
        <v>0</v>
      </c>
      <c r="GY121" s="2"/>
      <c r="GZ121" s="2"/>
      <c r="HA121" s="2">
        <v>0</v>
      </c>
      <c r="HB121" s="2">
        <v>0</v>
      </c>
      <c r="HC121" s="2">
        <f t="shared" si="109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3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3">
        <v>17</v>
      </c>
      <c r="B122" s="3">
        <v>1</v>
      </c>
      <c r="E122" s="3" t="s">
        <v>233</v>
      </c>
      <c r="F122" s="3" t="s">
        <v>234</v>
      </c>
      <c r="G122" s="3" t="s">
        <v>235</v>
      </c>
      <c r="H122" s="3" t="s">
        <v>228</v>
      </c>
      <c r="I122" s="3">
        <v>2</v>
      </c>
      <c r="J122" s="3">
        <v>0</v>
      </c>
      <c r="K122" s="3">
        <v>2</v>
      </c>
      <c r="O122" s="3">
        <f t="shared" si="85"/>
        <v>3891.33</v>
      </c>
      <c r="P122" s="3">
        <f>ROUND((ROUND((AC122*I122),2)*BC122),2)</f>
        <v>3891.33</v>
      </c>
      <c r="Q122" s="3">
        <f t="shared" si="122"/>
        <v>0</v>
      </c>
      <c r="R122" s="3">
        <f t="shared" si="123"/>
        <v>0</v>
      </c>
      <c r="S122" s="3">
        <f t="shared" si="87"/>
        <v>0</v>
      </c>
      <c r="T122" s="3">
        <f t="shared" si="88"/>
        <v>0</v>
      </c>
      <c r="U122" s="3">
        <f t="shared" si="89"/>
        <v>0</v>
      </c>
      <c r="V122" s="3">
        <f t="shared" si="90"/>
        <v>0</v>
      </c>
      <c r="W122" s="3">
        <f t="shared" si="91"/>
        <v>0</v>
      </c>
      <c r="X122" s="3">
        <f t="shared" si="124"/>
        <v>0</v>
      </c>
      <c r="Y122" s="3">
        <f t="shared" si="125"/>
        <v>0</v>
      </c>
      <c r="AA122" s="3">
        <v>57248837</v>
      </c>
      <c r="AB122" s="3">
        <f t="shared" si="92"/>
        <v>278.35000000000002</v>
      </c>
      <c r="AC122" s="3">
        <f t="shared" si="126"/>
        <v>278.35000000000002</v>
      </c>
      <c r="AD122" s="3">
        <f t="shared" si="127"/>
        <v>0</v>
      </c>
      <c r="AE122" s="3">
        <f t="shared" si="128"/>
        <v>0</v>
      </c>
      <c r="AF122" s="3">
        <f t="shared" si="129"/>
        <v>0</v>
      </c>
      <c r="AG122" s="3">
        <f t="shared" si="93"/>
        <v>0</v>
      </c>
      <c r="AH122" s="3">
        <f t="shared" si="130"/>
        <v>0</v>
      </c>
      <c r="AI122" s="3">
        <f t="shared" si="131"/>
        <v>0</v>
      </c>
      <c r="AJ122" s="3">
        <f t="shared" si="94"/>
        <v>0</v>
      </c>
      <c r="AK122" s="3">
        <v>278.35000000000002</v>
      </c>
      <c r="AL122" s="3">
        <v>278.35000000000002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1</v>
      </c>
      <c r="AW122" s="3">
        <v>1</v>
      </c>
      <c r="AZ122" s="3">
        <v>1</v>
      </c>
      <c r="BA122" s="3">
        <v>1</v>
      </c>
      <c r="BB122" s="3">
        <v>1</v>
      </c>
      <c r="BC122" s="3">
        <v>6.99</v>
      </c>
      <c r="BD122" s="3" t="s">
        <v>3</v>
      </c>
      <c r="BE122" s="3" t="s">
        <v>3</v>
      </c>
      <c r="BF122" s="3" t="s">
        <v>3</v>
      </c>
      <c r="BG122" s="3" t="s">
        <v>3</v>
      </c>
      <c r="BH122" s="3">
        <v>3</v>
      </c>
      <c r="BI122" s="3">
        <v>3</v>
      </c>
      <c r="BJ122" s="3" t="s">
        <v>236</v>
      </c>
      <c r="BM122" s="3">
        <v>746</v>
      </c>
      <c r="BN122" s="3">
        <v>0</v>
      </c>
      <c r="BO122" s="3" t="s">
        <v>3</v>
      </c>
      <c r="BP122" s="3">
        <v>0</v>
      </c>
      <c r="BQ122" s="3">
        <v>130</v>
      </c>
      <c r="BR122" s="3">
        <v>0</v>
      </c>
      <c r="BS122" s="3">
        <v>1</v>
      </c>
      <c r="BT122" s="3">
        <v>1</v>
      </c>
      <c r="BU122" s="3">
        <v>1</v>
      </c>
      <c r="BV122" s="3">
        <v>1</v>
      </c>
      <c r="BW122" s="3">
        <v>1</v>
      </c>
      <c r="BX122" s="3">
        <v>1</v>
      </c>
      <c r="BY122" s="3" t="s">
        <v>3</v>
      </c>
      <c r="BZ122" s="3">
        <v>0</v>
      </c>
      <c r="CA122" s="3">
        <v>0</v>
      </c>
      <c r="CB122" s="3" t="s">
        <v>3</v>
      </c>
      <c r="CE122" s="3">
        <v>1566</v>
      </c>
      <c r="CF122" s="3">
        <v>0</v>
      </c>
      <c r="CG122" s="3">
        <v>0</v>
      </c>
      <c r="CM122" s="3">
        <v>0</v>
      </c>
      <c r="CN122" s="3" t="s">
        <v>3</v>
      </c>
      <c r="CO122" s="3">
        <v>0</v>
      </c>
      <c r="CP122" s="3">
        <f t="shared" si="95"/>
        <v>3891.33</v>
      </c>
      <c r="CQ122" s="3">
        <f>ROUND((ROUND((AC122*1),2)*BC122),2)</f>
        <v>1945.67</v>
      </c>
      <c r="CR122" s="3">
        <f t="shared" si="132"/>
        <v>0</v>
      </c>
      <c r="CS122" s="3">
        <f t="shared" si="133"/>
        <v>0</v>
      </c>
      <c r="CT122" s="3">
        <f t="shared" si="97"/>
        <v>0</v>
      </c>
      <c r="CU122" s="3">
        <f t="shared" si="98"/>
        <v>0</v>
      </c>
      <c r="CV122" s="3">
        <f t="shared" si="99"/>
        <v>0</v>
      </c>
      <c r="CW122" s="3">
        <f t="shared" si="100"/>
        <v>0</v>
      </c>
      <c r="CX122" s="3">
        <f t="shared" si="101"/>
        <v>0</v>
      </c>
      <c r="CY122" s="3">
        <f t="shared" si="134"/>
        <v>0</v>
      </c>
      <c r="CZ122" s="3">
        <f t="shared" si="135"/>
        <v>0</v>
      </c>
      <c r="DC122" s="3" t="s">
        <v>3</v>
      </c>
      <c r="DD122" s="3" t="s">
        <v>3</v>
      </c>
      <c r="DE122" s="3" t="s">
        <v>3</v>
      </c>
      <c r="DF122" s="3" t="s">
        <v>3</v>
      </c>
      <c r="DG122" s="3" t="s">
        <v>3</v>
      </c>
      <c r="DH122" s="3" t="s">
        <v>3</v>
      </c>
      <c r="DI122" s="3" t="s">
        <v>3</v>
      </c>
      <c r="DJ122" s="3" t="s">
        <v>3</v>
      </c>
      <c r="DK122" s="3" t="s">
        <v>3</v>
      </c>
      <c r="DL122" s="3" t="s">
        <v>3</v>
      </c>
      <c r="DM122" s="3" t="s">
        <v>3</v>
      </c>
      <c r="DN122" s="3">
        <v>0</v>
      </c>
      <c r="DO122" s="3">
        <v>0</v>
      </c>
      <c r="DP122" s="3">
        <v>1</v>
      </c>
      <c r="DQ122" s="3">
        <v>1</v>
      </c>
      <c r="DU122" s="3">
        <v>1010</v>
      </c>
      <c r="DV122" s="3" t="s">
        <v>228</v>
      </c>
      <c r="DW122" s="3" t="s">
        <v>228</v>
      </c>
      <c r="DX122" s="3">
        <v>1</v>
      </c>
      <c r="DZ122" s="3" t="s">
        <v>3</v>
      </c>
      <c r="EA122" s="3" t="s">
        <v>3</v>
      </c>
      <c r="EB122" s="3" t="s">
        <v>3</v>
      </c>
      <c r="EC122" s="3" t="s">
        <v>3</v>
      </c>
      <c r="EE122" s="3">
        <v>57248777</v>
      </c>
      <c r="EF122" s="3">
        <v>130</v>
      </c>
      <c r="EG122" s="3" t="s">
        <v>230</v>
      </c>
      <c r="EH122" s="3">
        <v>0</v>
      </c>
      <c r="EI122" s="3" t="s">
        <v>3</v>
      </c>
      <c r="EJ122" s="3">
        <v>3</v>
      </c>
      <c r="EK122" s="3">
        <v>746</v>
      </c>
      <c r="EL122" s="3" t="s">
        <v>231</v>
      </c>
      <c r="EM122" s="3" t="s">
        <v>232</v>
      </c>
      <c r="EO122" s="3" t="s">
        <v>3</v>
      </c>
      <c r="EQ122" s="3">
        <v>131072</v>
      </c>
      <c r="ER122" s="3">
        <v>278.35000000000002</v>
      </c>
      <c r="ES122" s="3">
        <v>278.35000000000002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FQ122" s="3">
        <v>0</v>
      </c>
      <c r="FR122" s="3">
        <f t="shared" si="136"/>
        <v>3891.33</v>
      </c>
      <c r="FS122" s="3">
        <v>0</v>
      </c>
      <c r="FX122" s="3">
        <v>0</v>
      </c>
      <c r="FY122" s="3">
        <v>0</v>
      </c>
      <c r="GA122" s="3" t="s">
        <v>3</v>
      </c>
      <c r="GD122" s="3">
        <v>1</v>
      </c>
      <c r="GF122" s="3">
        <v>1272847060</v>
      </c>
      <c r="GG122" s="3">
        <v>2</v>
      </c>
      <c r="GH122" s="3">
        <v>1</v>
      </c>
      <c r="GI122" s="3">
        <v>2</v>
      </c>
      <c r="GJ122" s="3">
        <v>0</v>
      </c>
      <c r="GK122" s="3">
        <v>0</v>
      </c>
      <c r="GL122" s="3">
        <f t="shared" si="102"/>
        <v>0</v>
      </c>
      <c r="GM122" s="3">
        <f t="shared" si="103"/>
        <v>3891.33</v>
      </c>
      <c r="GN122" s="3">
        <f t="shared" si="104"/>
        <v>0</v>
      </c>
      <c r="GO122" s="3">
        <f t="shared" si="105"/>
        <v>0</v>
      </c>
      <c r="GP122" s="3">
        <f t="shared" si="106"/>
        <v>0</v>
      </c>
      <c r="GR122" s="3">
        <v>0</v>
      </c>
      <c r="GS122" s="3">
        <v>3</v>
      </c>
      <c r="GT122" s="3">
        <v>0</v>
      </c>
      <c r="GU122" s="3" t="s">
        <v>3</v>
      </c>
      <c r="GV122" s="3">
        <f t="shared" si="107"/>
        <v>0</v>
      </c>
      <c r="GW122" s="3">
        <v>1</v>
      </c>
      <c r="GX122" s="3">
        <f t="shared" si="108"/>
        <v>0</v>
      </c>
      <c r="HA122" s="3">
        <v>0</v>
      </c>
      <c r="HB122" s="3">
        <v>0</v>
      </c>
      <c r="HC122" s="3">
        <f t="shared" si="109"/>
        <v>0</v>
      </c>
      <c r="HE122" s="3" t="s">
        <v>3</v>
      </c>
      <c r="HF122" s="3" t="s">
        <v>3</v>
      </c>
      <c r="HM122" s="3" t="s">
        <v>3</v>
      </c>
      <c r="HN122" s="3" t="s">
        <v>3</v>
      </c>
      <c r="HO122" s="3" t="s">
        <v>3</v>
      </c>
      <c r="HP122" s="3" t="s">
        <v>3</v>
      </c>
      <c r="HQ122" s="3" t="s">
        <v>3</v>
      </c>
      <c r="HS122" s="3">
        <v>0</v>
      </c>
      <c r="IK122" s="3">
        <v>0</v>
      </c>
    </row>
    <row r="123" spans="1:255" x14ac:dyDescent="0.2">
      <c r="A123" s="2">
        <v>17</v>
      </c>
      <c r="B123" s="2">
        <v>1</v>
      </c>
      <c r="C123" s="2">
        <f>ROW(SmtRes!A167)</f>
        <v>167</v>
      </c>
      <c r="D123" s="2">
        <f>ROW(EtalonRes!A221)</f>
        <v>221</v>
      </c>
      <c r="E123" s="2" t="s">
        <v>237</v>
      </c>
      <c r="F123" s="2" t="s">
        <v>51</v>
      </c>
      <c r="G123" s="2" t="s">
        <v>238</v>
      </c>
      <c r="H123" s="2" t="s">
        <v>29</v>
      </c>
      <c r="I123" s="2">
        <v>8</v>
      </c>
      <c r="J123" s="2">
        <v>0</v>
      </c>
      <c r="K123" s="2">
        <v>8</v>
      </c>
      <c r="L123" s="2"/>
      <c r="M123" s="2"/>
      <c r="N123" s="2"/>
      <c r="O123" s="2">
        <f t="shared" si="85"/>
        <v>223.77</v>
      </c>
      <c r="P123" s="2">
        <f t="shared" ref="P123:P132" si="137">ROUND((ROUND((AC123*AW123*I123),2)*BC123),2)</f>
        <v>10.08</v>
      </c>
      <c r="Q123" s="2">
        <f>(ROUND((ROUND((((ET123*1.2))*AV123*I123),2)*BB123),2)+ROUND((ROUND(((AE123-((EU123*1.2)))*AV123*I123),2)*BS123),2))</f>
        <v>0.6</v>
      </c>
      <c r="R123" s="2">
        <f>(ROUND((ROUND((((EU123*1.2))*AV123*I123),2)*BS123),2)+ROUND((ROUND(((AE123-((EU123*1.2)))*AV123*I123),2)*BS123),2))</f>
        <v>0.1</v>
      </c>
      <c r="S123" s="2">
        <f t="shared" si="87"/>
        <v>213.09</v>
      </c>
      <c r="T123" s="2">
        <f t="shared" si="88"/>
        <v>0</v>
      </c>
      <c r="U123" s="2">
        <f t="shared" si="89"/>
        <v>16.886015999999998</v>
      </c>
      <c r="V123" s="2">
        <f t="shared" si="90"/>
        <v>0</v>
      </c>
      <c r="W123" s="2">
        <f t="shared" si="91"/>
        <v>0</v>
      </c>
      <c r="X123" s="2">
        <f>(ROUND((((S123+ROUND((ROUND((((EU123*1.2))*AV123*I123),2)*BS123),2))*AT123)/100),2)+ROUND(((ROUND((ROUND(((AE123-((EU123*1.2)))*AV123*I123),2)*BS123),2)*AT123)/100),2))</f>
        <v>191.87</v>
      </c>
      <c r="Y123" s="2">
        <f>(ROUND((((S123+ROUND((ROUND((((EU123*1.2))*AV123*I123),2)*BS123),2))*AU123)/100),2)+ROUND(((ROUND((ROUND(((AE123-((EU123*1.2)))*AV123*I123),2)*BS123),2)*AU123)/100),2))</f>
        <v>98.07</v>
      </c>
      <c r="Z123" s="2"/>
      <c r="AA123" s="2">
        <v>57248835</v>
      </c>
      <c r="AB123" s="2">
        <f t="shared" si="92"/>
        <v>26.771999999999998</v>
      </c>
      <c r="AC123" s="2">
        <f>ROUND(((ES123*1)),6)</f>
        <v>1.26</v>
      </c>
      <c r="AD123" s="2">
        <f>ROUND(((((ET123*1.2))-((EU123*1.2)))+AE123),6)</f>
        <v>7.1999999999999995E-2</v>
      </c>
      <c r="AE123" s="2">
        <f>ROUND(((EU123*1.2)),6)</f>
        <v>1.2E-2</v>
      </c>
      <c r="AF123" s="2">
        <f>ROUND(((EV123*1.2)),6)</f>
        <v>25.44</v>
      </c>
      <c r="AG123" s="2">
        <f t="shared" si="93"/>
        <v>0</v>
      </c>
      <c r="AH123" s="2">
        <f>((EW123*1.2))</f>
        <v>2.016</v>
      </c>
      <c r="AI123" s="2">
        <f>((EX123*1.2))</f>
        <v>0</v>
      </c>
      <c r="AJ123" s="2">
        <f t="shared" si="94"/>
        <v>0</v>
      </c>
      <c r="AK123" s="2">
        <v>22.52</v>
      </c>
      <c r="AL123" s="2">
        <v>1.26</v>
      </c>
      <c r="AM123" s="2">
        <v>0.06</v>
      </c>
      <c r="AN123" s="2">
        <v>0.01</v>
      </c>
      <c r="AO123" s="2">
        <v>21.2</v>
      </c>
      <c r="AP123" s="2">
        <v>0</v>
      </c>
      <c r="AQ123" s="2">
        <v>1.68</v>
      </c>
      <c r="AR123" s="2">
        <v>0</v>
      </c>
      <c r="AS123" s="2">
        <v>0</v>
      </c>
      <c r="AT123" s="2">
        <v>90</v>
      </c>
      <c r="AU123" s="2">
        <v>46</v>
      </c>
      <c r="AV123" s="2">
        <v>1.0469999999999999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0</v>
      </c>
      <c r="BI123" s="2">
        <v>2</v>
      </c>
      <c r="BJ123" s="2" t="s">
        <v>53</v>
      </c>
      <c r="BK123" s="2"/>
      <c r="BL123" s="2"/>
      <c r="BM123" s="2">
        <v>68</v>
      </c>
      <c r="BN123" s="2">
        <v>0</v>
      </c>
      <c r="BO123" s="2" t="s">
        <v>51</v>
      </c>
      <c r="BP123" s="2">
        <v>1</v>
      </c>
      <c r="BQ123" s="2">
        <v>40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90</v>
      </c>
      <c r="CA123" s="2">
        <v>46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820</v>
      </c>
      <c r="CO123" s="2">
        <v>0</v>
      </c>
      <c r="CP123" s="2">
        <f t="shared" si="95"/>
        <v>223.77</v>
      </c>
      <c r="CQ123" s="2">
        <f t="shared" ref="CQ123:CQ132" si="138">ROUND((ROUND((AC123*AW123*1),2)*BC123),2)</f>
        <v>1.26</v>
      </c>
      <c r="CR123" s="2">
        <f>(ROUND((ROUND((((ET123*1.2))*AV123*1),2)*BB123),2)+ROUND((ROUND(((AE123-((EU123*1.2)))*AV123*1),2)*BS123),2))</f>
        <v>0.08</v>
      </c>
      <c r="CS123" s="2">
        <f>(ROUND((ROUND((((EU123*1.2))*AV123*1),2)*BS123),2)+ROUND((ROUND(((AE123-((EU123*1.2)))*AV123*1),2)*BS123),2))</f>
        <v>0.01</v>
      </c>
      <c r="CT123" s="2">
        <f t="shared" si="97"/>
        <v>26.64</v>
      </c>
      <c r="CU123" s="2">
        <f t="shared" si="98"/>
        <v>0</v>
      </c>
      <c r="CV123" s="2">
        <f t="shared" si="99"/>
        <v>2.1107519999999997</v>
      </c>
      <c r="CW123" s="2">
        <f t="shared" si="100"/>
        <v>0</v>
      </c>
      <c r="CX123" s="2">
        <f t="shared" si="101"/>
        <v>0</v>
      </c>
      <c r="CY123" s="2">
        <f>(ROUND((((S123+ROUND((ROUND((((EU123*1.2))*AV123*1),2)*BS123),2))*AT123)/100),2)+ROUND(((ROUND((ROUND(((AE123-((EU123*1.2)))*AV123*1),2)*BS123),2)*AT123)/100),2))</f>
        <v>191.79</v>
      </c>
      <c r="CZ123" s="2">
        <f>(ROUND((((S123+ROUND((ROUND((((EU123*1.2))*AV123*1),2)*BS123),2))*AU123)/100),2)+ROUND(((ROUND((ROUND(((AE123-((EU123*1.2)))*AV123*1),2)*BS123),2)*AU123)/100),2))</f>
        <v>98.03</v>
      </c>
      <c r="DA123" s="2"/>
      <c r="DB123" s="2">
        <v>75</v>
      </c>
      <c r="DC123" s="2" t="s">
        <v>3</v>
      </c>
      <c r="DD123" s="2" t="s">
        <v>119</v>
      </c>
      <c r="DE123" s="2" t="s">
        <v>120</v>
      </c>
      <c r="DF123" s="2" t="s">
        <v>120</v>
      </c>
      <c r="DG123" s="2" t="s">
        <v>120</v>
      </c>
      <c r="DH123" s="2" t="s">
        <v>3</v>
      </c>
      <c r="DI123" s="2" t="s">
        <v>120</v>
      </c>
      <c r="DJ123" s="2" t="s">
        <v>120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1013</v>
      </c>
      <c r="DV123" s="2" t="s">
        <v>29</v>
      </c>
      <c r="DW123" s="2" t="s">
        <v>29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57248652</v>
      </c>
      <c r="EF123" s="2">
        <v>40</v>
      </c>
      <c r="EG123" s="2" t="s">
        <v>33</v>
      </c>
      <c r="EH123" s="2">
        <v>0</v>
      </c>
      <c r="EI123" s="2" t="s">
        <v>3</v>
      </c>
      <c r="EJ123" s="2">
        <v>2</v>
      </c>
      <c r="EK123" s="2">
        <v>68</v>
      </c>
      <c r="EL123" s="2" t="s">
        <v>34</v>
      </c>
      <c r="EM123" s="2" t="s">
        <v>35</v>
      </c>
      <c r="EN123" s="2"/>
      <c r="EO123" s="2" t="s">
        <v>124</v>
      </c>
      <c r="EP123" s="2"/>
      <c r="EQ123" s="2">
        <v>131072</v>
      </c>
      <c r="ER123" s="2">
        <v>22.52</v>
      </c>
      <c r="ES123" s="2">
        <v>1.26</v>
      </c>
      <c r="ET123" s="2">
        <v>0.06</v>
      </c>
      <c r="EU123" s="2">
        <v>0.01</v>
      </c>
      <c r="EV123" s="2">
        <v>21.2</v>
      </c>
      <c r="EW123" s="2">
        <v>1.68</v>
      </c>
      <c r="EX123" s="2">
        <v>0</v>
      </c>
      <c r="EY123" s="2">
        <v>0</v>
      </c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90</v>
      </c>
      <c r="FY123" s="2">
        <v>46</v>
      </c>
      <c r="FZ123" s="2"/>
      <c r="GA123" s="2" t="s">
        <v>3</v>
      </c>
      <c r="GB123" s="2"/>
      <c r="GC123" s="2"/>
      <c r="GD123" s="2">
        <v>1</v>
      </c>
      <c r="GE123" s="2"/>
      <c r="GF123" s="2">
        <v>-2112753472</v>
      </c>
      <c r="GG123" s="2">
        <v>2</v>
      </c>
      <c r="GH123" s="2">
        <v>1</v>
      </c>
      <c r="GI123" s="2">
        <v>2</v>
      </c>
      <c r="GJ123" s="2">
        <v>0</v>
      </c>
      <c r="GK123" s="2">
        <v>0</v>
      </c>
      <c r="GL123" s="2">
        <f t="shared" si="102"/>
        <v>0</v>
      </c>
      <c r="GM123" s="2">
        <f t="shared" si="103"/>
        <v>513.71</v>
      </c>
      <c r="GN123" s="2">
        <f t="shared" si="104"/>
        <v>0</v>
      </c>
      <c r="GO123" s="2">
        <f t="shared" si="105"/>
        <v>513.71</v>
      </c>
      <c r="GP123" s="2">
        <f t="shared" si="106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07"/>
        <v>0</v>
      </c>
      <c r="GW123" s="2">
        <v>1</v>
      </c>
      <c r="GX123" s="2">
        <f t="shared" si="108"/>
        <v>0</v>
      </c>
      <c r="GY123" s="2"/>
      <c r="GZ123" s="2"/>
      <c r="HA123" s="2">
        <v>0</v>
      </c>
      <c r="HB123" s="2">
        <v>0</v>
      </c>
      <c r="HC123" s="2">
        <f t="shared" si="109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3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3">
        <v>17</v>
      </c>
      <c r="B124" s="3">
        <v>1</v>
      </c>
      <c r="C124" s="3">
        <f>ROW(SmtRes!A168)</f>
        <v>168</v>
      </c>
      <c r="D124" s="3">
        <f>ROW(EtalonRes!A222)</f>
        <v>222</v>
      </c>
      <c r="E124" s="3" t="s">
        <v>237</v>
      </c>
      <c r="F124" s="3" t="s">
        <v>51</v>
      </c>
      <c r="G124" s="3" t="s">
        <v>238</v>
      </c>
      <c r="H124" s="3" t="s">
        <v>29</v>
      </c>
      <c r="I124" s="3">
        <v>8</v>
      </c>
      <c r="J124" s="3">
        <v>0</v>
      </c>
      <c r="K124" s="3">
        <v>8</v>
      </c>
      <c r="O124" s="3">
        <f t="shared" si="85"/>
        <v>12117.91</v>
      </c>
      <c r="P124" s="3">
        <f t="shared" si="137"/>
        <v>99.19</v>
      </c>
      <c r="Q124" s="3">
        <f>(ROUND((ROUND((((ET124*1.2))*AV124*I124),2)*BB124),2)+ROUND((ROUND(((AE124-((EU124*1.2)))*AV124*I124),2)*BS124),2))</f>
        <v>11.1</v>
      </c>
      <c r="R124" s="3">
        <f>(ROUND((ROUND((((EU124*1.2))*AV124*I124),2)*BS124),2)+ROUND((ROUND(((AE124-((EU124*1.2)))*AV124*I124),2)*BS124),2))</f>
        <v>5.64</v>
      </c>
      <c r="S124" s="3">
        <f t="shared" si="87"/>
        <v>12007.62</v>
      </c>
      <c r="T124" s="3">
        <f t="shared" si="88"/>
        <v>0</v>
      </c>
      <c r="U124" s="3">
        <f t="shared" si="89"/>
        <v>16.886015999999998</v>
      </c>
      <c r="V124" s="3">
        <f t="shared" si="90"/>
        <v>0</v>
      </c>
      <c r="W124" s="3">
        <f t="shared" si="91"/>
        <v>0</v>
      </c>
      <c r="X124" s="3">
        <f>(ROUND((((S124+ROUND((ROUND((((EU124*1.2))*AV124*I124),2)*BS124),2))*AT124)/100),2)+ROUND(((ROUND((ROUND(((AE124-((EU124*1.2)))*AV124*I124),2)*BS124),2)*AT124)/100),2))</f>
        <v>10811.93</v>
      </c>
      <c r="Y124" s="3">
        <f>(ROUND((((S124+ROUND((ROUND((((EU124*1.2))*AV124*I124),2)*BS124),2))*AU124)/100),2)+ROUND(((ROUND((ROUND(((AE124-((EU124*1.2)))*AV124*I124),2)*BS124),2)*AU124)/100),2))</f>
        <v>5526.1</v>
      </c>
      <c r="AA124" s="3">
        <v>57248837</v>
      </c>
      <c r="AB124" s="3">
        <f t="shared" si="92"/>
        <v>26.771999999999998</v>
      </c>
      <c r="AC124" s="3">
        <f>ROUND(((ES124*1)),6)</f>
        <v>1.26</v>
      </c>
      <c r="AD124" s="3">
        <f>ROUND(((((ET124*1.2))-((EU124*1.2)))+AE124),6)</f>
        <v>7.1999999999999995E-2</v>
      </c>
      <c r="AE124" s="3">
        <f>ROUND(((EU124*1.2)),6)</f>
        <v>1.2E-2</v>
      </c>
      <c r="AF124" s="3">
        <f>ROUND(((EV124*1.2)),6)</f>
        <v>25.44</v>
      </c>
      <c r="AG124" s="3">
        <f t="shared" si="93"/>
        <v>0</v>
      </c>
      <c r="AH124" s="3">
        <f>((EW124*1.2))</f>
        <v>2.016</v>
      </c>
      <c r="AI124" s="3">
        <f>((EX124*1.2))</f>
        <v>0</v>
      </c>
      <c r="AJ124" s="3">
        <f t="shared" si="94"/>
        <v>0</v>
      </c>
      <c r="AK124" s="3">
        <v>22.52</v>
      </c>
      <c r="AL124" s="3">
        <v>1.26</v>
      </c>
      <c r="AM124" s="3">
        <v>0.06</v>
      </c>
      <c r="AN124" s="3">
        <v>0.01</v>
      </c>
      <c r="AO124" s="3">
        <v>21.2</v>
      </c>
      <c r="AP124" s="3">
        <v>0</v>
      </c>
      <c r="AQ124" s="3">
        <v>1.68</v>
      </c>
      <c r="AR124" s="3">
        <v>0</v>
      </c>
      <c r="AS124" s="3">
        <v>0</v>
      </c>
      <c r="AT124" s="3">
        <v>90</v>
      </c>
      <c r="AU124" s="3">
        <v>46</v>
      </c>
      <c r="AV124" s="3">
        <v>1.0469999999999999</v>
      </c>
      <c r="AW124" s="3">
        <v>1</v>
      </c>
      <c r="AZ124" s="3">
        <v>1</v>
      </c>
      <c r="BA124" s="3">
        <v>56.35</v>
      </c>
      <c r="BB124" s="3">
        <v>18.5</v>
      </c>
      <c r="BC124" s="3">
        <v>9.84</v>
      </c>
      <c r="BD124" s="3" t="s">
        <v>3</v>
      </c>
      <c r="BE124" s="3" t="s">
        <v>3</v>
      </c>
      <c r="BF124" s="3" t="s">
        <v>3</v>
      </c>
      <c r="BG124" s="3" t="s">
        <v>3</v>
      </c>
      <c r="BH124" s="3">
        <v>0</v>
      </c>
      <c r="BI124" s="3">
        <v>2</v>
      </c>
      <c r="BJ124" s="3" t="s">
        <v>53</v>
      </c>
      <c r="BM124" s="3">
        <v>68</v>
      </c>
      <c r="BN124" s="3">
        <v>0</v>
      </c>
      <c r="BO124" s="3" t="s">
        <v>51</v>
      </c>
      <c r="BP124" s="3">
        <v>1</v>
      </c>
      <c r="BQ124" s="3">
        <v>40</v>
      </c>
      <c r="BR124" s="3">
        <v>0</v>
      </c>
      <c r="BS124" s="3">
        <v>56.35</v>
      </c>
      <c r="BT124" s="3">
        <v>1</v>
      </c>
      <c r="BU124" s="3">
        <v>1</v>
      </c>
      <c r="BV124" s="3">
        <v>1</v>
      </c>
      <c r="BW124" s="3">
        <v>1</v>
      </c>
      <c r="BX124" s="3">
        <v>1</v>
      </c>
      <c r="BY124" s="3" t="s">
        <v>3</v>
      </c>
      <c r="BZ124" s="3">
        <v>90</v>
      </c>
      <c r="CA124" s="3">
        <v>46</v>
      </c>
      <c r="CB124" s="3" t="s">
        <v>3</v>
      </c>
      <c r="CE124" s="3">
        <v>1566</v>
      </c>
      <c r="CF124" s="3">
        <v>0</v>
      </c>
      <c r="CG124" s="3">
        <v>0</v>
      </c>
      <c r="CM124" s="3">
        <v>0</v>
      </c>
      <c r="CN124" s="3" t="s">
        <v>820</v>
      </c>
      <c r="CO124" s="3">
        <v>0</v>
      </c>
      <c r="CP124" s="3">
        <f t="shared" si="95"/>
        <v>12117.910000000002</v>
      </c>
      <c r="CQ124" s="3">
        <f t="shared" si="138"/>
        <v>12.4</v>
      </c>
      <c r="CR124" s="3">
        <f>(ROUND((ROUND((((ET124*1.2))*AV124*1),2)*BB124),2)+ROUND((ROUND(((AE124-((EU124*1.2)))*AV124*1),2)*BS124),2))</f>
        <v>1.48</v>
      </c>
      <c r="CS124" s="3">
        <f>(ROUND((ROUND((((EU124*1.2))*AV124*1),2)*BS124),2)+ROUND((ROUND(((AE124-((EU124*1.2)))*AV124*1),2)*BS124),2))</f>
        <v>0.56000000000000005</v>
      </c>
      <c r="CT124" s="3">
        <f t="shared" si="97"/>
        <v>1501.16</v>
      </c>
      <c r="CU124" s="3">
        <f t="shared" si="98"/>
        <v>0</v>
      </c>
      <c r="CV124" s="3">
        <f t="shared" si="99"/>
        <v>2.1107519999999997</v>
      </c>
      <c r="CW124" s="3">
        <f t="shared" si="100"/>
        <v>0</v>
      </c>
      <c r="CX124" s="3">
        <f t="shared" si="101"/>
        <v>0</v>
      </c>
      <c r="CY124" s="3">
        <f>(ROUND((((S124+ROUND((ROUND((((EU124*1.2))*AV124*1),2)*BS124),2))*AT124)/100),2)+ROUND(((ROUND((ROUND(((AE124-((EU124*1.2)))*AV124*1),2)*BS124),2)*AT124)/100),2))</f>
        <v>10807.36</v>
      </c>
      <c r="CZ124" s="3">
        <f>(ROUND((((S124+ROUND((ROUND((((EU124*1.2))*AV124*1),2)*BS124),2))*AU124)/100),2)+ROUND(((ROUND((ROUND(((AE124-((EU124*1.2)))*AV124*1),2)*BS124),2)*AU124)/100),2))</f>
        <v>5523.76</v>
      </c>
      <c r="DB124" s="3">
        <v>76</v>
      </c>
      <c r="DC124" s="3" t="s">
        <v>3</v>
      </c>
      <c r="DD124" s="3" t="s">
        <v>119</v>
      </c>
      <c r="DE124" s="3" t="s">
        <v>120</v>
      </c>
      <c r="DF124" s="3" t="s">
        <v>120</v>
      </c>
      <c r="DG124" s="3" t="s">
        <v>120</v>
      </c>
      <c r="DH124" s="3" t="s">
        <v>3</v>
      </c>
      <c r="DI124" s="3" t="s">
        <v>120</v>
      </c>
      <c r="DJ124" s="3" t="s">
        <v>120</v>
      </c>
      <c r="DK124" s="3" t="s">
        <v>3</v>
      </c>
      <c r="DL124" s="3" t="s">
        <v>3</v>
      </c>
      <c r="DM124" s="3" t="s">
        <v>3</v>
      </c>
      <c r="DN124" s="3">
        <v>0</v>
      </c>
      <c r="DO124" s="3">
        <v>0</v>
      </c>
      <c r="DP124" s="3">
        <v>1</v>
      </c>
      <c r="DQ124" s="3">
        <v>1</v>
      </c>
      <c r="DU124" s="3">
        <v>1013</v>
      </c>
      <c r="DV124" s="3" t="s">
        <v>29</v>
      </c>
      <c r="DW124" s="3" t="s">
        <v>29</v>
      </c>
      <c r="DX124" s="3">
        <v>1</v>
      </c>
      <c r="DZ124" s="3" t="s">
        <v>3</v>
      </c>
      <c r="EA124" s="3" t="s">
        <v>3</v>
      </c>
      <c r="EB124" s="3" t="s">
        <v>3</v>
      </c>
      <c r="EC124" s="3" t="s">
        <v>3</v>
      </c>
      <c r="EE124" s="3">
        <v>57248652</v>
      </c>
      <c r="EF124" s="3">
        <v>40</v>
      </c>
      <c r="EG124" s="3" t="s">
        <v>33</v>
      </c>
      <c r="EH124" s="3">
        <v>0</v>
      </c>
      <c r="EI124" s="3" t="s">
        <v>3</v>
      </c>
      <c r="EJ124" s="3">
        <v>2</v>
      </c>
      <c r="EK124" s="3">
        <v>68</v>
      </c>
      <c r="EL124" s="3" t="s">
        <v>34</v>
      </c>
      <c r="EM124" s="3" t="s">
        <v>35</v>
      </c>
      <c r="EO124" s="3" t="s">
        <v>124</v>
      </c>
      <c r="EQ124" s="3">
        <v>131072</v>
      </c>
      <c r="ER124" s="3">
        <v>22.52</v>
      </c>
      <c r="ES124" s="3">
        <v>1.26</v>
      </c>
      <c r="ET124" s="3">
        <v>0.06</v>
      </c>
      <c r="EU124" s="3">
        <v>0.01</v>
      </c>
      <c r="EV124" s="3">
        <v>21.2</v>
      </c>
      <c r="EW124" s="3">
        <v>1.68</v>
      </c>
      <c r="EX124" s="3">
        <v>0</v>
      </c>
      <c r="EY124" s="3">
        <v>0</v>
      </c>
      <c r="FQ124" s="3">
        <v>0</v>
      </c>
      <c r="FR124" s="3">
        <v>0</v>
      </c>
      <c r="FS124" s="3">
        <v>0</v>
      </c>
      <c r="FX124" s="3">
        <v>90</v>
      </c>
      <c r="FY124" s="3">
        <v>46</v>
      </c>
      <c r="GA124" s="3" t="s">
        <v>3</v>
      </c>
      <c r="GD124" s="3">
        <v>1</v>
      </c>
      <c r="GF124" s="3">
        <v>-2112753472</v>
      </c>
      <c r="GG124" s="3">
        <v>2</v>
      </c>
      <c r="GH124" s="3">
        <v>1</v>
      </c>
      <c r="GI124" s="3">
        <v>2</v>
      </c>
      <c r="GJ124" s="3">
        <v>0</v>
      </c>
      <c r="GK124" s="3">
        <v>0</v>
      </c>
      <c r="GL124" s="3">
        <f t="shared" si="102"/>
        <v>0</v>
      </c>
      <c r="GM124" s="3">
        <f t="shared" si="103"/>
        <v>28455.94</v>
      </c>
      <c r="GN124" s="3">
        <f t="shared" si="104"/>
        <v>0</v>
      </c>
      <c r="GO124" s="3">
        <f t="shared" si="105"/>
        <v>28455.94</v>
      </c>
      <c r="GP124" s="3">
        <f t="shared" si="106"/>
        <v>0</v>
      </c>
      <c r="GR124" s="3">
        <v>0</v>
      </c>
      <c r="GS124" s="3">
        <v>3</v>
      </c>
      <c r="GT124" s="3">
        <v>0</v>
      </c>
      <c r="GU124" s="3" t="s">
        <v>3</v>
      </c>
      <c r="GV124" s="3">
        <f t="shared" si="107"/>
        <v>0</v>
      </c>
      <c r="GW124" s="3">
        <v>1</v>
      </c>
      <c r="GX124" s="3">
        <f t="shared" si="108"/>
        <v>0</v>
      </c>
      <c r="HA124" s="3">
        <v>0</v>
      </c>
      <c r="HB124" s="3">
        <v>0</v>
      </c>
      <c r="HC124" s="3">
        <f t="shared" si="109"/>
        <v>0</v>
      </c>
      <c r="HE124" s="3" t="s">
        <v>3</v>
      </c>
      <c r="HF124" s="3" t="s">
        <v>3</v>
      </c>
      <c r="HM124" s="3" t="s">
        <v>3</v>
      </c>
      <c r="HN124" s="3" t="s">
        <v>3</v>
      </c>
      <c r="HO124" s="3" t="s">
        <v>3</v>
      </c>
      <c r="HP124" s="3" t="s">
        <v>3</v>
      </c>
      <c r="HQ124" s="3" t="s">
        <v>3</v>
      </c>
      <c r="HS124" s="3">
        <v>0</v>
      </c>
      <c r="IK124" s="3">
        <v>0</v>
      </c>
    </row>
    <row r="125" spans="1:255" x14ac:dyDescent="0.2">
      <c r="A125" s="2">
        <v>17</v>
      </c>
      <c r="B125" s="2">
        <v>1</v>
      </c>
      <c r="C125" s="2"/>
      <c r="D125" s="2"/>
      <c r="E125" s="2" t="s">
        <v>239</v>
      </c>
      <c r="F125" s="2" t="s">
        <v>240</v>
      </c>
      <c r="G125" s="2" t="s">
        <v>241</v>
      </c>
      <c r="H125" s="2" t="s">
        <v>192</v>
      </c>
      <c r="I125" s="2">
        <v>8</v>
      </c>
      <c r="J125" s="2">
        <v>0</v>
      </c>
      <c r="K125" s="2">
        <v>8</v>
      </c>
      <c r="L125" s="2"/>
      <c r="M125" s="2"/>
      <c r="N125" s="2"/>
      <c r="O125" s="2">
        <f t="shared" si="85"/>
        <v>1401.36</v>
      </c>
      <c r="P125" s="2">
        <f t="shared" si="137"/>
        <v>1401.36</v>
      </c>
      <c r="Q125" s="2">
        <f>(ROUND((ROUND(((ET125)*AV125*I125),2)*BB125),2)+ROUND((ROUND(((AE125-(EU125))*AV125*I125),2)*BS125),2))</f>
        <v>0</v>
      </c>
      <c r="R125" s="2">
        <f>(ROUND((ROUND(((EU125)*AV125*I125),2)*BS125),2)+ROUND((ROUND(((AE125-(EU125))*AV125*I125),2)*BS125),2))</f>
        <v>0</v>
      </c>
      <c r="S125" s="2">
        <f t="shared" si="87"/>
        <v>0</v>
      </c>
      <c r="T125" s="2">
        <f t="shared" si="88"/>
        <v>0</v>
      </c>
      <c r="U125" s="2">
        <f t="shared" si="89"/>
        <v>0</v>
      </c>
      <c r="V125" s="2">
        <f t="shared" si="90"/>
        <v>0</v>
      </c>
      <c r="W125" s="2">
        <f t="shared" si="91"/>
        <v>0</v>
      </c>
      <c r="X125" s="2">
        <f>(ROUND((((S125+ROUND((ROUND(((EU125)*AV125*I125),2)*BS125),2))*AT125)/100),2)+ROUND(((ROUND((ROUND(((AE125-(EU125))*AV125*I125),2)*BS125),2)*AT125)/100),2))</f>
        <v>0</v>
      </c>
      <c r="Y125" s="2">
        <f>(ROUND((((S125+ROUND((ROUND(((EU125)*AV125*I125),2)*BS125),2))*AU125)/100),2)+ROUND(((ROUND((ROUND(((AE125-(EU125))*AV125*I125),2)*BS125),2)*AU125)/100),2))</f>
        <v>0</v>
      </c>
      <c r="Z125" s="2"/>
      <c r="AA125" s="2">
        <v>57248835</v>
      </c>
      <c r="AB125" s="2">
        <f t="shared" si="92"/>
        <v>175.17</v>
      </c>
      <c r="AC125" s="2">
        <f>ROUND((ES125),6)</f>
        <v>175.17</v>
      </c>
      <c r="AD125" s="2">
        <f>ROUND((((ET125)-(EU125))+AE125),6)</f>
        <v>0</v>
      </c>
      <c r="AE125" s="2">
        <f>ROUND((EU125),6)</f>
        <v>0</v>
      </c>
      <c r="AF125" s="2">
        <f>ROUND((EV125),6)</f>
        <v>0</v>
      </c>
      <c r="AG125" s="2">
        <f t="shared" si="93"/>
        <v>0</v>
      </c>
      <c r="AH125" s="2">
        <f>(EW125)</f>
        <v>0</v>
      </c>
      <c r="AI125" s="2">
        <f>(EX125)</f>
        <v>0</v>
      </c>
      <c r="AJ125" s="2">
        <f t="shared" si="94"/>
        <v>0</v>
      </c>
      <c r="AK125" s="2">
        <v>175.17000000000002</v>
      </c>
      <c r="AL125" s="2">
        <v>175.17000000000002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3</v>
      </c>
      <c r="BJ125" s="2" t="s">
        <v>240</v>
      </c>
      <c r="BK125" s="2"/>
      <c r="BL125" s="2"/>
      <c r="BM125" s="2">
        <v>400007</v>
      </c>
      <c r="BN125" s="2">
        <v>0</v>
      </c>
      <c r="BO125" s="2" t="s">
        <v>3</v>
      </c>
      <c r="BP125" s="2">
        <v>0</v>
      </c>
      <c r="BQ125" s="2">
        <v>214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0</v>
      </c>
      <c r="CA125" s="2">
        <v>0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3</v>
      </c>
      <c r="CO125" s="2">
        <v>0</v>
      </c>
      <c r="CP125" s="2">
        <f t="shared" si="95"/>
        <v>1401.36</v>
      </c>
      <c r="CQ125" s="2">
        <f t="shared" si="138"/>
        <v>175.17</v>
      </c>
      <c r="CR125" s="2">
        <f>(ROUND((ROUND(((ET125)*AV125*1),2)*BB125),2)+ROUND((ROUND(((AE125-(EU125))*AV125*1),2)*BS125),2))</f>
        <v>0</v>
      </c>
      <c r="CS125" s="2">
        <f>(ROUND((ROUND(((EU125)*AV125*1),2)*BS125),2)+ROUND((ROUND(((AE125-(EU125))*AV125*1),2)*BS125),2))</f>
        <v>0</v>
      </c>
      <c r="CT125" s="2">
        <f t="shared" si="97"/>
        <v>0</v>
      </c>
      <c r="CU125" s="2">
        <f t="shared" si="98"/>
        <v>0</v>
      </c>
      <c r="CV125" s="2">
        <f t="shared" si="99"/>
        <v>0</v>
      </c>
      <c r="CW125" s="2">
        <f t="shared" si="100"/>
        <v>0</v>
      </c>
      <c r="CX125" s="2">
        <f t="shared" si="101"/>
        <v>0</v>
      </c>
      <c r="CY125" s="2">
        <f>(ROUND((((S125+ROUND((ROUND(((EU125)*AV125*1),2)*BS125),2))*AT125)/100),2)+ROUND(((ROUND((ROUND(((AE125-(EU125))*AV125*1),2)*BS125),2)*AT125)/100),2))</f>
        <v>0</v>
      </c>
      <c r="CZ125" s="2">
        <f>(ROUND((((S125+ROUND((ROUND(((EU125)*AV125*1),2)*BS125),2))*AU125)/100),2)+ROUND(((ROUND((ROUND(((AE125-(EU125))*AV125*1),2)*BS125),2)*AU125)/100),2))</f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192</v>
      </c>
      <c r="DW125" s="2" t="s">
        <v>192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57248792</v>
      </c>
      <c r="EF125" s="2">
        <v>214</v>
      </c>
      <c r="EG125" s="2" t="s">
        <v>193</v>
      </c>
      <c r="EH125" s="2">
        <v>0</v>
      </c>
      <c r="EI125" s="2" t="s">
        <v>3</v>
      </c>
      <c r="EJ125" s="2">
        <v>3</v>
      </c>
      <c r="EK125" s="2">
        <v>400007</v>
      </c>
      <c r="EL125" s="2" t="s">
        <v>193</v>
      </c>
      <c r="EM125" s="2" t="s">
        <v>194</v>
      </c>
      <c r="EN125" s="2"/>
      <c r="EO125" s="2" t="s">
        <v>3</v>
      </c>
      <c r="EP125" s="2"/>
      <c r="EQ125" s="2">
        <v>131088</v>
      </c>
      <c r="ER125" s="2">
        <v>0</v>
      </c>
      <c r="ES125" s="2">
        <v>175.17000000000002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f>P125</f>
        <v>1401.36</v>
      </c>
      <c r="FS125" s="2">
        <v>0</v>
      </c>
      <c r="FT125" s="2"/>
      <c r="FU125" s="2"/>
      <c r="FV125" s="2"/>
      <c r="FW125" s="2"/>
      <c r="FX125" s="2">
        <v>0</v>
      </c>
      <c r="FY125" s="2">
        <v>0</v>
      </c>
      <c r="FZ125" s="2"/>
      <c r="GA125" s="2" t="s">
        <v>242</v>
      </c>
      <c r="GB125" s="2"/>
      <c r="GC125" s="2"/>
      <c r="GD125" s="2">
        <v>1</v>
      </c>
      <c r="GE125" s="2"/>
      <c r="GF125" s="2">
        <v>1169306337</v>
      </c>
      <c r="GG125" s="2">
        <v>2</v>
      </c>
      <c r="GH125" s="2">
        <v>4</v>
      </c>
      <c r="GI125" s="2">
        <v>-2</v>
      </c>
      <c r="GJ125" s="2">
        <v>0</v>
      </c>
      <c r="GK125" s="2">
        <v>0</v>
      </c>
      <c r="GL125" s="2">
        <f t="shared" si="102"/>
        <v>0</v>
      </c>
      <c r="GM125" s="2">
        <f t="shared" si="103"/>
        <v>1401.36</v>
      </c>
      <c r="GN125" s="2">
        <f t="shared" si="104"/>
        <v>0</v>
      </c>
      <c r="GO125" s="2">
        <f t="shared" si="105"/>
        <v>0</v>
      </c>
      <c r="GP125" s="2">
        <f t="shared" si="106"/>
        <v>0</v>
      </c>
      <c r="GQ125" s="2"/>
      <c r="GR125" s="2">
        <v>1</v>
      </c>
      <c r="GS125" s="2">
        <v>2</v>
      </c>
      <c r="GT125" s="2">
        <v>0</v>
      </c>
      <c r="GU125" s="2" t="s">
        <v>3</v>
      </c>
      <c r="GV125" s="2">
        <f t="shared" si="107"/>
        <v>0</v>
      </c>
      <c r="GW125" s="2">
        <v>1</v>
      </c>
      <c r="GX125" s="2">
        <f t="shared" si="108"/>
        <v>0</v>
      </c>
      <c r="GY125" s="2"/>
      <c r="GZ125" s="2"/>
      <c r="HA125" s="2">
        <v>0</v>
      </c>
      <c r="HB125" s="2">
        <v>0</v>
      </c>
      <c r="HC125" s="2">
        <f t="shared" si="109"/>
        <v>0</v>
      </c>
      <c r="HD125" s="2"/>
      <c r="HE125" s="2" t="s">
        <v>41</v>
      </c>
      <c r="HF125" s="2" t="s">
        <v>196</v>
      </c>
      <c r="HG125" s="2"/>
      <c r="HH125" s="2"/>
      <c r="HI125" s="2"/>
      <c r="HJ125" s="2"/>
      <c r="HK125" s="2"/>
      <c r="HL125" s="2"/>
      <c r="HM125" s="2" t="s">
        <v>3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3">
        <v>17</v>
      </c>
      <c r="B126" s="3">
        <v>1</v>
      </c>
      <c r="E126" s="3" t="s">
        <v>239</v>
      </c>
      <c r="F126" s="3" t="s">
        <v>240</v>
      </c>
      <c r="G126" s="3" t="s">
        <v>241</v>
      </c>
      <c r="H126" s="3" t="s">
        <v>192</v>
      </c>
      <c r="I126" s="3">
        <v>8</v>
      </c>
      <c r="J126" s="3">
        <v>0</v>
      </c>
      <c r="K126" s="3">
        <v>8</v>
      </c>
      <c r="O126" s="3">
        <f t="shared" si="85"/>
        <v>10608.3</v>
      </c>
      <c r="P126" s="3">
        <f t="shared" si="137"/>
        <v>10608.3</v>
      </c>
      <c r="Q126" s="3">
        <f>(ROUND((ROUND(((ET126)*AV126*I126),2)*BB126),2)+ROUND((ROUND(((AE126-(EU126))*AV126*I126),2)*BS126),2))</f>
        <v>0</v>
      </c>
      <c r="R126" s="3">
        <f>(ROUND((ROUND(((EU126)*AV126*I126),2)*BS126),2)+ROUND((ROUND(((AE126-(EU126))*AV126*I126),2)*BS126),2))</f>
        <v>0</v>
      </c>
      <c r="S126" s="3">
        <f t="shared" si="87"/>
        <v>0</v>
      </c>
      <c r="T126" s="3">
        <f t="shared" si="88"/>
        <v>0</v>
      </c>
      <c r="U126" s="3">
        <f t="shared" si="89"/>
        <v>0</v>
      </c>
      <c r="V126" s="3">
        <f t="shared" si="90"/>
        <v>0</v>
      </c>
      <c r="W126" s="3">
        <f t="shared" si="91"/>
        <v>0</v>
      </c>
      <c r="X126" s="3">
        <f>(ROUND((((S126+ROUND((ROUND(((EU126)*AV126*I126),2)*BS126),2))*AT126)/100),2)+ROUND(((ROUND((ROUND(((AE126-(EU126))*AV126*I126),2)*BS126),2)*AT126)/100),2))</f>
        <v>0</v>
      </c>
      <c r="Y126" s="3">
        <f>(ROUND((((S126+ROUND((ROUND(((EU126)*AV126*I126),2)*BS126),2))*AU126)/100),2)+ROUND(((ROUND((ROUND(((AE126-(EU126))*AV126*I126),2)*BS126),2)*AU126)/100),2))</f>
        <v>0</v>
      </c>
      <c r="AA126" s="3">
        <v>57248837</v>
      </c>
      <c r="AB126" s="3">
        <f t="shared" si="92"/>
        <v>175.17</v>
      </c>
      <c r="AC126" s="3">
        <f>ROUND((ES126),6)</f>
        <v>175.17</v>
      </c>
      <c r="AD126" s="3">
        <f>ROUND((((ET126)-(EU126))+AE126),6)</f>
        <v>0</v>
      </c>
      <c r="AE126" s="3">
        <f>ROUND((EU126),6)</f>
        <v>0</v>
      </c>
      <c r="AF126" s="3">
        <f>ROUND((EV126),6)</f>
        <v>0</v>
      </c>
      <c r="AG126" s="3">
        <f t="shared" si="93"/>
        <v>0</v>
      </c>
      <c r="AH126" s="3">
        <f>(EW126)</f>
        <v>0</v>
      </c>
      <c r="AI126" s="3">
        <f>(EX126)</f>
        <v>0</v>
      </c>
      <c r="AJ126" s="3">
        <f t="shared" si="94"/>
        <v>0</v>
      </c>
      <c r="AK126" s="3">
        <v>175.17000000000002</v>
      </c>
      <c r="AL126" s="3">
        <v>175.17000000000002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1</v>
      </c>
      <c r="AW126" s="3">
        <v>1</v>
      </c>
      <c r="AZ126" s="3">
        <v>1</v>
      </c>
      <c r="BA126" s="3">
        <v>1</v>
      </c>
      <c r="BB126" s="3">
        <v>1</v>
      </c>
      <c r="BC126" s="3">
        <v>7.57</v>
      </c>
      <c r="BD126" s="3" t="s">
        <v>3</v>
      </c>
      <c r="BE126" s="3" t="s">
        <v>3</v>
      </c>
      <c r="BF126" s="3" t="s">
        <v>3</v>
      </c>
      <c r="BG126" s="3" t="s">
        <v>3</v>
      </c>
      <c r="BH126" s="3">
        <v>3</v>
      </c>
      <c r="BI126" s="3">
        <v>3</v>
      </c>
      <c r="BJ126" s="3" t="s">
        <v>240</v>
      </c>
      <c r="BM126" s="3">
        <v>400007</v>
      </c>
      <c r="BN126" s="3">
        <v>0</v>
      </c>
      <c r="BO126" s="3" t="s">
        <v>3</v>
      </c>
      <c r="BP126" s="3">
        <v>0</v>
      </c>
      <c r="BQ126" s="3">
        <v>214</v>
      </c>
      <c r="BR126" s="3">
        <v>0</v>
      </c>
      <c r="BS126" s="3">
        <v>1</v>
      </c>
      <c r="BT126" s="3">
        <v>1</v>
      </c>
      <c r="BU126" s="3">
        <v>1</v>
      </c>
      <c r="BV126" s="3">
        <v>1</v>
      </c>
      <c r="BW126" s="3">
        <v>1</v>
      </c>
      <c r="BX126" s="3">
        <v>1</v>
      </c>
      <c r="BY126" s="3" t="s">
        <v>3</v>
      </c>
      <c r="BZ126" s="3">
        <v>0</v>
      </c>
      <c r="CA126" s="3">
        <v>0</v>
      </c>
      <c r="CB126" s="3" t="s">
        <v>3</v>
      </c>
      <c r="CE126" s="3">
        <v>1566</v>
      </c>
      <c r="CF126" s="3">
        <v>0</v>
      </c>
      <c r="CG126" s="3">
        <v>0</v>
      </c>
      <c r="CM126" s="3">
        <v>0</v>
      </c>
      <c r="CN126" s="3" t="s">
        <v>3</v>
      </c>
      <c r="CO126" s="3">
        <v>0</v>
      </c>
      <c r="CP126" s="3">
        <f t="shared" si="95"/>
        <v>10608.3</v>
      </c>
      <c r="CQ126" s="3">
        <f t="shared" si="138"/>
        <v>1326.04</v>
      </c>
      <c r="CR126" s="3">
        <f>(ROUND((ROUND(((ET126)*AV126*1),2)*BB126),2)+ROUND((ROUND(((AE126-(EU126))*AV126*1),2)*BS126),2))</f>
        <v>0</v>
      </c>
      <c r="CS126" s="3">
        <f>(ROUND((ROUND(((EU126)*AV126*1),2)*BS126),2)+ROUND((ROUND(((AE126-(EU126))*AV126*1),2)*BS126),2))</f>
        <v>0</v>
      </c>
      <c r="CT126" s="3">
        <f t="shared" si="97"/>
        <v>0</v>
      </c>
      <c r="CU126" s="3">
        <f t="shared" si="98"/>
        <v>0</v>
      </c>
      <c r="CV126" s="3">
        <f t="shared" si="99"/>
        <v>0</v>
      </c>
      <c r="CW126" s="3">
        <f t="shared" si="100"/>
        <v>0</v>
      </c>
      <c r="CX126" s="3">
        <f t="shared" si="101"/>
        <v>0</v>
      </c>
      <c r="CY126" s="3">
        <f>(ROUND((((S126+ROUND((ROUND(((EU126)*AV126*1),2)*BS126),2))*AT126)/100),2)+ROUND(((ROUND((ROUND(((AE126-(EU126))*AV126*1),2)*BS126),2)*AT126)/100),2))</f>
        <v>0</v>
      </c>
      <c r="CZ126" s="3">
        <f>(ROUND((((S126+ROUND((ROUND(((EU126)*AV126*1),2)*BS126),2))*AU126)/100),2)+ROUND(((ROUND((ROUND(((AE126-(EU126))*AV126*1),2)*BS126),2)*AU126)/100),2))</f>
        <v>0</v>
      </c>
      <c r="DC126" s="3" t="s">
        <v>3</v>
      </c>
      <c r="DD126" s="3" t="s">
        <v>3</v>
      </c>
      <c r="DE126" s="3" t="s">
        <v>3</v>
      </c>
      <c r="DF126" s="3" t="s">
        <v>3</v>
      </c>
      <c r="DG126" s="3" t="s">
        <v>3</v>
      </c>
      <c r="DH126" s="3" t="s">
        <v>3</v>
      </c>
      <c r="DI126" s="3" t="s">
        <v>3</v>
      </c>
      <c r="DJ126" s="3" t="s">
        <v>3</v>
      </c>
      <c r="DK126" s="3" t="s">
        <v>3</v>
      </c>
      <c r="DL126" s="3" t="s">
        <v>3</v>
      </c>
      <c r="DM126" s="3" t="s">
        <v>3</v>
      </c>
      <c r="DN126" s="3">
        <v>0</v>
      </c>
      <c r="DO126" s="3">
        <v>0</v>
      </c>
      <c r="DP126" s="3">
        <v>1</v>
      </c>
      <c r="DQ126" s="3">
        <v>1</v>
      </c>
      <c r="DU126" s="3">
        <v>1013</v>
      </c>
      <c r="DV126" s="3" t="s">
        <v>192</v>
      </c>
      <c r="DW126" s="3" t="s">
        <v>192</v>
      </c>
      <c r="DX126" s="3">
        <v>1</v>
      </c>
      <c r="DZ126" s="3" t="s">
        <v>3</v>
      </c>
      <c r="EA126" s="3" t="s">
        <v>3</v>
      </c>
      <c r="EB126" s="3" t="s">
        <v>3</v>
      </c>
      <c r="EC126" s="3" t="s">
        <v>3</v>
      </c>
      <c r="EE126" s="3">
        <v>57248792</v>
      </c>
      <c r="EF126" s="3">
        <v>214</v>
      </c>
      <c r="EG126" s="3" t="s">
        <v>193</v>
      </c>
      <c r="EH126" s="3">
        <v>0</v>
      </c>
      <c r="EI126" s="3" t="s">
        <v>3</v>
      </c>
      <c r="EJ126" s="3">
        <v>3</v>
      </c>
      <c r="EK126" s="3">
        <v>400007</v>
      </c>
      <c r="EL126" s="3" t="s">
        <v>193</v>
      </c>
      <c r="EM126" s="3" t="s">
        <v>194</v>
      </c>
      <c r="EO126" s="3" t="s">
        <v>3</v>
      </c>
      <c r="EQ126" s="3">
        <v>131088</v>
      </c>
      <c r="ER126" s="3">
        <v>0</v>
      </c>
      <c r="ES126" s="3">
        <v>175.17000000000002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5</v>
      </c>
      <c r="FC126" s="3">
        <v>1</v>
      </c>
      <c r="FD126" s="3">
        <v>18</v>
      </c>
      <c r="FF126" s="3">
        <v>1552</v>
      </c>
      <c r="FQ126" s="3">
        <v>0</v>
      </c>
      <c r="FR126" s="3">
        <f>P126</f>
        <v>10608.3</v>
      </c>
      <c r="FS126" s="3">
        <v>0</v>
      </c>
      <c r="FX126" s="3">
        <v>0</v>
      </c>
      <c r="FY126" s="3">
        <v>0</v>
      </c>
      <c r="GA126" s="3" t="s">
        <v>242</v>
      </c>
      <c r="GD126" s="3">
        <v>1</v>
      </c>
      <c r="GF126" s="3">
        <v>1169306337</v>
      </c>
      <c r="GG126" s="3">
        <v>2</v>
      </c>
      <c r="GH126" s="3">
        <v>3</v>
      </c>
      <c r="GI126" s="3">
        <v>5</v>
      </c>
      <c r="GJ126" s="3">
        <v>0</v>
      </c>
      <c r="GK126" s="3">
        <v>0</v>
      </c>
      <c r="GL126" s="3">
        <f t="shared" si="102"/>
        <v>0</v>
      </c>
      <c r="GM126" s="3">
        <f t="shared" si="103"/>
        <v>10608.3</v>
      </c>
      <c r="GN126" s="3">
        <f t="shared" si="104"/>
        <v>0</v>
      </c>
      <c r="GO126" s="3">
        <f t="shared" si="105"/>
        <v>0</v>
      </c>
      <c r="GP126" s="3">
        <f t="shared" si="106"/>
        <v>0</v>
      </c>
      <c r="GR126" s="3">
        <v>1</v>
      </c>
      <c r="GS126" s="3">
        <v>1</v>
      </c>
      <c r="GT126" s="3">
        <v>0</v>
      </c>
      <c r="GU126" s="3" t="s">
        <v>3</v>
      </c>
      <c r="GV126" s="3">
        <f t="shared" si="107"/>
        <v>0</v>
      </c>
      <c r="GW126" s="3">
        <v>1</v>
      </c>
      <c r="GX126" s="3">
        <f t="shared" si="108"/>
        <v>0</v>
      </c>
      <c r="HA126" s="3">
        <v>0</v>
      </c>
      <c r="HB126" s="3">
        <v>0</v>
      </c>
      <c r="HC126" s="3">
        <f t="shared" si="109"/>
        <v>0</v>
      </c>
      <c r="HE126" s="3" t="s">
        <v>41</v>
      </c>
      <c r="HF126" s="3" t="s">
        <v>196</v>
      </c>
      <c r="HM126" s="3" t="s">
        <v>3</v>
      </c>
      <c r="HN126" s="3" t="s">
        <v>3</v>
      </c>
      <c r="HO126" s="3" t="s">
        <v>3</v>
      </c>
      <c r="HP126" s="3" t="s">
        <v>3</v>
      </c>
      <c r="HQ126" s="3" t="s">
        <v>3</v>
      </c>
      <c r="HS126" s="3">
        <v>0</v>
      </c>
      <c r="IK126" s="3">
        <v>0</v>
      </c>
    </row>
    <row r="127" spans="1:255" x14ac:dyDescent="0.2">
      <c r="A127" s="2">
        <v>17</v>
      </c>
      <c r="B127" s="2">
        <v>1</v>
      </c>
      <c r="C127" s="2">
        <f>ROW(SmtRes!A171)</f>
        <v>171</v>
      </c>
      <c r="D127" s="2">
        <f>ROW(EtalonRes!A226)</f>
        <v>226</v>
      </c>
      <c r="E127" s="2" t="s">
        <v>243</v>
      </c>
      <c r="F127" s="2" t="s">
        <v>55</v>
      </c>
      <c r="G127" s="2" t="s">
        <v>56</v>
      </c>
      <c r="H127" s="2" t="s">
        <v>29</v>
      </c>
      <c r="I127" s="2">
        <v>4</v>
      </c>
      <c r="J127" s="2">
        <v>0</v>
      </c>
      <c r="K127" s="2">
        <v>4</v>
      </c>
      <c r="L127" s="2"/>
      <c r="M127" s="2"/>
      <c r="N127" s="2"/>
      <c r="O127" s="2">
        <f t="shared" si="85"/>
        <v>66.430000000000007</v>
      </c>
      <c r="P127" s="2">
        <f t="shared" si="137"/>
        <v>6.68</v>
      </c>
      <c r="Q127" s="2">
        <f>(ROUND((ROUND((((ET127*1.2))*AV127*I127),2)*BB127),2)+ROUND((ROUND(((AE127-((EU127*1.2)))*AV127*I127),2)*BS127),2))</f>
        <v>0</v>
      </c>
      <c r="R127" s="2">
        <f>(ROUND((ROUND((((EU127*1.2))*AV127*I127),2)*BS127),2)+ROUND((ROUND(((AE127-((EU127*1.2)))*AV127*I127),2)*BS127),2))</f>
        <v>0</v>
      </c>
      <c r="S127" s="2">
        <f t="shared" si="87"/>
        <v>59.75</v>
      </c>
      <c r="T127" s="2">
        <f t="shared" si="88"/>
        <v>0</v>
      </c>
      <c r="U127" s="2">
        <f t="shared" si="89"/>
        <v>5.0255999999999998</v>
      </c>
      <c r="V127" s="2">
        <f t="shared" si="90"/>
        <v>0</v>
      </c>
      <c r="W127" s="2">
        <f t="shared" si="91"/>
        <v>0</v>
      </c>
      <c r="X127" s="2">
        <f>(ROUND((((S127+ROUND((ROUND((((EU127*1.2))*AV127*I127),2)*BS127),2))*AT127)/100),2)+ROUND(((ROUND((ROUND(((AE127-((EU127*1.2)))*AV127*I127),2)*BS127),2)*AT127)/100),2))</f>
        <v>56.76</v>
      </c>
      <c r="Y127" s="2">
        <f>(ROUND((((S127+ROUND((ROUND((((EU127*1.2))*AV127*I127),2)*BS127),2))*AU127)/100),2)+ROUND(((ROUND((ROUND(((AE127-((EU127*1.2)))*AV127*I127),2)*BS127),2)*AU127)/100),2))</f>
        <v>31.67</v>
      </c>
      <c r="Z127" s="2"/>
      <c r="AA127" s="2">
        <v>57248835</v>
      </c>
      <c r="AB127" s="2">
        <f t="shared" si="92"/>
        <v>15.938000000000001</v>
      </c>
      <c r="AC127" s="2">
        <f>ROUND(((ES127*1)),6)</f>
        <v>1.67</v>
      </c>
      <c r="AD127" s="2">
        <f>ROUND(((((ET127*1.2))-((EU127*1.2)))+AE127),6)</f>
        <v>0</v>
      </c>
      <c r="AE127" s="2">
        <f>ROUND(((EU127*1.2)),6)</f>
        <v>0</v>
      </c>
      <c r="AF127" s="2">
        <f>ROUND(((EV127*1.2)),6)</f>
        <v>14.268000000000001</v>
      </c>
      <c r="AG127" s="2">
        <f t="shared" si="93"/>
        <v>0</v>
      </c>
      <c r="AH127" s="2">
        <f>((EW127*1.2))</f>
        <v>1.2</v>
      </c>
      <c r="AI127" s="2">
        <f>((EX127*1.2))</f>
        <v>0</v>
      </c>
      <c r="AJ127" s="2">
        <f t="shared" si="94"/>
        <v>0</v>
      </c>
      <c r="AK127" s="2">
        <v>13.56</v>
      </c>
      <c r="AL127" s="2">
        <v>1.67</v>
      </c>
      <c r="AM127" s="2">
        <v>0</v>
      </c>
      <c r="AN127" s="2">
        <v>0</v>
      </c>
      <c r="AO127" s="2">
        <v>11.89</v>
      </c>
      <c r="AP127" s="2">
        <v>0</v>
      </c>
      <c r="AQ127" s="2">
        <v>1</v>
      </c>
      <c r="AR127" s="2">
        <v>0</v>
      </c>
      <c r="AS127" s="2">
        <v>0</v>
      </c>
      <c r="AT127" s="2">
        <v>95</v>
      </c>
      <c r="AU127" s="2">
        <v>53</v>
      </c>
      <c r="AV127" s="2">
        <v>1.0469999999999999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0</v>
      </c>
      <c r="BI127" s="2">
        <v>2</v>
      </c>
      <c r="BJ127" s="2" t="s">
        <v>57</v>
      </c>
      <c r="BK127" s="2"/>
      <c r="BL127" s="2"/>
      <c r="BM127" s="2">
        <v>69</v>
      </c>
      <c r="BN127" s="2">
        <v>0</v>
      </c>
      <c r="BO127" s="2" t="s">
        <v>55</v>
      </c>
      <c r="BP127" s="2">
        <v>1</v>
      </c>
      <c r="BQ127" s="2">
        <v>40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95</v>
      </c>
      <c r="CA127" s="2">
        <v>53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820</v>
      </c>
      <c r="CO127" s="2">
        <v>0</v>
      </c>
      <c r="CP127" s="2">
        <f t="shared" si="95"/>
        <v>66.430000000000007</v>
      </c>
      <c r="CQ127" s="2">
        <f t="shared" si="138"/>
        <v>1.67</v>
      </c>
      <c r="CR127" s="2">
        <f>(ROUND((ROUND((((ET127*1.2))*AV127*1),2)*BB127),2)+ROUND((ROUND(((AE127-((EU127*1.2)))*AV127*1),2)*BS127),2))</f>
        <v>0</v>
      </c>
      <c r="CS127" s="2">
        <f>(ROUND((ROUND((((EU127*1.2))*AV127*1),2)*BS127),2)+ROUND((ROUND(((AE127-((EU127*1.2)))*AV127*1),2)*BS127),2))</f>
        <v>0</v>
      </c>
      <c r="CT127" s="2">
        <f t="shared" si="97"/>
        <v>14.94</v>
      </c>
      <c r="CU127" s="2">
        <f t="shared" si="98"/>
        <v>0</v>
      </c>
      <c r="CV127" s="2">
        <f t="shared" si="99"/>
        <v>1.2564</v>
      </c>
      <c r="CW127" s="2">
        <f t="shared" si="100"/>
        <v>0</v>
      </c>
      <c r="CX127" s="2">
        <f t="shared" si="101"/>
        <v>0</v>
      </c>
      <c r="CY127" s="2">
        <f>(ROUND((((S127+ROUND((ROUND((((EU127*1.2))*AV127*1),2)*BS127),2))*AT127)/100),2)+ROUND(((ROUND((ROUND(((AE127-((EU127*1.2)))*AV127*1),2)*BS127),2)*AT127)/100),2))</f>
        <v>56.76</v>
      </c>
      <c r="CZ127" s="2">
        <f>(ROUND((((S127+ROUND((ROUND((((EU127*1.2))*AV127*1),2)*BS127),2))*AU127)/100),2)+ROUND(((ROUND((ROUND(((AE127-((EU127*1.2)))*AV127*1),2)*BS127),2)*AU127)/100),2))</f>
        <v>31.67</v>
      </c>
      <c r="DA127" s="2"/>
      <c r="DB127" s="2">
        <v>77</v>
      </c>
      <c r="DC127" s="2" t="s">
        <v>3</v>
      </c>
      <c r="DD127" s="2" t="s">
        <v>119</v>
      </c>
      <c r="DE127" s="2" t="s">
        <v>120</v>
      </c>
      <c r="DF127" s="2" t="s">
        <v>120</v>
      </c>
      <c r="DG127" s="2" t="s">
        <v>120</v>
      </c>
      <c r="DH127" s="2" t="s">
        <v>3</v>
      </c>
      <c r="DI127" s="2" t="s">
        <v>120</v>
      </c>
      <c r="DJ127" s="2" t="s">
        <v>120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1013</v>
      </c>
      <c r="DV127" s="2" t="s">
        <v>29</v>
      </c>
      <c r="DW127" s="2" t="s">
        <v>29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57248653</v>
      </c>
      <c r="EF127" s="2">
        <v>40</v>
      </c>
      <c r="EG127" s="2" t="s">
        <v>33</v>
      </c>
      <c r="EH127" s="2">
        <v>0</v>
      </c>
      <c r="EI127" s="2" t="s">
        <v>3</v>
      </c>
      <c r="EJ127" s="2">
        <v>2</v>
      </c>
      <c r="EK127" s="2">
        <v>69</v>
      </c>
      <c r="EL127" s="2" t="s">
        <v>58</v>
      </c>
      <c r="EM127" s="2" t="s">
        <v>59</v>
      </c>
      <c r="EN127" s="2"/>
      <c r="EO127" s="2" t="s">
        <v>124</v>
      </c>
      <c r="EP127" s="2"/>
      <c r="EQ127" s="2">
        <v>131072</v>
      </c>
      <c r="ER127" s="2">
        <v>13.56</v>
      </c>
      <c r="ES127" s="2">
        <v>1.67</v>
      </c>
      <c r="ET127" s="2">
        <v>0</v>
      </c>
      <c r="EU127" s="2">
        <v>0</v>
      </c>
      <c r="EV127" s="2">
        <v>11.89</v>
      </c>
      <c r="EW127" s="2">
        <v>1</v>
      </c>
      <c r="EX127" s="2">
        <v>0</v>
      </c>
      <c r="EY127" s="2">
        <v>0</v>
      </c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95</v>
      </c>
      <c r="FY127" s="2">
        <v>53</v>
      </c>
      <c r="FZ127" s="2"/>
      <c r="GA127" s="2" t="s">
        <v>3</v>
      </c>
      <c r="GB127" s="2"/>
      <c r="GC127" s="2"/>
      <c r="GD127" s="2">
        <v>1</v>
      </c>
      <c r="GE127" s="2"/>
      <c r="GF127" s="2">
        <v>205901832</v>
      </c>
      <c r="GG127" s="2">
        <v>2</v>
      </c>
      <c r="GH127" s="2">
        <v>1</v>
      </c>
      <c r="GI127" s="2">
        <v>2</v>
      </c>
      <c r="GJ127" s="2">
        <v>0</v>
      </c>
      <c r="GK127" s="2">
        <v>0</v>
      </c>
      <c r="GL127" s="2">
        <f t="shared" si="102"/>
        <v>0</v>
      </c>
      <c r="GM127" s="2">
        <f t="shared" si="103"/>
        <v>154.86000000000001</v>
      </c>
      <c r="GN127" s="2">
        <f t="shared" si="104"/>
        <v>0</v>
      </c>
      <c r="GO127" s="2">
        <f t="shared" si="105"/>
        <v>154.86000000000001</v>
      </c>
      <c r="GP127" s="2">
        <f t="shared" si="106"/>
        <v>0</v>
      </c>
      <c r="GQ127" s="2"/>
      <c r="GR127" s="2">
        <v>0</v>
      </c>
      <c r="GS127" s="2">
        <v>3</v>
      </c>
      <c r="GT127" s="2">
        <v>0</v>
      </c>
      <c r="GU127" s="2" t="s">
        <v>3</v>
      </c>
      <c r="GV127" s="2">
        <f t="shared" si="107"/>
        <v>0</v>
      </c>
      <c r="GW127" s="2">
        <v>1</v>
      </c>
      <c r="GX127" s="2">
        <f t="shared" si="108"/>
        <v>0</v>
      </c>
      <c r="GY127" s="2"/>
      <c r="GZ127" s="2"/>
      <c r="HA127" s="2">
        <v>0</v>
      </c>
      <c r="HB127" s="2">
        <v>0</v>
      </c>
      <c r="HC127" s="2">
        <f t="shared" si="109"/>
        <v>0</v>
      </c>
      <c r="HD127" s="2"/>
      <c r="HE127" s="2" t="s">
        <v>3</v>
      </c>
      <c r="HF127" s="2" t="s">
        <v>3</v>
      </c>
      <c r="HG127" s="2"/>
      <c r="HH127" s="2"/>
      <c r="HI127" s="2"/>
      <c r="HJ127" s="2"/>
      <c r="HK127" s="2"/>
      <c r="HL127" s="2"/>
      <c r="HM127" s="2" t="s">
        <v>3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3">
        <v>17</v>
      </c>
      <c r="B128" s="3">
        <v>1</v>
      </c>
      <c r="C128" s="3">
        <f>ROW(SmtRes!A174)</f>
        <v>174</v>
      </c>
      <c r="D128" s="3">
        <f>ROW(EtalonRes!A230)</f>
        <v>230</v>
      </c>
      <c r="E128" s="3" t="s">
        <v>243</v>
      </c>
      <c r="F128" s="3" t="s">
        <v>55</v>
      </c>
      <c r="G128" s="3" t="s">
        <v>56</v>
      </c>
      <c r="H128" s="3" t="s">
        <v>29</v>
      </c>
      <c r="I128" s="3">
        <v>4</v>
      </c>
      <c r="J128" s="3">
        <v>0</v>
      </c>
      <c r="K128" s="3">
        <v>4</v>
      </c>
      <c r="O128" s="3">
        <f t="shared" si="85"/>
        <v>3486.28</v>
      </c>
      <c r="P128" s="3">
        <f t="shared" si="137"/>
        <v>119.37</v>
      </c>
      <c r="Q128" s="3">
        <f>(ROUND((ROUND((((ET128*1.2))*AV128*I128),2)*BB128),2)+ROUND((ROUND(((AE128-((EU128*1.2)))*AV128*I128),2)*BS128),2))</f>
        <v>0</v>
      </c>
      <c r="R128" s="3">
        <f>(ROUND((ROUND((((EU128*1.2))*AV128*I128),2)*BS128),2)+ROUND((ROUND(((AE128-((EU128*1.2)))*AV128*I128),2)*BS128),2))</f>
        <v>0</v>
      </c>
      <c r="S128" s="3">
        <f t="shared" si="87"/>
        <v>3366.91</v>
      </c>
      <c r="T128" s="3">
        <f t="shared" si="88"/>
        <v>0</v>
      </c>
      <c r="U128" s="3">
        <f t="shared" si="89"/>
        <v>5.0255999999999998</v>
      </c>
      <c r="V128" s="3">
        <f t="shared" si="90"/>
        <v>0</v>
      </c>
      <c r="W128" s="3">
        <f t="shared" si="91"/>
        <v>0</v>
      </c>
      <c r="X128" s="3">
        <f>(ROUND((((S128+ROUND((ROUND((((EU128*1.2))*AV128*I128),2)*BS128),2))*AT128)/100),2)+ROUND(((ROUND((ROUND(((AE128-((EU128*1.2)))*AV128*I128),2)*BS128),2)*AT128)/100),2))</f>
        <v>3198.56</v>
      </c>
      <c r="Y128" s="3">
        <f>(ROUND((((S128+ROUND((ROUND((((EU128*1.2))*AV128*I128),2)*BS128),2))*AU128)/100),2)+ROUND(((ROUND((ROUND(((AE128-((EU128*1.2)))*AV128*I128),2)*BS128),2)*AU128)/100),2))</f>
        <v>1784.46</v>
      </c>
      <c r="AA128" s="3">
        <v>57248837</v>
      </c>
      <c r="AB128" s="3">
        <f t="shared" si="92"/>
        <v>15.938000000000001</v>
      </c>
      <c r="AC128" s="3">
        <f>ROUND(((ES128*1)),6)</f>
        <v>1.67</v>
      </c>
      <c r="AD128" s="3">
        <f>ROUND(((((ET128*1.2))-((EU128*1.2)))+AE128),6)</f>
        <v>0</v>
      </c>
      <c r="AE128" s="3">
        <f>ROUND(((EU128*1.2)),6)</f>
        <v>0</v>
      </c>
      <c r="AF128" s="3">
        <f>ROUND(((EV128*1.2)),6)</f>
        <v>14.268000000000001</v>
      </c>
      <c r="AG128" s="3">
        <f t="shared" si="93"/>
        <v>0</v>
      </c>
      <c r="AH128" s="3">
        <f>((EW128*1.2))</f>
        <v>1.2</v>
      </c>
      <c r="AI128" s="3">
        <f>((EX128*1.2))</f>
        <v>0</v>
      </c>
      <c r="AJ128" s="3">
        <f t="shared" si="94"/>
        <v>0</v>
      </c>
      <c r="AK128" s="3">
        <v>13.56</v>
      </c>
      <c r="AL128" s="3">
        <v>1.67</v>
      </c>
      <c r="AM128" s="3">
        <v>0</v>
      </c>
      <c r="AN128" s="3">
        <v>0</v>
      </c>
      <c r="AO128" s="3">
        <v>11.89</v>
      </c>
      <c r="AP128" s="3">
        <v>0</v>
      </c>
      <c r="AQ128" s="3">
        <v>1</v>
      </c>
      <c r="AR128" s="3">
        <v>0</v>
      </c>
      <c r="AS128" s="3">
        <v>0</v>
      </c>
      <c r="AT128" s="3">
        <v>95</v>
      </c>
      <c r="AU128" s="3">
        <v>53</v>
      </c>
      <c r="AV128" s="3">
        <v>1.0469999999999999</v>
      </c>
      <c r="AW128" s="3">
        <v>1</v>
      </c>
      <c r="AZ128" s="3">
        <v>1</v>
      </c>
      <c r="BA128" s="3">
        <v>56.35</v>
      </c>
      <c r="BB128" s="3">
        <v>1</v>
      </c>
      <c r="BC128" s="3">
        <v>17.87</v>
      </c>
      <c r="BD128" s="3" t="s">
        <v>3</v>
      </c>
      <c r="BE128" s="3" t="s">
        <v>3</v>
      </c>
      <c r="BF128" s="3" t="s">
        <v>3</v>
      </c>
      <c r="BG128" s="3" t="s">
        <v>3</v>
      </c>
      <c r="BH128" s="3">
        <v>0</v>
      </c>
      <c r="BI128" s="3">
        <v>2</v>
      </c>
      <c r="BJ128" s="3" t="s">
        <v>57</v>
      </c>
      <c r="BM128" s="3">
        <v>69</v>
      </c>
      <c r="BN128" s="3">
        <v>0</v>
      </c>
      <c r="BO128" s="3" t="s">
        <v>55</v>
      </c>
      <c r="BP128" s="3">
        <v>1</v>
      </c>
      <c r="BQ128" s="3">
        <v>40</v>
      </c>
      <c r="BR128" s="3">
        <v>0</v>
      </c>
      <c r="BS128" s="3">
        <v>56.35</v>
      </c>
      <c r="BT128" s="3">
        <v>1</v>
      </c>
      <c r="BU128" s="3">
        <v>1</v>
      </c>
      <c r="BV128" s="3">
        <v>1</v>
      </c>
      <c r="BW128" s="3">
        <v>1</v>
      </c>
      <c r="BX128" s="3">
        <v>1</v>
      </c>
      <c r="BY128" s="3" t="s">
        <v>3</v>
      </c>
      <c r="BZ128" s="3">
        <v>95</v>
      </c>
      <c r="CA128" s="3">
        <v>53</v>
      </c>
      <c r="CB128" s="3" t="s">
        <v>3</v>
      </c>
      <c r="CE128" s="3">
        <v>1566</v>
      </c>
      <c r="CF128" s="3">
        <v>0</v>
      </c>
      <c r="CG128" s="3">
        <v>0</v>
      </c>
      <c r="CM128" s="3">
        <v>0</v>
      </c>
      <c r="CN128" s="3" t="s">
        <v>820</v>
      </c>
      <c r="CO128" s="3">
        <v>0</v>
      </c>
      <c r="CP128" s="3">
        <f t="shared" si="95"/>
        <v>3486.2799999999997</v>
      </c>
      <c r="CQ128" s="3">
        <f t="shared" si="138"/>
        <v>29.84</v>
      </c>
      <c r="CR128" s="3">
        <f>(ROUND((ROUND((((ET128*1.2))*AV128*1),2)*BB128),2)+ROUND((ROUND(((AE128-((EU128*1.2)))*AV128*1),2)*BS128),2))</f>
        <v>0</v>
      </c>
      <c r="CS128" s="3">
        <f>(ROUND((ROUND((((EU128*1.2))*AV128*1),2)*BS128),2)+ROUND((ROUND(((AE128-((EU128*1.2)))*AV128*1),2)*BS128),2))</f>
        <v>0</v>
      </c>
      <c r="CT128" s="3">
        <f t="shared" si="97"/>
        <v>841.87</v>
      </c>
      <c r="CU128" s="3">
        <f t="shared" si="98"/>
        <v>0</v>
      </c>
      <c r="CV128" s="3">
        <f t="shared" si="99"/>
        <v>1.2564</v>
      </c>
      <c r="CW128" s="3">
        <f t="shared" si="100"/>
        <v>0</v>
      </c>
      <c r="CX128" s="3">
        <f t="shared" si="101"/>
        <v>0</v>
      </c>
      <c r="CY128" s="3">
        <f>(ROUND((((S128+ROUND((ROUND((((EU128*1.2))*AV128*1),2)*BS128),2))*AT128)/100),2)+ROUND(((ROUND((ROUND(((AE128-((EU128*1.2)))*AV128*1),2)*BS128),2)*AT128)/100),2))</f>
        <v>3198.56</v>
      </c>
      <c r="CZ128" s="3">
        <f>(ROUND((((S128+ROUND((ROUND((((EU128*1.2))*AV128*1),2)*BS128),2))*AU128)/100),2)+ROUND(((ROUND((ROUND(((AE128-((EU128*1.2)))*AV128*1),2)*BS128),2)*AU128)/100),2))</f>
        <v>1784.46</v>
      </c>
      <c r="DB128" s="3">
        <v>78</v>
      </c>
      <c r="DC128" s="3" t="s">
        <v>3</v>
      </c>
      <c r="DD128" s="3" t="s">
        <v>119</v>
      </c>
      <c r="DE128" s="3" t="s">
        <v>120</v>
      </c>
      <c r="DF128" s="3" t="s">
        <v>120</v>
      </c>
      <c r="DG128" s="3" t="s">
        <v>120</v>
      </c>
      <c r="DH128" s="3" t="s">
        <v>3</v>
      </c>
      <c r="DI128" s="3" t="s">
        <v>120</v>
      </c>
      <c r="DJ128" s="3" t="s">
        <v>120</v>
      </c>
      <c r="DK128" s="3" t="s">
        <v>3</v>
      </c>
      <c r="DL128" s="3" t="s">
        <v>3</v>
      </c>
      <c r="DM128" s="3" t="s">
        <v>3</v>
      </c>
      <c r="DN128" s="3">
        <v>0</v>
      </c>
      <c r="DO128" s="3">
        <v>0</v>
      </c>
      <c r="DP128" s="3">
        <v>1</v>
      </c>
      <c r="DQ128" s="3">
        <v>1</v>
      </c>
      <c r="DU128" s="3">
        <v>1013</v>
      </c>
      <c r="DV128" s="3" t="s">
        <v>29</v>
      </c>
      <c r="DW128" s="3" t="s">
        <v>29</v>
      </c>
      <c r="DX128" s="3">
        <v>1</v>
      </c>
      <c r="DZ128" s="3" t="s">
        <v>3</v>
      </c>
      <c r="EA128" s="3" t="s">
        <v>3</v>
      </c>
      <c r="EB128" s="3" t="s">
        <v>3</v>
      </c>
      <c r="EC128" s="3" t="s">
        <v>3</v>
      </c>
      <c r="EE128" s="3">
        <v>57248653</v>
      </c>
      <c r="EF128" s="3">
        <v>40</v>
      </c>
      <c r="EG128" s="3" t="s">
        <v>33</v>
      </c>
      <c r="EH128" s="3">
        <v>0</v>
      </c>
      <c r="EI128" s="3" t="s">
        <v>3</v>
      </c>
      <c r="EJ128" s="3">
        <v>2</v>
      </c>
      <c r="EK128" s="3">
        <v>69</v>
      </c>
      <c r="EL128" s="3" t="s">
        <v>58</v>
      </c>
      <c r="EM128" s="3" t="s">
        <v>59</v>
      </c>
      <c r="EO128" s="3" t="s">
        <v>124</v>
      </c>
      <c r="EQ128" s="3">
        <v>131072</v>
      </c>
      <c r="ER128" s="3">
        <v>13.56</v>
      </c>
      <c r="ES128" s="3">
        <v>1.67</v>
      </c>
      <c r="ET128" s="3">
        <v>0</v>
      </c>
      <c r="EU128" s="3">
        <v>0</v>
      </c>
      <c r="EV128" s="3">
        <v>11.89</v>
      </c>
      <c r="EW128" s="3">
        <v>1</v>
      </c>
      <c r="EX128" s="3">
        <v>0</v>
      </c>
      <c r="EY128" s="3">
        <v>0</v>
      </c>
      <c r="FQ128" s="3">
        <v>0</v>
      </c>
      <c r="FR128" s="3">
        <v>0</v>
      </c>
      <c r="FS128" s="3">
        <v>0</v>
      </c>
      <c r="FX128" s="3">
        <v>95</v>
      </c>
      <c r="FY128" s="3">
        <v>53</v>
      </c>
      <c r="GA128" s="3" t="s">
        <v>3</v>
      </c>
      <c r="GD128" s="3">
        <v>1</v>
      </c>
      <c r="GF128" s="3">
        <v>205901832</v>
      </c>
      <c r="GG128" s="3">
        <v>2</v>
      </c>
      <c r="GH128" s="3">
        <v>1</v>
      </c>
      <c r="GI128" s="3">
        <v>2</v>
      </c>
      <c r="GJ128" s="3">
        <v>0</v>
      </c>
      <c r="GK128" s="3">
        <v>0</v>
      </c>
      <c r="GL128" s="3">
        <f t="shared" si="102"/>
        <v>0</v>
      </c>
      <c r="GM128" s="3">
        <f t="shared" si="103"/>
        <v>8469.2999999999993</v>
      </c>
      <c r="GN128" s="3">
        <f t="shared" si="104"/>
        <v>0</v>
      </c>
      <c r="GO128" s="3">
        <f t="shared" si="105"/>
        <v>8469.2999999999993</v>
      </c>
      <c r="GP128" s="3">
        <f t="shared" si="106"/>
        <v>0</v>
      </c>
      <c r="GR128" s="3">
        <v>0</v>
      </c>
      <c r="GS128" s="3">
        <v>3</v>
      </c>
      <c r="GT128" s="3">
        <v>0</v>
      </c>
      <c r="GU128" s="3" t="s">
        <v>3</v>
      </c>
      <c r="GV128" s="3">
        <f t="shared" si="107"/>
        <v>0</v>
      </c>
      <c r="GW128" s="3">
        <v>1</v>
      </c>
      <c r="GX128" s="3">
        <f t="shared" si="108"/>
        <v>0</v>
      </c>
      <c r="HA128" s="3">
        <v>0</v>
      </c>
      <c r="HB128" s="3">
        <v>0</v>
      </c>
      <c r="HC128" s="3">
        <f t="shared" si="109"/>
        <v>0</v>
      </c>
      <c r="HE128" s="3" t="s">
        <v>3</v>
      </c>
      <c r="HF128" s="3" t="s">
        <v>3</v>
      </c>
      <c r="HM128" s="3" t="s">
        <v>3</v>
      </c>
      <c r="HN128" s="3" t="s">
        <v>3</v>
      </c>
      <c r="HO128" s="3" t="s">
        <v>3</v>
      </c>
      <c r="HP128" s="3" t="s">
        <v>3</v>
      </c>
      <c r="HQ128" s="3" t="s">
        <v>3</v>
      </c>
      <c r="HS128" s="3">
        <v>0</v>
      </c>
      <c r="IK128" s="3">
        <v>0</v>
      </c>
    </row>
    <row r="129" spans="1:255" x14ac:dyDescent="0.2">
      <c r="A129" s="2">
        <v>17</v>
      </c>
      <c r="B129" s="2">
        <v>1</v>
      </c>
      <c r="C129" s="2"/>
      <c r="D129" s="2"/>
      <c r="E129" s="2" t="s">
        <v>244</v>
      </c>
      <c r="F129" s="2" t="s">
        <v>245</v>
      </c>
      <c r="G129" s="2" t="s">
        <v>246</v>
      </c>
      <c r="H129" s="2" t="s">
        <v>192</v>
      </c>
      <c r="I129" s="2">
        <v>4</v>
      </c>
      <c r="J129" s="2">
        <v>0</v>
      </c>
      <c r="K129" s="2">
        <v>4</v>
      </c>
      <c r="L129" s="2"/>
      <c r="M129" s="2"/>
      <c r="N129" s="2"/>
      <c r="O129" s="2">
        <f t="shared" si="85"/>
        <v>585.08000000000004</v>
      </c>
      <c r="P129" s="2">
        <f t="shared" si="137"/>
        <v>585.08000000000004</v>
      </c>
      <c r="Q129" s="2">
        <f>(ROUND((ROUND(((ET129)*AV129*I129),2)*BB129),2)+ROUND((ROUND(((AE129-(EU129))*AV129*I129),2)*BS129),2))</f>
        <v>0</v>
      </c>
      <c r="R129" s="2">
        <f>(ROUND((ROUND(((EU129)*AV129*I129),2)*BS129),2)+ROUND((ROUND(((AE129-(EU129))*AV129*I129),2)*BS129),2))</f>
        <v>0</v>
      </c>
      <c r="S129" s="2">
        <f t="shared" si="87"/>
        <v>0</v>
      </c>
      <c r="T129" s="2">
        <f t="shared" si="88"/>
        <v>0</v>
      </c>
      <c r="U129" s="2">
        <f t="shared" si="89"/>
        <v>0</v>
      </c>
      <c r="V129" s="2">
        <f t="shared" si="90"/>
        <v>0</v>
      </c>
      <c r="W129" s="2">
        <f t="shared" si="91"/>
        <v>0</v>
      </c>
      <c r="X129" s="2">
        <f>(ROUND((((S129+ROUND((ROUND(((EU129)*AV129*I129),2)*BS129),2))*AT129)/100),2)+ROUND(((ROUND((ROUND(((AE129-(EU129))*AV129*I129),2)*BS129),2)*AT129)/100),2))</f>
        <v>0</v>
      </c>
      <c r="Y129" s="2">
        <f>(ROUND((((S129+ROUND((ROUND(((EU129)*AV129*I129),2)*BS129),2))*AU129)/100),2)+ROUND(((ROUND((ROUND(((AE129-(EU129))*AV129*I129),2)*BS129),2)*AU129)/100),2))</f>
        <v>0</v>
      </c>
      <c r="Z129" s="2"/>
      <c r="AA129" s="2">
        <v>57248835</v>
      </c>
      <c r="AB129" s="2">
        <f t="shared" si="92"/>
        <v>146.27000000000001</v>
      </c>
      <c r="AC129" s="2">
        <f>ROUND((ES129),6)</f>
        <v>146.27000000000001</v>
      </c>
      <c r="AD129" s="2">
        <f>ROUND((((ET129)-(EU129))+AE129),6)</f>
        <v>0</v>
      </c>
      <c r="AE129" s="2">
        <f>ROUND((EU129),6)</f>
        <v>0</v>
      </c>
      <c r="AF129" s="2">
        <f>ROUND((EV129),6)</f>
        <v>0</v>
      </c>
      <c r="AG129" s="2">
        <f t="shared" si="93"/>
        <v>0</v>
      </c>
      <c r="AH129" s="2">
        <f>(EW129)</f>
        <v>0</v>
      </c>
      <c r="AI129" s="2">
        <f>(EX129)</f>
        <v>0</v>
      </c>
      <c r="AJ129" s="2">
        <f t="shared" si="94"/>
        <v>0</v>
      </c>
      <c r="AK129" s="2">
        <v>146.27000000000001</v>
      </c>
      <c r="AL129" s="2">
        <v>146.27000000000001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3</v>
      </c>
      <c r="BJ129" s="2" t="s">
        <v>245</v>
      </c>
      <c r="BK129" s="2"/>
      <c r="BL129" s="2"/>
      <c r="BM129" s="2">
        <v>400007</v>
      </c>
      <c r="BN129" s="2">
        <v>0</v>
      </c>
      <c r="BO129" s="2" t="s">
        <v>3</v>
      </c>
      <c r="BP129" s="2">
        <v>0</v>
      </c>
      <c r="BQ129" s="2">
        <v>214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0</v>
      </c>
      <c r="CA129" s="2">
        <v>0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3</v>
      </c>
      <c r="CO129" s="2">
        <v>0</v>
      </c>
      <c r="CP129" s="2">
        <f t="shared" si="95"/>
        <v>585.08000000000004</v>
      </c>
      <c r="CQ129" s="2">
        <f t="shared" si="138"/>
        <v>146.27000000000001</v>
      </c>
      <c r="CR129" s="2">
        <f>(ROUND((ROUND(((ET129)*AV129*1),2)*BB129),2)+ROUND((ROUND(((AE129-(EU129))*AV129*1),2)*BS129),2))</f>
        <v>0</v>
      </c>
      <c r="CS129" s="2">
        <f>(ROUND((ROUND(((EU129)*AV129*1),2)*BS129),2)+ROUND((ROUND(((AE129-(EU129))*AV129*1),2)*BS129),2))</f>
        <v>0</v>
      </c>
      <c r="CT129" s="2">
        <f t="shared" si="97"/>
        <v>0</v>
      </c>
      <c r="CU129" s="2">
        <f t="shared" si="98"/>
        <v>0</v>
      </c>
      <c r="CV129" s="2">
        <f t="shared" si="99"/>
        <v>0</v>
      </c>
      <c r="CW129" s="2">
        <f t="shared" si="100"/>
        <v>0</v>
      </c>
      <c r="CX129" s="2">
        <f t="shared" si="101"/>
        <v>0</v>
      </c>
      <c r="CY129" s="2">
        <f>(ROUND((((S129+ROUND((ROUND(((EU129)*AV129*1),2)*BS129),2))*AT129)/100),2)+ROUND(((ROUND((ROUND(((AE129-(EU129))*AV129*1),2)*BS129),2)*AT129)/100),2))</f>
        <v>0</v>
      </c>
      <c r="CZ129" s="2">
        <f>(ROUND((((S129+ROUND((ROUND(((EU129)*AV129*1),2)*BS129),2))*AU129)/100),2)+ROUND(((ROUND((ROUND(((AE129-(EU129))*AV129*1),2)*BS129),2)*AU129)/100),2))</f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1013</v>
      </c>
      <c r="DV129" s="2" t="s">
        <v>192</v>
      </c>
      <c r="DW129" s="2" t="s">
        <v>192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57248792</v>
      </c>
      <c r="EF129" s="2">
        <v>214</v>
      </c>
      <c r="EG129" s="2" t="s">
        <v>193</v>
      </c>
      <c r="EH129" s="2">
        <v>0</v>
      </c>
      <c r="EI129" s="2" t="s">
        <v>3</v>
      </c>
      <c r="EJ129" s="2">
        <v>3</v>
      </c>
      <c r="EK129" s="2">
        <v>400007</v>
      </c>
      <c r="EL129" s="2" t="s">
        <v>193</v>
      </c>
      <c r="EM129" s="2" t="s">
        <v>194</v>
      </c>
      <c r="EN129" s="2"/>
      <c r="EO129" s="2" t="s">
        <v>3</v>
      </c>
      <c r="EP129" s="2"/>
      <c r="EQ129" s="2">
        <v>131088</v>
      </c>
      <c r="ER129" s="2">
        <v>0</v>
      </c>
      <c r="ES129" s="2">
        <v>146.27000000000001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f>P129</f>
        <v>585.08000000000004</v>
      </c>
      <c r="FS129" s="2">
        <v>0</v>
      </c>
      <c r="FT129" s="2"/>
      <c r="FU129" s="2"/>
      <c r="FV129" s="2"/>
      <c r="FW129" s="2"/>
      <c r="FX129" s="2">
        <v>0</v>
      </c>
      <c r="FY129" s="2">
        <v>0</v>
      </c>
      <c r="FZ129" s="2"/>
      <c r="GA129" s="2" t="s">
        <v>247</v>
      </c>
      <c r="GB129" s="2"/>
      <c r="GC129" s="2"/>
      <c r="GD129" s="2">
        <v>1</v>
      </c>
      <c r="GE129" s="2"/>
      <c r="GF129" s="2">
        <v>-1153636944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02"/>
        <v>0</v>
      </c>
      <c r="GM129" s="2">
        <f t="shared" si="103"/>
        <v>585.08000000000004</v>
      </c>
      <c r="GN129" s="2">
        <f t="shared" si="104"/>
        <v>0</v>
      </c>
      <c r="GO129" s="2">
        <f t="shared" si="105"/>
        <v>0</v>
      </c>
      <c r="GP129" s="2">
        <f t="shared" si="106"/>
        <v>0</v>
      </c>
      <c r="GQ129" s="2"/>
      <c r="GR129" s="2">
        <v>1</v>
      </c>
      <c r="GS129" s="2">
        <v>2</v>
      </c>
      <c r="GT129" s="2">
        <v>0</v>
      </c>
      <c r="GU129" s="2" t="s">
        <v>3</v>
      </c>
      <c r="GV129" s="2">
        <f t="shared" si="107"/>
        <v>0</v>
      </c>
      <c r="GW129" s="2">
        <v>1</v>
      </c>
      <c r="GX129" s="2">
        <f t="shared" si="108"/>
        <v>0</v>
      </c>
      <c r="GY129" s="2"/>
      <c r="GZ129" s="2"/>
      <c r="HA129" s="2">
        <v>0</v>
      </c>
      <c r="HB129" s="2">
        <v>0</v>
      </c>
      <c r="HC129" s="2">
        <f t="shared" si="109"/>
        <v>0</v>
      </c>
      <c r="HD129" s="2"/>
      <c r="HE129" s="2" t="s">
        <v>41</v>
      </c>
      <c r="HF129" s="2" t="s">
        <v>196</v>
      </c>
      <c r="HG129" s="2"/>
      <c r="HH129" s="2"/>
      <c r="HI129" s="2"/>
      <c r="HJ129" s="2"/>
      <c r="HK129" s="2"/>
      <c r="HL129" s="2"/>
      <c r="HM129" s="2" t="s">
        <v>3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3">
        <v>17</v>
      </c>
      <c r="B130" s="3">
        <v>1</v>
      </c>
      <c r="E130" s="3" t="s">
        <v>244</v>
      </c>
      <c r="F130" s="3" t="s">
        <v>245</v>
      </c>
      <c r="G130" s="3" t="s">
        <v>246</v>
      </c>
      <c r="H130" s="3" t="s">
        <v>192</v>
      </c>
      <c r="I130" s="3">
        <v>4</v>
      </c>
      <c r="J130" s="3">
        <v>0</v>
      </c>
      <c r="K130" s="3">
        <v>4</v>
      </c>
      <c r="O130" s="3">
        <f t="shared" si="85"/>
        <v>4429.0600000000004</v>
      </c>
      <c r="P130" s="3">
        <f t="shared" si="137"/>
        <v>4429.0600000000004</v>
      </c>
      <c r="Q130" s="3">
        <f>(ROUND((ROUND(((ET130)*AV130*I130),2)*BB130),2)+ROUND((ROUND(((AE130-(EU130))*AV130*I130),2)*BS130),2))</f>
        <v>0</v>
      </c>
      <c r="R130" s="3">
        <f>(ROUND((ROUND(((EU130)*AV130*I130),2)*BS130),2)+ROUND((ROUND(((AE130-(EU130))*AV130*I130),2)*BS130),2))</f>
        <v>0</v>
      </c>
      <c r="S130" s="3">
        <f t="shared" si="87"/>
        <v>0</v>
      </c>
      <c r="T130" s="3">
        <f t="shared" si="88"/>
        <v>0</v>
      </c>
      <c r="U130" s="3">
        <f t="shared" si="89"/>
        <v>0</v>
      </c>
      <c r="V130" s="3">
        <f t="shared" si="90"/>
        <v>0</v>
      </c>
      <c r="W130" s="3">
        <f t="shared" si="91"/>
        <v>0</v>
      </c>
      <c r="X130" s="3">
        <f>(ROUND((((S130+ROUND((ROUND(((EU130)*AV130*I130),2)*BS130),2))*AT130)/100),2)+ROUND(((ROUND((ROUND(((AE130-(EU130))*AV130*I130),2)*BS130),2)*AT130)/100),2))</f>
        <v>0</v>
      </c>
      <c r="Y130" s="3">
        <f>(ROUND((((S130+ROUND((ROUND(((EU130)*AV130*I130),2)*BS130),2))*AU130)/100),2)+ROUND(((ROUND((ROUND(((AE130-(EU130))*AV130*I130),2)*BS130),2)*AU130)/100),2))</f>
        <v>0</v>
      </c>
      <c r="AA130" s="3">
        <v>57248837</v>
      </c>
      <c r="AB130" s="3">
        <f t="shared" si="92"/>
        <v>146.27000000000001</v>
      </c>
      <c r="AC130" s="3">
        <f>ROUND((ES130),6)</f>
        <v>146.27000000000001</v>
      </c>
      <c r="AD130" s="3">
        <f>ROUND((((ET130)-(EU130))+AE130),6)</f>
        <v>0</v>
      </c>
      <c r="AE130" s="3">
        <f>ROUND((EU130),6)</f>
        <v>0</v>
      </c>
      <c r="AF130" s="3">
        <f>ROUND((EV130),6)</f>
        <v>0</v>
      </c>
      <c r="AG130" s="3">
        <f t="shared" si="93"/>
        <v>0</v>
      </c>
      <c r="AH130" s="3">
        <f>(EW130)</f>
        <v>0</v>
      </c>
      <c r="AI130" s="3">
        <f>(EX130)</f>
        <v>0</v>
      </c>
      <c r="AJ130" s="3">
        <f t="shared" si="94"/>
        <v>0</v>
      </c>
      <c r="AK130" s="3">
        <v>146.27000000000001</v>
      </c>
      <c r="AL130" s="3">
        <v>146.27000000000001</v>
      </c>
      <c r="AM130" s="3">
        <v>0</v>
      </c>
      <c r="AN130" s="3">
        <v>0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1</v>
      </c>
      <c r="AW130" s="3">
        <v>1</v>
      </c>
      <c r="AZ130" s="3">
        <v>1</v>
      </c>
      <c r="BA130" s="3">
        <v>1</v>
      </c>
      <c r="BB130" s="3">
        <v>1</v>
      </c>
      <c r="BC130" s="3">
        <v>7.57</v>
      </c>
      <c r="BD130" s="3" t="s">
        <v>3</v>
      </c>
      <c r="BE130" s="3" t="s">
        <v>3</v>
      </c>
      <c r="BF130" s="3" t="s">
        <v>3</v>
      </c>
      <c r="BG130" s="3" t="s">
        <v>3</v>
      </c>
      <c r="BH130" s="3">
        <v>3</v>
      </c>
      <c r="BI130" s="3">
        <v>3</v>
      </c>
      <c r="BJ130" s="3" t="s">
        <v>245</v>
      </c>
      <c r="BM130" s="3">
        <v>400007</v>
      </c>
      <c r="BN130" s="3">
        <v>0</v>
      </c>
      <c r="BO130" s="3" t="s">
        <v>3</v>
      </c>
      <c r="BP130" s="3">
        <v>0</v>
      </c>
      <c r="BQ130" s="3">
        <v>214</v>
      </c>
      <c r="BR130" s="3">
        <v>0</v>
      </c>
      <c r="BS130" s="3">
        <v>1</v>
      </c>
      <c r="BT130" s="3">
        <v>1</v>
      </c>
      <c r="BU130" s="3">
        <v>1</v>
      </c>
      <c r="BV130" s="3">
        <v>1</v>
      </c>
      <c r="BW130" s="3">
        <v>1</v>
      </c>
      <c r="BX130" s="3">
        <v>1</v>
      </c>
      <c r="BY130" s="3" t="s">
        <v>3</v>
      </c>
      <c r="BZ130" s="3">
        <v>0</v>
      </c>
      <c r="CA130" s="3">
        <v>0</v>
      </c>
      <c r="CB130" s="3" t="s">
        <v>3</v>
      </c>
      <c r="CE130" s="3">
        <v>1566</v>
      </c>
      <c r="CF130" s="3">
        <v>0</v>
      </c>
      <c r="CG130" s="3">
        <v>0</v>
      </c>
      <c r="CM130" s="3">
        <v>0</v>
      </c>
      <c r="CN130" s="3" t="s">
        <v>3</v>
      </c>
      <c r="CO130" s="3">
        <v>0</v>
      </c>
      <c r="CP130" s="3">
        <f t="shared" si="95"/>
        <v>4429.0600000000004</v>
      </c>
      <c r="CQ130" s="3">
        <f t="shared" si="138"/>
        <v>1107.26</v>
      </c>
      <c r="CR130" s="3">
        <f>(ROUND((ROUND(((ET130)*AV130*1),2)*BB130),2)+ROUND((ROUND(((AE130-(EU130))*AV130*1),2)*BS130),2))</f>
        <v>0</v>
      </c>
      <c r="CS130" s="3">
        <f>(ROUND((ROUND(((EU130)*AV130*1),2)*BS130),2)+ROUND((ROUND(((AE130-(EU130))*AV130*1),2)*BS130),2))</f>
        <v>0</v>
      </c>
      <c r="CT130" s="3">
        <f t="shared" si="97"/>
        <v>0</v>
      </c>
      <c r="CU130" s="3">
        <f t="shared" si="98"/>
        <v>0</v>
      </c>
      <c r="CV130" s="3">
        <f t="shared" si="99"/>
        <v>0</v>
      </c>
      <c r="CW130" s="3">
        <f t="shared" si="100"/>
        <v>0</v>
      </c>
      <c r="CX130" s="3">
        <f t="shared" si="101"/>
        <v>0</v>
      </c>
      <c r="CY130" s="3">
        <f>(ROUND((((S130+ROUND((ROUND(((EU130)*AV130*1),2)*BS130),2))*AT130)/100),2)+ROUND(((ROUND((ROUND(((AE130-(EU130))*AV130*1),2)*BS130),2)*AT130)/100),2))</f>
        <v>0</v>
      </c>
      <c r="CZ130" s="3">
        <f>(ROUND((((S130+ROUND((ROUND(((EU130)*AV130*1),2)*BS130),2))*AU130)/100),2)+ROUND(((ROUND((ROUND(((AE130-(EU130))*AV130*1),2)*BS130),2)*AU130)/100),2))</f>
        <v>0</v>
      </c>
      <c r="DC130" s="3" t="s">
        <v>3</v>
      </c>
      <c r="DD130" s="3" t="s">
        <v>3</v>
      </c>
      <c r="DE130" s="3" t="s">
        <v>3</v>
      </c>
      <c r="DF130" s="3" t="s">
        <v>3</v>
      </c>
      <c r="DG130" s="3" t="s">
        <v>3</v>
      </c>
      <c r="DH130" s="3" t="s">
        <v>3</v>
      </c>
      <c r="DI130" s="3" t="s">
        <v>3</v>
      </c>
      <c r="DJ130" s="3" t="s">
        <v>3</v>
      </c>
      <c r="DK130" s="3" t="s">
        <v>3</v>
      </c>
      <c r="DL130" s="3" t="s">
        <v>3</v>
      </c>
      <c r="DM130" s="3" t="s">
        <v>3</v>
      </c>
      <c r="DN130" s="3">
        <v>0</v>
      </c>
      <c r="DO130" s="3">
        <v>0</v>
      </c>
      <c r="DP130" s="3">
        <v>1</v>
      </c>
      <c r="DQ130" s="3">
        <v>1</v>
      </c>
      <c r="DU130" s="3">
        <v>1013</v>
      </c>
      <c r="DV130" s="3" t="s">
        <v>192</v>
      </c>
      <c r="DW130" s="3" t="s">
        <v>192</v>
      </c>
      <c r="DX130" s="3">
        <v>1</v>
      </c>
      <c r="DZ130" s="3" t="s">
        <v>3</v>
      </c>
      <c r="EA130" s="3" t="s">
        <v>3</v>
      </c>
      <c r="EB130" s="3" t="s">
        <v>3</v>
      </c>
      <c r="EC130" s="3" t="s">
        <v>3</v>
      </c>
      <c r="EE130" s="3">
        <v>57248792</v>
      </c>
      <c r="EF130" s="3">
        <v>214</v>
      </c>
      <c r="EG130" s="3" t="s">
        <v>193</v>
      </c>
      <c r="EH130" s="3">
        <v>0</v>
      </c>
      <c r="EI130" s="3" t="s">
        <v>3</v>
      </c>
      <c r="EJ130" s="3">
        <v>3</v>
      </c>
      <c r="EK130" s="3">
        <v>400007</v>
      </c>
      <c r="EL130" s="3" t="s">
        <v>193</v>
      </c>
      <c r="EM130" s="3" t="s">
        <v>194</v>
      </c>
      <c r="EO130" s="3" t="s">
        <v>3</v>
      </c>
      <c r="EQ130" s="3">
        <v>131088</v>
      </c>
      <c r="ER130" s="3">
        <v>0</v>
      </c>
      <c r="ES130" s="3">
        <v>146.27000000000001</v>
      </c>
      <c r="ET130" s="3">
        <v>0</v>
      </c>
      <c r="EU130" s="3">
        <v>0</v>
      </c>
      <c r="EV130" s="3">
        <v>0</v>
      </c>
      <c r="EW130" s="3">
        <v>0</v>
      </c>
      <c r="EX130" s="3">
        <v>0</v>
      </c>
      <c r="EY130" s="3">
        <v>0</v>
      </c>
      <c r="EZ130" s="3">
        <v>5</v>
      </c>
      <c r="FC130" s="3">
        <v>1</v>
      </c>
      <c r="FD130" s="3">
        <v>18</v>
      </c>
      <c r="FF130" s="3">
        <v>1296</v>
      </c>
      <c r="FQ130" s="3">
        <v>0</v>
      </c>
      <c r="FR130" s="3">
        <f>P130</f>
        <v>4429.0600000000004</v>
      </c>
      <c r="FS130" s="3">
        <v>0</v>
      </c>
      <c r="FX130" s="3">
        <v>0</v>
      </c>
      <c r="FY130" s="3">
        <v>0</v>
      </c>
      <c r="GA130" s="3" t="s">
        <v>247</v>
      </c>
      <c r="GD130" s="3">
        <v>1</v>
      </c>
      <c r="GF130" s="3">
        <v>-1153636944</v>
      </c>
      <c r="GG130" s="3">
        <v>2</v>
      </c>
      <c r="GH130" s="3">
        <v>3</v>
      </c>
      <c r="GI130" s="3">
        <v>5</v>
      </c>
      <c r="GJ130" s="3">
        <v>0</v>
      </c>
      <c r="GK130" s="3">
        <v>0</v>
      </c>
      <c r="GL130" s="3">
        <f t="shared" si="102"/>
        <v>0</v>
      </c>
      <c r="GM130" s="3">
        <f t="shared" si="103"/>
        <v>4429.0600000000004</v>
      </c>
      <c r="GN130" s="3">
        <f t="shared" si="104"/>
        <v>0</v>
      </c>
      <c r="GO130" s="3">
        <f t="shared" si="105"/>
        <v>0</v>
      </c>
      <c r="GP130" s="3">
        <f t="shared" si="106"/>
        <v>0</v>
      </c>
      <c r="GR130" s="3">
        <v>1</v>
      </c>
      <c r="GS130" s="3">
        <v>1</v>
      </c>
      <c r="GT130" s="3">
        <v>0</v>
      </c>
      <c r="GU130" s="3" t="s">
        <v>3</v>
      </c>
      <c r="GV130" s="3">
        <f t="shared" si="107"/>
        <v>0</v>
      </c>
      <c r="GW130" s="3">
        <v>1</v>
      </c>
      <c r="GX130" s="3">
        <f t="shared" si="108"/>
        <v>0</v>
      </c>
      <c r="HA130" s="3">
        <v>0</v>
      </c>
      <c r="HB130" s="3">
        <v>0</v>
      </c>
      <c r="HC130" s="3">
        <f t="shared" si="109"/>
        <v>0</v>
      </c>
      <c r="HE130" s="3" t="s">
        <v>41</v>
      </c>
      <c r="HF130" s="3" t="s">
        <v>196</v>
      </c>
      <c r="HM130" s="3" t="s">
        <v>3</v>
      </c>
      <c r="HN130" s="3" t="s">
        <v>3</v>
      </c>
      <c r="HO130" s="3" t="s">
        <v>3</v>
      </c>
      <c r="HP130" s="3" t="s">
        <v>3</v>
      </c>
      <c r="HQ130" s="3" t="s">
        <v>3</v>
      </c>
      <c r="HS130" s="3">
        <v>0</v>
      </c>
      <c r="IK130" s="3">
        <v>0</v>
      </c>
    </row>
    <row r="131" spans="1:255" x14ac:dyDescent="0.2">
      <c r="A131" s="2">
        <v>17</v>
      </c>
      <c r="B131" s="2">
        <v>1</v>
      </c>
      <c r="C131" s="2">
        <f>ROW(SmtRes!A175)</f>
        <v>175</v>
      </c>
      <c r="D131" s="2">
        <f>ROW(EtalonRes!A231)</f>
        <v>231</v>
      </c>
      <c r="E131" s="2" t="s">
        <v>248</v>
      </c>
      <c r="F131" s="2" t="s">
        <v>61</v>
      </c>
      <c r="G131" s="2" t="s">
        <v>249</v>
      </c>
      <c r="H131" s="2" t="s">
        <v>29</v>
      </c>
      <c r="I131" s="2">
        <v>4</v>
      </c>
      <c r="J131" s="2">
        <v>0</v>
      </c>
      <c r="K131" s="2">
        <v>4</v>
      </c>
      <c r="L131" s="2"/>
      <c r="M131" s="2"/>
      <c r="N131" s="2"/>
      <c r="O131" s="2">
        <f t="shared" ref="O131:O162" si="139">ROUND(CP131,2)</f>
        <v>57.47</v>
      </c>
      <c r="P131" s="2">
        <f t="shared" si="137"/>
        <v>4.2</v>
      </c>
      <c r="Q131" s="2">
        <f>(ROUND((ROUND((((ET131*1.2))*AV131*I131),2)*BB131),2)+ROUND((ROUND(((AE131-((EU131*1.2)))*AV131*I131),2)*BS131),2))</f>
        <v>0</v>
      </c>
      <c r="R131" s="2">
        <f>(ROUND((ROUND((((EU131*1.2))*AV131*I131),2)*BS131),2)+ROUND((ROUND(((AE131-((EU131*1.2)))*AV131*I131),2)*BS131),2))</f>
        <v>0</v>
      </c>
      <c r="S131" s="2">
        <f t="shared" ref="S131:S162" si="140">ROUND((ROUND((AF131*AV131*I131),2)*BA131),2)</f>
        <v>53.27</v>
      </c>
      <c r="T131" s="2">
        <f t="shared" ref="T131:T162" si="141">ROUND(CU131*I131,2)</f>
        <v>0</v>
      </c>
      <c r="U131" s="2">
        <f t="shared" ref="U131:U162" si="142">CV131*I131</f>
        <v>4.2215039999999995</v>
      </c>
      <c r="V131" s="2">
        <f t="shared" ref="V131:V162" si="143">CW131*I131</f>
        <v>0</v>
      </c>
      <c r="W131" s="2">
        <f t="shared" ref="W131:W162" si="144">ROUND(CX131*I131,2)</f>
        <v>0</v>
      </c>
      <c r="X131" s="2">
        <f>(ROUND((((S131+ROUND((ROUND((((EU131*1.2))*AV131*I131),2)*BS131),2))*AT131)/100),2)+ROUND(((ROUND((ROUND(((AE131-((EU131*1.2)))*AV131*I131),2)*BS131),2)*AT131)/100),2))</f>
        <v>47.94</v>
      </c>
      <c r="Y131" s="2">
        <f>(ROUND((((S131+ROUND((ROUND((((EU131*1.2))*AV131*I131),2)*BS131),2))*AU131)/100),2)+ROUND(((ROUND((ROUND(((AE131-((EU131*1.2)))*AV131*I131),2)*BS131),2)*AU131)/100),2))</f>
        <v>24.5</v>
      </c>
      <c r="Z131" s="2"/>
      <c r="AA131" s="2">
        <v>57248835</v>
      </c>
      <c r="AB131" s="2">
        <f t="shared" ref="AB131:AB162" si="145">ROUND((AC131+AD131+AF131),6)</f>
        <v>13.77</v>
      </c>
      <c r="AC131" s="2">
        <f>ROUND(((ES131*1)),6)</f>
        <v>1.05</v>
      </c>
      <c r="AD131" s="2">
        <f>ROUND(((((ET131*1.2))-((EU131*1.2)))+AE131),6)</f>
        <v>0</v>
      </c>
      <c r="AE131" s="2">
        <f>ROUND(((EU131*1.2)),6)</f>
        <v>0</v>
      </c>
      <c r="AF131" s="2">
        <f>ROUND(((EV131*1.2)),6)</f>
        <v>12.72</v>
      </c>
      <c r="AG131" s="2">
        <f t="shared" ref="AG131:AG162" si="146">ROUND((AP131),6)</f>
        <v>0</v>
      </c>
      <c r="AH131" s="2">
        <f>((EW131*1.2))</f>
        <v>1.008</v>
      </c>
      <c r="AI131" s="2">
        <f>((EX131*1.2))</f>
        <v>0</v>
      </c>
      <c r="AJ131" s="2">
        <f t="shared" ref="AJ131:AJ162" si="147">(AS131)</f>
        <v>0</v>
      </c>
      <c r="AK131" s="2">
        <v>11.65</v>
      </c>
      <c r="AL131" s="2">
        <v>1.05</v>
      </c>
      <c r="AM131" s="2">
        <v>0</v>
      </c>
      <c r="AN131" s="2">
        <v>0</v>
      </c>
      <c r="AO131" s="2">
        <v>10.6</v>
      </c>
      <c r="AP131" s="2">
        <v>0</v>
      </c>
      <c r="AQ131" s="2">
        <v>0.84</v>
      </c>
      <c r="AR131" s="2">
        <v>0</v>
      </c>
      <c r="AS131" s="2">
        <v>0</v>
      </c>
      <c r="AT131" s="2">
        <v>90</v>
      </c>
      <c r="AU131" s="2">
        <v>46</v>
      </c>
      <c r="AV131" s="2">
        <v>1.0469999999999999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0</v>
      </c>
      <c r="BI131" s="2">
        <v>2</v>
      </c>
      <c r="BJ131" s="2" t="s">
        <v>63</v>
      </c>
      <c r="BK131" s="2"/>
      <c r="BL131" s="2"/>
      <c r="BM131" s="2">
        <v>68</v>
      </c>
      <c r="BN131" s="2">
        <v>0</v>
      </c>
      <c r="BO131" s="2" t="s">
        <v>61</v>
      </c>
      <c r="BP131" s="2">
        <v>1</v>
      </c>
      <c r="BQ131" s="2">
        <v>40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90</v>
      </c>
      <c r="CA131" s="2">
        <v>46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820</v>
      </c>
      <c r="CO131" s="2">
        <v>0</v>
      </c>
      <c r="CP131" s="2">
        <f t="shared" ref="CP131:CP162" si="148">(P131+Q131+S131)</f>
        <v>57.470000000000006</v>
      </c>
      <c r="CQ131" s="2">
        <f t="shared" si="138"/>
        <v>1.05</v>
      </c>
      <c r="CR131" s="2">
        <f>(ROUND((ROUND((((ET131*1.2))*AV131*1),2)*BB131),2)+ROUND((ROUND(((AE131-((EU131*1.2)))*AV131*1),2)*BS131),2))</f>
        <v>0</v>
      </c>
      <c r="CS131" s="2">
        <f>(ROUND((ROUND((((EU131*1.2))*AV131*1),2)*BS131),2)+ROUND((ROUND(((AE131-((EU131*1.2)))*AV131*1),2)*BS131),2))</f>
        <v>0</v>
      </c>
      <c r="CT131" s="2">
        <f t="shared" ref="CT131:CT162" si="149">ROUND((ROUND((AF131*AV131*1),2)*BA131),2)</f>
        <v>13.32</v>
      </c>
      <c r="CU131" s="2">
        <f t="shared" ref="CU131:CU162" si="150">AG131</f>
        <v>0</v>
      </c>
      <c r="CV131" s="2">
        <f t="shared" ref="CV131:CV162" si="151">(AH131*AV131)</f>
        <v>1.0553759999999999</v>
      </c>
      <c r="CW131" s="2">
        <f t="shared" ref="CW131:CW162" si="152">AI131</f>
        <v>0</v>
      </c>
      <c r="CX131" s="2">
        <f t="shared" ref="CX131:CX162" si="153">AJ131</f>
        <v>0</v>
      </c>
      <c r="CY131" s="2">
        <f>(ROUND((((S131+ROUND((ROUND((((EU131*1.2))*AV131*1),2)*BS131),2))*AT131)/100),2)+ROUND(((ROUND((ROUND(((AE131-((EU131*1.2)))*AV131*1),2)*BS131),2)*AT131)/100),2))</f>
        <v>47.94</v>
      </c>
      <c r="CZ131" s="2">
        <f>(ROUND((((S131+ROUND((ROUND((((EU131*1.2))*AV131*1),2)*BS131),2))*AU131)/100),2)+ROUND(((ROUND((ROUND(((AE131-((EU131*1.2)))*AV131*1),2)*BS131),2)*AU131)/100),2))</f>
        <v>24.5</v>
      </c>
      <c r="DA131" s="2"/>
      <c r="DB131" s="2">
        <v>79</v>
      </c>
      <c r="DC131" s="2" t="s">
        <v>3</v>
      </c>
      <c r="DD131" s="2" t="s">
        <v>119</v>
      </c>
      <c r="DE131" s="2" t="s">
        <v>120</v>
      </c>
      <c r="DF131" s="2" t="s">
        <v>120</v>
      </c>
      <c r="DG131" s="2" t="s">
        <v>120</v>
      </c>
      <c r="DH131" s="2" t="s">
        <v>3</v>
      </c>
      <c r="DI131" s="2" t="s">
        <v>120</v>
      </c>
      <c r="DJ131" s="2" t="s">
        <v>120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1013</v>
      </c>
      <c r="DV131" s="2" t="s">
        <v>29</v>
      </c>
      <c r="DW131" s="2" t="s">
        <v>29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57248652</v>
      </c>
      <c r="EF131" s="2">
        <v>40</v>
      </c>
      <c r="EG131" s="2" t="s">
        <v>33</v>
      </c>
      <c r="EH131" s="2">
        <v>0</v>
      </c>
      <c r="EI131" s="2" t="s">
        <v>3</v>
      </c>
      <c r="EJ131" s="2">
        <v>2</v>
      </c>
      <c r="EK131" s="2">
        <v>68</v>
      </c>
      <c r="EL131" s="2" t="s">
        <v>34</v>
      </c>
      <c r="EM131" s="2" t="s">
        <v>35</v>
      </c>
      <c r="EN131" s="2"/>
      <c r="EO131" s="2" t="s">
        <v>124</v>
      </c>
      <c r="EP131" s="2"/>
      <c r="EQ131" s="2">
        <v>131072</v>
      </c>
      <c r="ER131" s="2">
        <v>11.65</v>
      </c>
      <c r="ES131" s="2">
        <v>1.05</v>
      </c>
      <c r="ET131" s="2">
        <v>0</v>
      </c>
      <c r="EU131" s="2">
        <v>0</v>
      </c>
      <c r="EV131" s="2">
        <v>10.6</v>
      </c>
      <c r="EW131" s="2">
        <v>0.84</v>
      </c>
      <c r="EX131" s="2">
        <v>0</v>
      </c>
      <c r="EY131" s="2">
        <v>0</v>
      </c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90</v>
      </c>
      <c r="FY131" s="2">
        <v>46</v>
      </c>
      <c r="FZ131" s="2"/>
      <c r="GA131" s="2" t="s">
        <v>3</v>
      </c>
      <c r="GB131" s="2"/>
      <c r="GC131" s="2"/>
      <c r="GD131" s="2">
        <v>1</v>
      </c>
      <c r="GE131" s="2"/>
      <c r="GF131" s="2">
        <v>-1797125674</v>
      </c>
      <c r="GG131" s="2">
        <v>2</v>
      </c>
      <c r="GH131" s="2">
        <v>1</v>
      </c>
      <c r="GI131" s="2">
        <v>2</v>
      </c>
      <c r="GJ131" s="2">
        <v>0</v>
      </c>
      <c r="GK131" s="2">
        <v>0</v>
      </c>
      <c r="GL131" s="2">
        <f t="shared" ref="GL131:GL162" si="154">ROUND(IF(AND(BH131=3,BI131=3,FS131&lt;&gt;0),P131,0),2)</f>
        <v>0</v>
      </c>
      <c r="GM131" s="2">
        <f t="shared" ref="GM131:GM162" si="155">ROUND(O131+X131+Y131,2)+GX131</f>
        <v>129.91</v>
      </c>
      <c r="GN131" s="2">
        <f t="shared" ref="GN131:GN162" si="156">IF(OR(BI131=0,BI131=1),GM131-GX131,0)</f>
        <v>0</v>
      </c>
      <c r="GO131" s="2">
        <f t="shared" ref="GO131:GO162" si="157">IF(BI131=2,GM131-GX131,0)</f>
        <v>129.91</v>
      </c>
      <c r="GP131" s="2">
        <f t="shared" ref="GP131:GP162" si="158">IF(BI131=4,GM131-GX131,0)</f>
        <v>0</v>
      </c>
      <c r="GQ131" s="2"/>
      <c r="GR131" s="2">
        <v>0</v>
      </c>
      <c r="GS131" s="2">
        <v>3</v>
      </c>
      <c r="GT131" s="2">
        <v>0</v>
      </c>
      <c r="GU131" s="2" t="s">
        <v>3</v>
      </c>
      <c r="GV131" s="2">
        <f t="shared" ref="GV131:GV162" si="159">ROUND((GT131),6)</f>
        <v>0</v>
      </c>
      <c r="GW131" s="2">
        <v>1</v>
      </c>
      <c r="GX131" s="2">
        <f t="shared" ref="GX131:GX162" si="160">ROUND(HC131*I131,2)</f>
        <v>0</v>
      </c>
      <c r="GY131" s="2"/>
      <c r="GZ131" s="2"/>
      <c r="HA131" s="2">
        <v>0</v>
      </c>
      <c r="HB131" s="2">
        <v>0</v>
      </c>
      <c r="HC131" s="2">
        <f t="shared" ref="HC131:HC162" si="161">GV131*GW131</f>
        <v>0</v>
      </c>
      <c r="HD131" s="2"/>
      <c r="HE131" s="2" t="s">
        <v>3</v>
      </c>
      <c r="HF131" s="2" t="s">
        <v>3</v>
      </c>
      <c r="HG131" s="2"/>
      <c r="HH131" s="2"/>
      <c r="HI131" s="2"/>
      <c r="HJ131" s="2"/>
      <c r="HK131" s="2"/>
      <c r="HL131" s="2"/>
      <c r="HM131" s="2" t="s">
        <v>3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3">
        <v>17</v>
      </c>
      <c r="B132" s="3">
        <v>1</v>
      </c>
      <c r="C132" s="3">
        <f>ROW(SmtRes!A176)</f>
        <v>176</v>
      </c>
      <c r="D132" s="3">
        <f>ROW(EtalonRes!A232)</f>
        <v>232</v>
      </c>
      <c r="E132" s="3" t="s">
        <v>248</v>
      </c>
      <c r="F132" s="3" t="s">
        <v>61</v>
      </c>
      <c r="G132" s="3" t="s">
        <v>249</v>
      </c>
      <c r="H132" s="3" t="s">
        <v>29</v>
      </c>
      <c r="I132" s="3">
        <v>4</v>
      </c>
      <c r="J132" s="3">
        <v>0</v>
      </c>
      <c r="K132" s="3">
        <v>4</v>
      </c>
      <c r="O132" s="3">
        <f t="shared" si="139"/>
        <v>3043.09</v>
      </c>
      <c r="P132" s="3">
        <f t="shared" si="137"/>
        <v>41.33</v>
      </c>
      <c r="Q132" s="3">
        <f>(ROUND((ROUND((((ET132*1.2))*AV132*I132),2)*BB132),2)+ROUND((ROUND(((AE132-((EU132*1.2)))*AV132*I132),2)*BS132),2))</f>
        <v>0</v>
      </c>
      <c r="R132" s="3">
        <f>(ROUND((ROUND((((EU132*1.2))*AV132*I132),2)*BS132),2)+ROUND((ROUND(((AE132-((EU132*1.2)))*AV132*I132),2)*BS132),2))</f>
        <v>0</v>
      </c>
      <c r="S132" s="3">
        <f t="shared" si="140"/>
        <v>3001.76</v>
      </c>
      <c r="T132" s="3">
        <f t="shared" si="141"/>
        <v>0</v>
      </c>
      <c r="U132" s="3">
        <f t="shared" si="142"/>
        <v>4.2215039999999995</v>
      </c>
      <c r="V132" s="3">
        <f t="shared" si="143"/>
        <v>0</v>
      </c>
      <c r="W132" s="3">
        <f t="shared" si="144"/>
        <v>0</v>
      </c>
      <c r="X132" s="3">
        <f>(ROUND((((S132+ROUND((ROUND((((EU132*1.2))*AV132*I132),2)*BS132),2))*AT132)/100),2)+ROUND(((ROUND((ROUND(((AE132-((EU132*1.2)))*AV132*I132),2)*BS132),2)*AT132)/100),2))</f>
        <v>2701.58</v>
      </c>
      <c r="Y132" s="3">
        <f>(ROUND((((S132+ROUND((ROUND((((EU132*1.2))*AV132*I132),2)*BS132),2))*AU132)/100),2)+ROUND(((ROUND((ROUND(((AE132-((EU132*1.2)))*AV132*I132),2)*BS132),2)*AU132)/100),2))</f>
        <v>1380.81</v>
      </c>
      <c r="AA132" s="3">
        <v>57248837</v>
      </c>
      <c r="AB132" s="3">
        <f t="shared" si="145"/>
        <v>13.77</v>
      </c>
      <c r="AC132" s="3">
        <f>ROUND(((ES132*1)),6)</f>
        <v>1.05</v>
      </c>
      <c r="AD132" s="3">
        <f>ROUND(((((ET132*1.2))-((EU132*1.2)))+AE132),6)</f>
        <v>0</v>
      </c>
      <c r="AE132" s="3">
        <f>ROUND(((EU132*1.2)),6)</f>
        <v>0</v>
      </c>
      <c r="AF132" s="3">
        <f>ROUND(((EV132*1.2)),6)</f>
        <v>12.72</v>
      </c>
      <c r="AG132" s="3">
        <f t="shared" si="146"/>
        <v>0</v>
      </c>
      <c r="AH132" s="3">
        <f>((EW132*1.2))</f>
        <v>1.008</v>
      </c>
      <c r="AI132" s="3">
        <f>((EX132*1.2))</f>
        <v>0</v>
      </c>
      <c r="AJ132" s="3">
        <f t="shared" si="147"/>
        <v>0</v>
      </c>
      <c r="AK132" s="3">
        <v>11.65</v>
      </c>
      <c r="AL132" s="3">
        <v>1.05</v>
      </c>
      <c r="AM132" s="3">
        <v>0</v>
      </c>
      <c r="AN132" s="3">
        <v>0</v>
      </c>
      <c r="AO132" s="3">
        <v>10.6</v>
      </c>
      <c r="AP132" s="3">
        <v>0</v>
      </c>
      <c r="AQ132" s="3">
        <v>0.84</v>
      </c>
      <c r="AR132" s="3">
        <v>0</v>
      </c>
      <c r="AS132" s="3">
        <v>0</v>
      </c>
      <c r="AT132" s="3">
        <v>90</v>
      </c>
      <c r="AU132" s="3">
        <v>46</v>
      </c>
      <c r="AV132" s="3">
        <v>1.0469999999999999</v>
      </c>
      <c r="AW132" s="3">
        <v>1</v>
      </c>
      <c r="AZ132" s="3">
        <v>1</v>
      </c>
      <c r="BA132" s="3">
        <v>56.35</v>
      </c>
      <c r="BB132" s="3">
        <v>1</v>
      </c>
      <c r="BC132" s="3">
        <v>9.84</v>
      </c>
      <c r="BD132" s="3" t="s">
        <v>3</v>
      </c>
      <c r="BE132" s="3" t="s">
        <v>3</v>
      </c>
      <c r="BF132" s="3" t="s">
        <v>3</v>
      </c>
      <c r="BG132" s="3" t="s">
        <v>3</v>
      </c>
      <c r="BH132" s="3">
        <v>0</v>
      </c>
      <c r="BI132" s="3">
        <v>2</v>
      </c>
      <c r="BJ132" s="3" t="s">
        <v>63</v>
      </c>
      <c r="BM132" s="3">
        <v>68</v>
      </c>
      <c r="BN132" s="3">
        <v>0</v>
      </c>
      <c r="BO132" s="3" t="s">
        <v>61</v>
      </c>
      <c r="BP132" s="3">
        <v>1</v>
      </c>
      <c r="BQ132" s="3">
        <v>40</v>
      </c>
      <c r="BR132" s="3">
        <v>0</v>
      </c>
      <c r="BS132" s="3">
        <v>56.35</v>
      </c>
      <c r="BT132" s="3">
        <v>1</v>
      </c>
      <c r="BU132" s="3">
        <v>1</v>
      </c>
      <c r="BV132" s="3">
        <v>1</v>
      </c>
      <c r="BW132" s="3">
        <v>1</v>
      </c>
      <c r="BX132" s="3">
        <v>1</v>
      </c>
      <c r="BY132" s="3" t="s">
        <v>3</v>
      </c>
      <c r="BZ132" s="3">
        <v>90</v>
      </c>
      <c r="CA132" s="3">
        <v>46</v>
      </c>
      <c r="CB132" s="3" t="s">
        <v>3</v>
      </c>
      <c r="CE132" s="3">
        <v>1566</v>
      </c>
      <c r="CF132" s="3">
        <v>0</v>
      </c>
      <c r="CG132" s="3">
        <v>0</v>
      </c>
      <c r="CM132" s="3">
        <v>0</v>
      </c>
      <c r="CN132" s="3" t="s">
        <v>820</v>
      </c>
      <c r="CO132" s="3">
        <v>0</v>
      </c>
      <c r="CP132" s="3">
        <f t="shared" si="148"/>
        <v>3043.09</v>
      </c>
      <c r="CQ132" s="3">
        <f t="shared" si="138"/>
        <v>10.33</v>
      </c>
      <c r="CR132" s="3">
        <f>(ROUND((ROUND((((ET132*1.2))*AV132*1),2)*BB132),2)+ROUND((ROUND(((AE132-((EU132*1.2)))*AV132*1),2)*BS132),2))</f>
        <v>0</v>
      </c>
      <c r="CS132" s="3">
        <f>(ROUND((ROUND((((EU132*1.2))*AV132*1),2)*BS132),2)+ROUND((ROUND(((AE132-((EU132*1.2)))*AV132*1),2)*BS132),2))</f>
        <v>0</v>
      </c>
      <c r="CT132" s="3">
        <f t="shared" si="149"/>
        <v>750.58</v>
      </c>
      <c r="CU132" s="3">
        <f t="shared" si="150"/>
        <v>0</v>
      </c>
      <c r="CV132" s="3">
        <f t="shared" si="151"/>
        <v>1.0553759999999999</v>
      </c>
      <c r="CW132" s="3">
        <f t="shared" si="152"/>
        <v>0</v>
      </c>
      <c r="CX132" s="3">
        <f t="shared" si="153"/>
        <v>0</v>
      </c>
      <c r="CY132" s="3">
        <f>(ROUND((((S132+ROUND((ROUND((((EU132*1.2))*AV132*1),2)*BS132),2))*AT132)/100),2)+ROUND(((ROUND((ROUND(((AE132-((EU132*1.2)))*AV132*1),2)*BS132),2)*AT132)/100),2))</f>
        <v>2701.58</v>
      </c>
      <c r="CZ132" s="3">
        <f>(ROUND((((S132+ROUND((ROUND((((EU132*1.2))*AV132*1),2)*BS132),2))*AU132)/100),2)+ROUND(((ROUND((ROUND(((AE132-((EU132*1.2)))*AV132*1),2)*BS132),2)*AU132)/100),2))</f>
        <v>1380.81</v>
      </c>
      <c r="DB132" s="3">
        <v>80</v>
      </c>
      <c r="DC132" s="3" t="s">
        <v>3</v>
      </c>
      <c r="DD132" s="3" t="s">
        <v>119</v>
      </c>
      <c r="DE132" s="3" t="s">
        <v>120</v>
      </c>
      <c r="DF132" s="3" t="s">
        <v>120</v>
      </c>
      <c r="DG132" s="3" t="s">
        <v>120</v>
      </c>
      <c r="DH132" s="3" t="s">
        <v>3</v>
      </c>
      <c r="DI132" s="3" t="s">
        <v>120</v>
      </c>
      <c r="DJ132" s="3" t="s">
        <v>120</v>
      </c>
      <c r="DK132" s="3" t="s">
        <v>3</v>
      </c>
      <c r="DL132" s="3" t="s">
        <v>3</v>
      </c>
      <c r="DM132" s="3" t="s">
        <v>3</v>
      </c>
      <c r="DN132" s="3">
        <v>0</v>
      </c>
      <c r="DO132" s="3">
        <v>0</v>
      </c>
      <c r="DP132" s="3">
        <v>1</v>
      </c>
      <c r="DQ132" s="3">
        <v>1</v>
      </c>
      <c r="DU132" s="3">
        <v>1013</v>
      </c>
      <c r="DV132" s="3" t="s">
        <v>29</v>
      </c>
      <c r="DW132" s="3" t="s">
        <v>29</v>
      </c>
      <c r="DX132" s="3">
        <v>1</v>
      </c>
      <c r="DZ132" s="3" t="s">
        <v>3</v>
      </c>
      <c r="EA132" s="3" t="s">
        <v>3</v>
      </c>
      <c r="EB132" s="3" t="s">
        <v>3</v>
      </c>
      <c r="EC132" s="3" t="s">
        <v>3</v>
      </c>
      <c r="EE132" s="3">
        <v>57248652</v>
      </c>
      <c r="EF132" s="3">
        <v>40</v>
      </c>
      <c r="EG132" s="3" t="s">
        <v>33</v>
      </c>
      <c r="EH132" s="3">
        <v>0</v>
      </c>
      <c r="EI132" s="3" t="s">
        <v>3</v>
      </c>
      <c r="EJ132" s="3">
        <v>2</v>
      </c>
      <c r="EK132" s="3">
        <v>68</v>
      </c>
      <c r="EL132" s="3" t="s">
        <v>34</v>
      </c>
      <c r="EM132" s="3" t="s">
        <v>35</v>
      </c>
      <c r="EO132" s="3" t="s">
        <v>124</v>
      </c>
      <c r="EQ132" s="3">
        <v>131072</v>
      </c>
      <c r="ER132" s="3">
        <v>11.65</v>
      </c>
      <c r="ES132" s="3">
        <v>1.05</v>
      </c>
      <c r="ET132" s="3">
        <v>0</v>
      </c>
      <c r="EU132" s="3">
        <v>0</v>
      </c>
      <c r="EV132" s="3">
        <v>10.6</v>
      </c>
      <c r="EW132" s="3">
        <v>0.84</v>
      </c>
      <c r="EX132" s="3">
        <v>0</v>
      </c>
      <c r="EY132" s="3">
        <v>0</v>
      </c>
      <c r="FQ132" s="3">
        <v>0</v>
      </c>
      <c r="FR132" s="3">
        <v>0</v>
      </c>
      <c r="FS132" s="3">
        <v>0</v>
      </c>
      <c r="FX132" s="3">
        <v>90</v>
      </c>
      <c r="FY132" s="3">
        <v>46</v>
      </c>
      <c r="GA132" s="3" t="s">
        <v>3</v>
      </c>
      <c r="GD132" s="3">
        <v>1</v>
      </c>
      <c r="GF132" s="3">
        <v>-1797125674</v>
      </c>
      <c r="GG132" s="3">
        <v>2</v>
      </c>
      <c r="GH132" s="3">
        <v>1</v>
      </c>
      <c r="GI132" s="3">
        <v>2</v>
      </c>
      <c r="GJ132" s="3">
        <v>0</v>
      </c>
      <c r="GK132" s="3">
        <v>0</v>
      </c>
      <c r="GL132" s="3">
        <f t="shared" si="154"/>
        <v>0</v>
      </c>
      <c r="GM132" s="3">
        <f t="shared" si="155"/>
        <v>7125.48</v>
      </c>
      <c r="GN132" s="3">
        <f t="shared" si="156"/>
        <v>0</v>
      </c>
      <c r="GO132" s="3">
        <f t="shared" si="157"/>
        <v>7125.48</v>
      </c>
      <c r="GP132" s="3">
        <f t="shared" si="158"/>
        <v>0</v>
      </c>
      <c r="GR132" s="3">
        <v>0</v>
      </c>
      <c r="GS132" s="3">
        <v>3</v>
      </c>
      <c r="GT132" s="3">
        <v>0</v>
      </c>
      <c r="GU132" s="3" t="s">
        <v>3</v>
      </c>
      <c r="GV132" s="3">
        <f t="shared" si="159"/>
        <v>0</v>
      </c>
      <c r="GW132" s="3">
        <v>1</v>
      </c>
      <c r="GX132" s="3">
        <f t="shared" si="160"/>
        <v>0</v>
      </c>
      <c r="HA132" s="3">
        <v>0</v>
      </c>
      <c r="HB132" s="3">
        <v>0</v>
      </c>
      <c r="HC132" s="3">
        <f t="shared" si="161"/>
        <v>0</v>
      </c>
      <c r="HE132" s="3" t="s">
        <v>3</v>
      </c>
      <c r="HF132" s="3" t="s">
        <v>3</v>
      </c>
      <c r="HM132" s="3" t="s">
        <v>3</v>
      </c>
      <c r="HN132" s="3" t="s">
        <v>3</v>
      </c>
      <c r="HO132" s="3" t="s">
        <v>3</v>
      </c>
      <c r="HP132" s="3" t="s">
        <v>3</v>
      </c>
      <c r="HQ132" s="3" t="s">
        <v>3</v>
      </c>
      <c r="HS132" s="3">
        <v>0</v>
      </c>
      <c r="IK132" s="3">
        <v>0</v>
      </c>
    </row>
    <row r="133" spans="1:255" x14ac:dyDescent="0.2">
      <c r="A133" s="2">
        <v>17</v>
      </c>
      <c r="B133" s="2">
        <v>1</v>
      </c>
      <c r="C133" s="2"/>
      <c r="D133" s="2"/>
      <c r="E133" s="2" t="s">
        <v>250</v>
      </c>
      <c r="F133" s="2" t="s">
        <v>251</v>
      </c>
      <c r="G133" s="2" t="s">
        <v>822</v>
      </c>
      <c r="H133" s="2" t="s">
        <v>228</v>
      </c>
      <c r="I133" s="2">
        <v>4</v>
      </c>
      <c r="J133" s="2">
        <v>0</v>
      </c>
      <c r="K133" s="2">
        <v>4</v>
      </c>
      <c r="L133" s="2"/>
      <c r="M133" s="2"/>
      <c r="N133" s="2"/>
      <c r="O133" s="2">
        <f t="shared" si="139"/>
        <v>139.76</v>
      </c>
      <c r="P133" s="2">
        <f>ROUND((ROUND((AC133*I133),2)*BC133),2)</f>
        <v>139.76</v>
      </c>
      <c r="Q133" s="2">
        <f>(ROUND((ROUND(((ET133)*AV133*I133),2)*BB133),2)+ROUND((ROUND(((AE133-(EU133))*AV133*I133),2)*BS133),2))</f>
        <v>0</v>
      </c>
      <c r="R133" s="2">
        <f>(ROUND((ROUND(((EU133)*AV133*I133),2)*BS133),2)+ROUND((ROUND(((AE133-(EU133))*AV133*I133),2)*BS133),2))</f>
        <v>0</v>
      </c>
      <c r="S133" s="2">
        <f t="shared" si="140"/>
        <v>0</v>
      </c>
      <c r="T133" s="2">
        <f t="shared" si="141"/>
        <v>0</v>
      </c>
      <c r="U133" s="2">
        <f t="shared" si="142"/>
        <v>0</v>
      </c>
      <c r="V133" s="2">
        <f t="shared" si="143"/>
        <v>0</v>
      </c>
      <c r="W133" s="2">
        <f t="shared" si="144"/>
        <v>0</v>
      </c>
      <c r="X133" s="2">
        <f>(ROUND((((S133+ROUND((ROUND(((EU133)*AV133*I133),2)*BS133),2))*AT133)/100),2)+ROUND(((ROUND((ROUND(((AE133-(EU133))*AV133*I133),2)*BS133),2)*AT133)/100),2))</f>
        <v>0</v>
      </c>
      <c r="Y133" s="2">
        <f>(ROUND((((S133+ROUND((ROUND(((EU133)*AV133*I133),2)*BS133),2))*AU133)/100),2)+ROUND(((ROUND((ROUND(((AE133-(EU133))*AV133*I133),2)*BS133),2)*AU133)/100),2))</f>
        <v>0</v>
      </c>
      <c r="Z133" s="2"/>
      <c r="AA133" s="2">
        <v>57248835</v>
      </c>
      <c r="AB133" s="2">
        <f t="shared" si="145"/>
        <v>34.94</v>
      </c>
      <c r="AC133" s="2">
        <f>ROUND((ES133),6)</f>
        <v>34.94</v>
      </c>
      <c r="AD133" s="2">
        <f>ROUND((((ET133)-(EU133))+AE133),6)</f>
        <v>0</v>
      </c>
      <c r="AE133" s="2">
        <f>ROUND((EU133),6)</f>
        <v>0</v>
      </c>
      <c r="AF133" s="2">
        <f>ROUND((EV133),6)</f>
        <v>0</v>
      </c>
      <c r="AG133" s="2">
        <f t="shared" si="146"/>
        <v>0</v>
      </c>
      <c r="AH133" s="2">
        <f>(EW133)</f>
        <v>0</v>
      </c>
      <c r="AI133" s="2">
        <f>(EX133)</f>
        <v>0</v>
      </c>
      <c r="AJ133" s="2">
        <f t="shared" si="147"/>
        <v>0</v>
      </c>
      <c r="AK133" s="2">
        <v>34.94</v>
      </c>
      <c r="AL133" s="2">
        <v>34.94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3</v>
      </c>
      <c r="BJ133" s="2" t="s">
        <v>252</v>
      </c>
      <c r="BK133" s="2"/>
      <c r="BL133" s="2"/>
      <c r="BM133" s="2">
        <v>746</v>
      </c>
      <c r="BN133" s="2">
        <v>0</v>
      </c>
      <c r="BO133" s="2" t="s">
        <v>3</v>
      </c>
      <c r="BP133" s="2">
        <v>0</v>
      </c>
      <c r="BQ133" s="2">
        <v>130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0</v>
      </c>
      <c r="CA133" s="2">
        <v>0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3</v>
      </c>
      <c r="CO133" s="2">
        <v>0</v>
      </c>
      <c r="CP133" s="2">
        <f t="shared" si="148"/>
        <v>139.76</v>
      </c>
      <c r="CQ133" s="2">
        <f>ROUND((ROUND((AC133*1),2)*BC133),2)</f>
        <v>34.94</v>
      </c>
      <c r="CR133" s="2">
        <f>(ROUND((ROUND(((ET133)*AV133*1),2)*BB133),2)+ROUND((ROUND(((AE133-(EU133))*AV133*1),2)*BS133),2))</f>
        <v>0</v>
      </c>
      <c r="CS133" s="2">
        <f>(ROUND((ROUND(((EU133)*AV133*1),2)*BS133),2)+ROUND((ROUND(((AE133-(EU133))*AV133*1),2)*BS133),2))</f>
        <v>0</v>
      </c>
      <c r="CT133" s="2">
        <f t="shared" si="149"/>
        <v>0</v>
      </c>
      <c r="CU133" s="2">
        <f t="shared" si="150"/>
        <v>0</v>
      </c>
      <c r="CV133" s="2">
        <f t="shared" si="151"/>
        <v>0</v>
      </c>
      <c r="CW133" s="2">
        <f t="shared" si="152"/>
        <v>0</v>
      </c>
      <c r="CX133" s="2">
        <f t="shared" si="153"/>
        <v>0</v>
      </c>
      <c r="CY133" s="2">
        <f>(ROUND((((S133+ROUND((ROUND(((EU133)*AV133*1),2)*BS133),2))*AT133)/100),2)+ROUND(((ROUND((ROUND(((AE133-(EU133))*AV133*1),2)*BS133),2)*AT133)/100),2))</f>
        <v>0</v>
      </c>
      <c r="CZ133" s="2">
        <f>(ROUND((((S133+ROUND((ROUND(((EU133)*AV133*1),2)*BS133),2))*AU133)/100),2)+ROUND(((ROUND((ROUND(((AE133-(EU133))*AV133*1),2)*BS133),2)*AU133)/100),2))</f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228</v>
      </c>
      <c r="DW133" s="2" t="s">
        <v>228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57248777</v>
      </c>
      <c r="EF133" s="2">
        <v>130</v>
      </c>
      <c r="EG133" s="2" t="s">
        <v>230</v>
      </c>
      <c r="EH133" s="2">
        <v>0</v>
      </c>
      <c r="EI133" s="2" t="s">
        <v>3</v>
      </c>
      <c r="EJ133" s="2">
        <v>3</v>
      </c>
      <c r="EK133" s="2">
        <v>746</v>
      </c>
      <c r="EL133" s="2" t="s">
        <v>231</v>
      </c>
      <c r="EM133" s="2" t="s">
        <v>232</v>
      </c>
      <c r="EN133" s="2"/>
      <c r="EO133" s="2" t="s">
        <v>3</v>
      </c>
      <c r="EP133" s="2"/>
      <c r="EQ133" s="2">
        <v>131072</v>
      </c>
      <c r="ER133" s="2">
        <v>34.94</v>
      </c>
      <c r="ES133" s="2">
        <v>34.94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f>P133</f>
        <v>139.76</v>
      </c>
      <c r="FS133" s="2">
        <v>0</v>
      </c>
      <c r="FT133" s="2"/>
      <c r="FU133" s="2"/>
      <c r="FV133" s="2"/>
      <c r="FW133" s="2"/>
      <c r="FX133" s="2">
        <v>0</v>
      </c>
      <c r="FY133" s="2">
        <v>0</v>
      </c>
      <c r="FZ133" s="2"/>
      <c r="GA133" s="2" t="s">
        <v>3</v>
      </c>
      <c r="GB133" s="2"/>
      <c r="GC133" s="2"/>
      <c r="GD133" s="2">
        <v>1</v>
      </c>
      <c r="GE133" s="2"/>
      <c r="GF133" s="2">
        <v>1129817184</v>
      </c>
      <c r="GG133" s="2">
        <v>2</v>
      </c>
      <c r="GH133" s="2">
        <v>1</v>
      </c>
      <c r="GI133" s="2">
        <v>-2</v>
      </c>
      <c r="GJ133" s="2">
        <v>0</v>
      </c>
      <c r="GK133" s="2">
        <v>0</v>
      </c>
      <c r="GL133" s="2">
        <f t="shared" si="154"/>
        <v>0</v>
      </c>
      <c r="GM133" s="2">
        <f t="shared" si="155"/>
        <v>139.76</v>
      </c>
      <c r="GN133" s="2">
        <f t="shared" si="156"/>
        <v>0</v>
      </c>
      <c r="GO133" s="2">
        <f t="shared" si="157"/>
        <v>0</v>
      </c>
      <c r="GP133" s="2">
        <f t="shared" si="158"/>
        <v>0</v>
      </c>
      <c r="GQ133" s="2"/>
      <c r="GR133" s="2">
        <v>0</v>
      </c>
      <c r="GS133" s="2">
        <v>3</v>
      </c>
      <c r="GT133" s="2">
        <v>0</v>
      </c>
      <c r="GU133" s="2" t="s">
        <v>3</v>
      </c>
      <c r="GV133" s="2">
        <f t="shared" si="159"/>
        <v>0</v>
      </c>
      <c r="GW133" s="2">
        <v>1</v>
      </c>
      <c r="GX133" s="2">
        <f t="shared" si="160"/>
        <v>0</v>
      </c>
      <c r="GY133" s="2"/>
      <c r="GZ133" s="2"/>
      <c r="HA133" s="2">
        <v>0</v>
      </c>
      <c r="HB133" s="2">
        <v>0</v>
      </c>
      <c r="HC133" s="2">
        <f t="shared" si="161"/>
        <v>0</v>
      </c>
      <c r="HD133" s="2"/>
      <c r="HE133" s="2" t="s">
        <v>3</v>
      </c>
      <c r="HF133" s="2" t="s">
        <v>3</v>
      </c>
      <c r="HG133" s="2"/>
      <c r="HH133" s="2"/>
      <c r="HI133" s="2"/>
      <c r="HJ133" s="2"/>
      <c r="HK133" s="2"/>
      <c r="HL133" s="2"/>
      <c r="HM133" s="2" t="s">
        <v>3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3">
        <v>17</v>
      </c>
      <c r="B134" s="3">
        <v>1</v>
      </c>
      <c r="E134" s="3" t="s">
        <v>250</v>
      </c>
      <c r="F134" s="3" t="s">
        <v>251</v>
      </c>
      <c r="G134" s="3" t="s">
        <v>822</v>
      </c>
      <c r="H134" s="3" t="s">
        <v>228</v>
      </c>
      <c r="I134" s="3">
        <v>4</v>
      </c>
      <c r="J134" s="3">
        <v>0</v>
      </c>
      <c r="K134" s="3">
        <v>4</v>
      </c>
      <c r="O134" s="3">
        <f t="shared" si="139"/>
        <v>592.58000000000004</v>
      </c>
      <c r="P134" s="3">
        <f>ROUND((ROUND((AC134*I134),2)*BC134),2)</f>
        <v>592.58000000000004</v>
      </c>
      <c r="Q134" s="3">
        <f>(ROUND((ROUND(((ET134)*AV134*I134),2)*BB134),2)+ROUND((ROUND(((AE134-(EU134))*AV134*I134),2)*BS134),2))</f>
        <v>0</v>
      </c>
      <c r="R134" s="3">
        <f>(ROUND((ROUND(((EU134)*AV134*I134),2)*BS134),2)+ROUND((ROUND(((AE134-(EU134))*AV134*I134),2)*BS134),2))</f>
        <v>0</v>
      </c>
      <c r="S134" s="3">
        <f t="shared" si="140"/>
        <v>0</v>
      </c>
      <c r="T134" s="3">
        <f t="shared" si="141"/>
        <v>0</v>
      </c>
      <c r="U134" s="3">
        <f t="shared" si="142"/>
        <v>0</v>
      </c>
      <c r="V134" s="3">
        <f t="shared" si="143"/>
        <v>0</v>
      </c>
      <c r="W134" s="3">
        <f t="shared" si="144"/>
        <v>0</v>
      </c>
      <c r="X134" s="3">
        <f>(ROUND((((S134+ROUND((ROUND(((EU134)*AV134*I134),2)*BS134),2))*AT134)/100),2)+ROUND(((ROUND((ROUND(((AE134-(EU134))*AV134*I134),2)*BS134),2)*AT134)/100),2))</f>
        <v>0</v>
      </c>
      <c r="Y134" s="3">
        <f>(ROUND((((S134+ROUND((ROUND(((EU134)*AV134*I134),2)*BS134),2))*AU134)/100),2)+ROUND(((ROUND((ROUND(((AE134-(EU134))*AV134*I134),2)*BS134),2)*AU134)/100),2))</f>
        <v>0</v>
      </c>
      <c r="AA134" s="3">
        <v>57248837</v>
      </c>
      <c r="AB134" s="3">
        <f t="shared" si="145"/>
        <v>34.94</v>
      </c>
      <c r="AC134" s="3">
        <f>ROUND((ES134),6)</f>
        <v>34.94</v>
      </c>
      <c r="AD134" s="3">
        <f>ROUND((((ET134)-(EU134))+AE134),6)</f>
        <v>0</v>
      </c>
      <c r="AE134" s="3">
        <f>ROUND((EU134),6)</f>
        <v>0</v>
      </c>
      <c r="AF134" s="3">
        <f>ROUND((EV134),6)</f>
        <v>0</v>
      </c>
      <c r="AG134" s="3">
        <f t="shared" si="146"/>
        <v>0</v>
      </c>
      <c r="AH134" s="3">
        <f>(EW134)</f>
        <v>0</v>
      </c>
      <c r="AI134" s="3">
        <f>(EX134)</f>
        <v>0</v>
      </c>
      <c r="AJ134" s="3">
        <f t="shared" si="147"/>
        <v>0</v>
      </c>
      <c r="AK134" s="3">
        <v>34.94</v>
      </c>
      <c r="AL134" s="3">
        <v>34.94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1</v>
      </c>
      <c r="AW134" s="3">
        <v>1</v>
      </c>
      <c r="AZ134" s="3">
        <v>1</v>
      </c>
      <c r="BA134" s="3">
        <v>1</v>
      </c>
      <c r="BB134" s="3">
        <v>1</v>
      </c>
      <c r="BC134" s="3">
        <v>4.24</v>
      </c>
      <c r="BD134" s="3" t="s">
        <v>3</v>
      </c>
      <c r="BE134" s="3" t="s">
        <v>3</v>
      </c>
      <c r="BF134" s="3" t="s">
        <v>3</v>
      </c>
      <c r="BG134" s="3" t="s">
        <v>3</v>
      </c>
      <c r="BH134" s="3">
        <v>3</v>
      </c>
      <c r="BI134" s="3">
        <v>3</v>
      </c>
      <c r="BJ134" s="3" t="s">
        <v>252</v>
      </c>
      <c r="BM134" s="3">
        <v>746</v>
      </c>
      <c r="BN134" s="3">
        <v>0</v>
      </c>
      <c r="BO134" s="3" t="s">
        <v>3</v>
      </c>
      <c r="BP134" s="3">
        <v>0</v>
      </c>
      <c r="BQ134" s="3">
        <v>130</v>
      </c>
      <c r="BR134" s="3">
        <v>0</v>
      </c>
      <c r="BS134" s="3">
        <v>1</v>
      </c>
      <c r="BT134" s="3">
        <v>1</v>
      </c>
      <c r="BU134" s="3">
        <v>1</v>
      </c>
      <c r="BV134" s="3">
        <v>1</v>
      </c>
      <c r="BW134" s="3">
        <v>1</v>
      </c>
      <c r="BX134" s="3">
        <v>1</v>
      </c>
      <c r="BY134" s="3" t="s">
        <v>3</v>
      </c>
      <c r="BZ134" s="3">
        <v>0</v>
      </c>
      <c r="CA134" s="3">
        <v>0</v>
      </c>
      <c r="CB134" s="3" t="s">
        <v>3</v>
      </c>
      <c r="CE134" s="3">
        <v>1566</v>
      </c>
      <c r="CF134" s="3">
        <v>0</v>
      </c>
      <c r="CG134" s="3">
        <v>0</v>
      </c>
      <c r="CM134" s="3">
        <v>0</v>
      </c>
      <c r="CN134" s="3" t="s">
        <v>3</v>
      </c>
      <c r="CO134" s="3">
        <v>0</v>
      </c>
      <c r="CP134" s="3">
        <f t="shared" si="148"/>
        <v>592.58000000000004</v>
      </c>
      <c r="CQ134" s="3">
        <f>ROUND((ROUND((AC134*1),2)*BC134),2)</f>
        <v>148.15</v>
      </c>
      <c r="CR134" s="3">
        <f>(ROUND((ROUND(((ET134)*AV134*1),2)*BB134),2)+ROUND((ROUND(((AE134-(EU134))*AV134*1),2)*BS134),2))</f>
        <v>0</v>
      </c>
      <c r="CS134" s="3">
        <f>(ROUND((ROUND(((EU134)*AV134*1),2)*BS134),2)+ROUND((ROUND(((AE134-(EU134))*AV134*1),2)*BS134),2))</f>
        <v>0</v>
      </c>
      <c r="CT134" s="3">
        <f t="shared" si="149"/>
        <v>0</v>
      </c>
      <c r="CU134" s="3">
        <f t="shared" si="150"/>
        <v>0</v>
      </c>
      <c r="CV134" s="3">
        <f t="shared" si="151"/>
        <v>0</v>
      </c>
      <c r="CW134" s="3">
        <f t="shared" si="152"/>
        <v>0</v>
      </c>
      <c r="CX134" s="3">
        <f t="shared" si="153"/>
        <v>0</v>
      </c>
      <c r="CY134" s="3">
        <f>(ROUND((((S134+ROUND((ROUND(((EU134)*AV134*1),2)*BS134),2))*AT134)/100),2)+ROUND(((ROUND((ROUND(((AE134-(EU134))*AV134*1),2)*BS134),2)*AT134)/100),2))</f>
        <v>0</v>
      </c>
      <c r="CZ134" s="3">
        <f>(ROUND((((S134+ROUND((ROUND(((EU134)*AV134*1),2)*BS134),2))*AU134)/100),2)+ROUND(((ROUND((ROUND(((AE134-(EU134))*AV134*1),2)*BS134),2)*AU134)/100),2))</f>
        <v>0</v>
      </c>
      <c r="DC134" s="3" t="s">
        <v>3</v>
      </c>
      <c r="DD134" s="3" t="s">
        <v>3</v>
      </c>
      <c r="DE134" s="3" t="s">
        <v>3</v>
      </c>
      <c r="DF134" s="3" t="s">
        <v>3</v>
      </c>
      <c r="DG134" s="3" t="s">
        <v>3</v>
      </c>
      <c r="DH134" s="3" t="s">
        <v>3</v>
      </c>
      <c r="DI134" s="3" t="s">
        <v>3</v>
      </c>
      <c r="DJ134" s="3" t="s">
        <v>3</v>
      </c>
      <c r="DK134" s="3" t="s">
        <v>3</v>
      </c>
      <c r="DL134" s="3" t="s">
        <v>3</v>
      </c>
      <c r="DM134" s="3" t="s">
        <v>3</v>
      </c>
      <c r="DN134" s="3">
        <v>0</v>
      </c>
      <c r="DO134" s="3">
        <v>0</v>
      </c>
      <c r="DP134" s="3">
        <v>1</v>
      </c>
      <c r="DQ134" s="3">
        <v>1</v>
      </c>
      <c r="DU134" s="3">
        <v>1010</v>
      </c>
      <c r="DV134" s="3" t="s">
        <v>228</v>
      </c>
      <c r="DW134" s="3" t="s">
        <v>228</v>
      </c>
      <c r="DX134" s="3">
        <v>1</v>
      </c>
      <c r="DZ134" s="3" t="s">
        <v>3</v>
      </c>
      <c r="EA134" s="3" t="s">
        <v>3</v>
      </c>
      <c r="EB134" s="3" t="s">
        <v>3</v>
      </c>
      <c r="EC134" s="3" t="s">
        <v>3</v>
      </c>
      <c r="EE134" s="3">
        <v>57248777</v>
      </c>
      <c r="EF134" s="3">
        <v>130</v>
      </c>
      <c r="EG134" s="3" t="s">
        <v>230</v>
      </c>
      <c r="EH134" s="3">
        <v>0</v>
      </c>
      <c r="EI134" s="3" t="s">
        <v>3</v>
      </c>
      <c r="EJ134" s="3">
        <v>3</v>
      </c>
      <c r="EK134" s="3">
        <v>746</v>
      </c>
      <c r="EL134" s="3" t="s">
        <v>231</v>
      </c>
      <c r="EM134" s="3" t="s">
        <v>232</v>
      </c>
      <c r="EO134" s="3" t="s">
        <v>3</v>
      </c>
      <c r="EQ134" s="3">
        <v>131072</v>
      </c>
      <c r="ER134" s="3">
        <v>34.94</v>
      </c>
      <c r="ES134" s="3">
        <v>34.94</v>
      </c>
      <c r="ET134" s="3">
        <v>0</v>
      </c>
      <c r="EU134" s="3">
        <v>0</v>
      </c>
      <c r="EV134" s="3">
        <v>0</v>
      </c>
      <c r="EW134" s="3">
        <v>0</v>
      </c>
      <c r="EX134" s="3">
        <v>0</v>
      </c>
      <c r="EY134" s="3">
        <v>0</v>
      </c>
      <c r="FQ134" s="3">
        <v>0</v>
      </c>
      <c r="FR134" s="3">
        <f>P134</f>
        <v>592.58000000000004</v>
      </c>
      <c r="FS134" s="3">
        <v>0</v>
      </c>
      <c r="FX134" s="3">
        <v>0</v>
      </c>
      <c r="FY134" s="3">
        <v>0</v>
      </c>
      <c r="GA134" s="3" t="s">
        <v>3</v>
      </c>
      <c r="GD134" s="3">
        <v>1</v>
      </c>
      <c r="GF134" s="3">
        <v>1129817184</v>
      </c>
      <c r="GG134" s="3">
        <v>2</v>
      </c>
      <c r="GH134" s="3">
        <v>1</v>
      </c>
      <c r="GI134" s="3">
        <v>2</v>
      </c>
      <c r="GJ134" s="3">
        <v>0</v>
      </c>
      <c r="GK134" s="3">
        <v>0</v>
      </c>
      <c r="GL134" s="3">
        <f t="shared" si="154"/>
        <v>0</v>
      </c>
      <c r="GM134" s="3">
        <f t="shared" si="155"/>
        <v>592.58000000000004</v>
      </c>
      <c r="GN134" s="3">
        <f t="shared" si="156"/>
        <v>0</v>
      </c>
      <c r="GO134" s="3">
        <f t="shared" si="157"/>
        <v>0</v>
      </c>
      <c r="GP134" s="3">
        <f t="shared" si="158"/>
        <v>0</v>
      </c>
      <c r="GR134" s="3">
        <v>0</v>
      </c>
      <c r="GS134" s="3">
        <v>3</v>
      </c>
      <c r="GT134" s="3">
        <v>0</v>
      </c>
      <c r="GU134" s="3" t="s">
        <v>3</v>
      </c>
      <c r="GV134" s="3">
        <f t="shared" si="159"/>
        <v>0</v>
      </c>
      <c r="GW134" s="3">
        <v>1</v>
      </c>
      <c r="GX134" s="3">
        <f t="shared" si="160"/>
        <v>0</v>
      </c>
      <c r="HA134" s="3">
        <v>0</v>
      </c>
      <c r="HB134" s="3">
        <v>0</v>
      </c>
      <c r="HC134" s="3">
        <f t="shared" si="161"/>
        <v>0</v>
      </c>
      <c r="HE134" s="3" t="s">
        <v>3</v>
      </c>
      <c r="HF134" s="3" t="s">
        <v>3</v>
      </c>
      <c r="HM134" s="3" t="s">
        <v>3</v>
      </c>
      <c r="HN134" s="3" t="s">
        <v>3</v>
      </c>
      <c r="HO134" s="3" t="s">
        <v>3</v>
      </c>
      <c r="HP134" s="3" t="s">
        <v>3</v>
      </c>
      <c r="HQ134" s="3" t="s">
        <v>3</v>
      </c>
      <c r="HS134" s="3">
        <v>0</v>
      </c>
      <c r="IK134" s="3">
        <v>0</v>
      </c>
    </row>
    <row r="135" spans="1:255" x14ac:dyDescent="0.2">
      <c r="A135" s="2">
        <v>17</v>
      </c>
      <c r="B135" s="2">
        <v>1</v>
      </c>
      <c r="C135" s="2">
        <f>ROW(SmtRes!A182)</f>
        <v>182</v>
      </c>
      <c r="D135" s="2">
        <f>ROW(EtalonRes!A240)</f>
        <v>240</v>
      </c>
      <c r="E135" s="2" t="s">
        <v>253</v>
      </c>
      <c r="F135" s="2" t="s">
        <v>65</v>
      </c>
      <c r="G135" s="2" t="s">
        <v>254</v>
      </c>
      <c r="H135" s="2" t="s">
        <v>67</v>
      </c>
      <c r="I135" s="2">
        <f>ROUND((4+4+4)/100,9)</f>
        <v>0.12</v>
      </c>
      <c r="J135" s="2">
        <v>0</v>
      </c>
      <c r="K135" s="2">
        <f>ROUND((4+4+4)/100,9)</f>
        <v>0.12</v>
      </c>
      <c r="L135" s="2"/>
      <c r="M135" s="2"/>
      <c r="N135" s="2"/>
      <c r="O135" s="2">
        <f t="shared" si="139"/>
        <v>189.65</v>
      </c>
      <c r="P135" s="2">
        <f>ROUND((ROUND((AC135*AW135*I135),2)*BC135),2)</f>
        <v>9.76</v>
      </c>
      <c r="Q135" s="2">
        <f>(ROUND((ROUND((((ET135*1.2))*AV135*I135),2)*BB135),2)+ROUND((ROUND(((AE135-((EU135*1.2)))*AV135*I135),2)*BS135),2))</f>
        <v>14.07</v>
      </c>
      <c r="R135" s="2">
        <f>(ROUND((ROUND((((EU135*1.2))*AV135*I135),2)*BS135),2)+ROUND((ROUND(((AE135-((EU135*1.2)))*AV135*I135),2)*BS135),2))</f>
        <v>1.96</v>
      </c>
      <c r="S135" s="2">
        <f t="shared" si="140"/>
        <v>165.82</v>
      </c>
      <c r="T135" s="2">
        <f t="shared" si="141"/>
        <v>0</v>
      </c>
      <c r="U135" s="2">
        <f t="shared" si="142"/>
        <v>12.765526559999998</v>
      </c>
      <c r="V135" s="2">
        <f t="shared" si="143"/>
        <v>0</v>
      </c>
      <c r="W135" s="2">
        <f t="shared" si="144"/>
        <v>0</v>
      </c>
      <c r="X135" s="2">
        <f>(ROUND((((S135+ROUND((ROUND((((EU135*1.2))*AV135*I135),2)*BS135),2))*AT135)/100),2)+ROUND(((ROUND((ROUND(((AE135-((EU135*1.2)))*AV135*I135),2)*BS135),2)*AT135)/100),2))</f>
        <v>162.75</v>
      </c>
      <c r="Y135" s="2">
        <f>(ROUND((((S135+ROUND((ROUND((((EU135*1.2))*AV135*I135),2)*BS135),2))*AU135)/100),2)+ROUND(((ROUND((ROUND(((AE135-((EU135*1.2)))*AV135*I135),2)*BS135),2)*AU135)/100),2))</f>
        <v>85.57</v>
      </c>
      <c r="Z135" s="2"/>
      <c r="AA135" s="2">
        <v>57248835</v>
      </c>
      <c r="AB135" s="2">
        <f t="shared" si="145"/>
        <v>1513.1759999999999</v>
      </c>
      <c r="AC135" s="2">
        <f>ROUND(((ES135*1)),6)</f>
        <v>81.36</v>
      </c>
      <c r="AD135" s="2">
        <f>ROUND(((((ET135*1.2))-((EU135*1.2)))+AE135),6)</f>
        <v>111.98399999999999</v>
      </c>
      <c r="AE135" s="2">
        <f>ROUND(((EU135*1.2)),6)</f>
        <v>15.6</v>
      </c>
      <c r="AF135" s="2">
        <f>ROUND(((EV135*1.2)),6)</f>
        <v>1319.8320000000001</v>
      </c>
      <c r="AG135" s="2">
        <f t="shared" si="146"/>
        <v>0</v>
      </c>
      <c r="AH135" s="2">
        <f>((EW135*1.2))</f>
        <v>101.604</v>
      </c>
      <c r="AI135" s="2">
        <f>((EX135*1.2))</f>
        <v>0</v>
      </c>
      <c r="AJ135" s="2">
        <f t="shared" si="147"/>
        <v>0</v>
      </c>
      <c r="AK135" s="2">
        <v>1274.54</v>
      </c>
      <c r="AL135" s="2">
        <v>81.36</v>
      </c>
      <c r="AM135" s="2">
        <v>93.32</v>
      </c>
      <c r="AN135" s="2">
        <v>13</v>
      </c>
      <c r="AO135" s="2">
        <v>1099.8599999999999</v>
      </c>
      <c r="AP135" s="2">
        <v>0</v>
      </c>
      <c r="AQ135" s="2">
        <v>84.67</v>
      </c>
      <c r="AR135" s="2">
        <v>0</v>
      </c>
      <c r="AS135" s="2">
        <v>0</v>
      </c>
      <c r="AT135" s="2">
        <v>97</v>
      </c>
      <c r="AU135" s="2">
        <v>51</v>
      </c>
      <c r="AV135" s="2">
        <v>1.0469999999999999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0</v>
      </c>
      <c r="BI135" s="2">
        <v>2</v>
      </c>
      <c r="BJ135" s="2" t="s">
        <v>68</v>
      </c>
      <c r="BK135" s="2"/>
      <c r="BL135" s="2"/>
      <c r="BM135" s="2">
        <v>67</v>
      </c>
      <c r="BN135" s="2">
        <v>0</v>
      </c>
      <c r="BO135" s="2" t="s">
        <v>65</v>
      </c>
      <c r="BP135" s="2">
        <v>1</v>
      </c>
      <c r="BQ135" s="2">
        <v>40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97</v>
      </c>
      <c r="CA135" s="2">
        <v>51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820</v>
      </c>
      <c r="CO135" s="2">
        <v>0</v>
      </c>
      <c r="CP135" s="2">
        <f t="shared" si="148"/>
        <v>189.64999999999998</v>
      </c>
      <c r="CQ135" s="2">
        <f>ROUND((ROUND((AC135*AW135*1),2)*BC135),2)</f>
        <v>81.36</v>
      </c>
      <c r="CR135" s="2">
        <f>(ROUND((ROUND((((ET135*1.2))*AV135*1),2)*BB135),2)+ROUND((ROUND(((AE135-((EU135*1.2)))*AV135*1),2)*BS135),2))</f>
        <v>117.25</v>
      </c>
      <c r="CS135" s="2">
        <f>(ROUND((ROUND((((EU135*1.2))*AV135*1),2)*BS135),2)+ROUND((ROUND(((AE135-((EU135*1.2)))*AV135*1),2)*BS135),2))</f>
        <v>16.329999999999998</v>
      </c>
      <c r="CT135" s="2">
        <f t="shared" si="149"/>
        <v>1381.86</v>
      </c>
      <c r="CU135" s="2">
        <f t="shared" si="150"/>
        <v>0</v>
      </c>
      <c r="CV135" s="2">
        <f t="shared" si="151"/>
        <v>106.37938799999999</v>
      </c>
      <c r="CW135" s="2">
        <f t="shared" si="152"/>
        <v>0</v>
      </c>
      <c r="CX135" s="2">
        <f t="shared" si="153"/>
        <v>0</v>
      </c>
      <c r="CY135" s="2">
        <f>(ROUND((((S135+ROUND((ROUND((((EU135*1.2))*AV135*1),2)*BS135),2))*AT135)/100),2)+ROUND(((ROUND((ROUND(((AE135-((EU135*1.2)))*AV135*1),2)*BS135),2)*AT135)/100),2))</f>
        <v>176.69</v>
      </c>
      <c r="CZ135" s="2">
        <f>(ROUND((((S135+ROUND((ROUND((((EU135*1.2))*AV135*1),2)*BS135),2))*AU135)/100),2)+ROUND(((ROUND((ROUND(((AE135-((EU135*1.2)))*AV135*1),2)*BS135),2)*AU135)/100),2))</f>
        <v>92.9</v>
      </c>
      <c r="DA135" s="2"/>
      <c r="DB135" s="2">
        <v>81</v>
      </c>
      <c r="DC135" s="2" t="s">
        <v>3</v>
      </c>
      <c r="DD135" s="2" t="s">
        <v>119</v>
      </c>
      <c r="DE135" s="2" t="s">
        <v>120</v>
      </c>
      <c r="DF135" s="2" t="s">
        <v>120</v>
      </c>
      <c r="DG135" s="2" t="s">
        <v>120</v>
      </c>
      <c r="DH135" s="2" t="s">
        <v>3</v>
      </c>
      <c r="DI135" s="2" t="s">
        <v>120</v>
      </c>
      <c r="DJ135" s="2" t="s">
        <v>120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67</v>
      </c>
      <c r="DW135" s="2" t="s">
        <v>67</v>
      </c>
      <c r="DX135" s="2">
        <v>100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57248651</v>
      </c>
      <c r="EF135" s="2">
        <v>40</v>
      </c>
      <c r="EG135" s="2" t="s">
        <v>33</v>
      </c>
      <c r="EH135" s="2">
        <v>0</v>
      </c>
      <c r="EI135" s="2" t="s">
        <v>3</v>
      </c>
      <c r="EJ135" s="2">
        <v>2</v>
      </c>
      <c r="EK135" s="2">
        <v>67</v>
      </c>
      <c r="EL135" s="2" t="s">
        <v>69</v>
      </c>
      <c r="EM135" s="2" t="s">
        <v>70</v>
      </c>
      <c r="EN135" s="2"/>
      <c r="EO135" s="2" t="s">
        <v>124</v>
      </c>
      <c r="EP135" s="2"/>
      <c r="EQ135" s="2">
        <v>131072</v>
      </c>
      <c r="ER135" s="2">
        <v>1274.54</v>
      </c>
      <c r="ES135" s="2">
        <v>81.36</v>
      </c>
      <c r="ET135" s="2">
        <v>93.32</v>
      </c>
      <c r="EU135" s="2">
        <v>13</v>
      </c>
      <c r="EV135" s="2">
        <v>1099.8599999999999</v>
      </c>
      <c r="EW135" s="2">
        <v>84.67</v>
      </c>
      <c r="EX135" s="2">
        <v>0</v>
      </c>
      <c r="EY135" s="2">
        <v>0</v>
      </c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97</v>
      </c>
      <c r="FY135" s="2">
        <v>51</v>
      </c>
      <c r="FZ135" s="2"/>
      <c r="GA135" s="2" t="s">
        <v>3</v>
      </c>
      <c r="GB135" s="2"/>
      <c r="GC135" s="2"/>
      <c r="GD135" s="2">
        <v>1</v>
      </c>
      <c r="GE135" s="2"/>
      <c r="GF135" s="2">
        <v>-222864710</v>
      </c>
      <c r="GG135" s="2">
        <v>2</v>
      </c>
      <c r="GH135" s="2">
        <v>1</v>
      </c>
      <c r="GI135" s="2">
        <v>2</v>
      </c>
      <c r="GJ135" s="2">
        <v>0</v>
      </c>
      <c r="GK135" s="2">
        <v>0</v>
      </c>
      <c r="GL135" s="2">
        <f t="shared" si="154"/>
        <v>0</v>
      </c>
      <c r="GM135" s="2">
        <f t="shared" si="155"/>
        <v>437.97</v>
      </c>
      <c r="GN135" s="2">
        <f t="shared" si="156"/>
        <v>0</v>
      </c>
      <c r="GO135" s="2">
        <f t="shared" si="157"/>
        <v>437.97</v>
      </c>
      <c r="GP135" s="2">
        <f t="shared" si="158"/>
        <v>0</v>
      </c>
      <c r="GQ135" s="2"/>
      <c r="GR135" s="2">
        <v>0</v>
      </c>
      <c r="GS135" s="2">
        <v>3</v>
      </c>
      <c r="GT135" s="2">
        <v>0</v>
      </c>
      <c r="GU135" s="2" t="s">
        <v>3</v>
      </c>
      <c r="GV135" s="2">
        <f t="shared" si="159"/>
        <v>0</v>
      </c>
      <c r="GW135" s="2">
        <v>1</v>
      </c>
      <c r="GX135" s="2">
        <f t="shared" si="160"/>
        <v>0</v>
      </c>
      <c r="GY135" s="2"/>
      <c r="GZ135" s="2"/>
      <c r="HA135" s="2">
        <v>0</v>
      </c>
      <c r="HB135" s="2">
        <v>0</v>
      </c>
      <c r="HC135" s="2">
        <f t="shared" si="161"/>
        <v>0</v>
      </c>
      <c r="HD135" s="2"/>
      <c r="HE135" s="2" t="s">
        <v>3</v>
      </c>
      <c r="HF135" s="2" t="s">
        <v>3</v>
      </c>
      <c r="HG135" s="2"/>
      <c r="HH135" s="2"/>
      <c r="HI135" s="2"/>
      <c r="HJ135" s="2"/>
      <c r="HK135" s="2"/>
      <c r="HL135" s="2"/>
      <c r="HM135" s="2" t="s">
        <v>3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3">
        <v>17</v>
      </c>
      <c r="B136" s="3">
        <v>1</v>
      </c>
      <c r="C136" s="3">
        <f>ROW(SmtRes!A188)</f>
        <v>188</v>
      </c>
      <c r="D136" s="3">
        <f>ROW(EtalonRes!A248)</f>
        <v>248</v>
      </c>
      <c r="E136" s="3" t="s">
        <v>253</v>
      </c>
      <c r="F136" s="3" t="s">
        <v>65</v>
      </c>
      <c r="G136" s="3" t="s">
        <v>254</v>
      </c>
      <c r="H136" s="3" t="s">
        <v>67</v>
      </c>
      <c r="I136" s="3">
        <f>ROUND((4+4+4)/100,9)</f>
        <v>0.12</v>
      </c>
      <c r="J136" s="3">
        <v>0</v>
      </c>
      <c r="K136" s="3">
        <f>ROUND((4+4+4)/100,9)</f>
        <v>0.12</v>
      </c>
      <c r="O136" s="3">
        <f t="shared" si="139"/>
        <v>9678.93</v>
      </c>
      <c r="P136" s="3">
        <f>ROUND((ROUND((AC136*AW136*I136),2)*BC136),2)</f>
        <v>103.94</v>
      </c>
      <c r="Q136" s="3">
        <f>(ROUND((ROUND((((ET136*1.2))*AV136*I136),2)*BB136),2)+ROUND((ROUND(((AE136-((EU136*1.2)))*AV136*I136),2)*BS136),2))</f>
        <v>231.03</v>
      </c>
      <c r="R136" s="3">
        <f>(ROUND((ROUND((((EU136*1.2))*AV136*I136),2)*BS136),2)+ROUND((ROUND(((AE136-((EU136*1.2)))*AV136*I136),2)*BS136),2))</f>
        <v>110.45</v>
      </c>
      <c r="S136" s="3">
        <f t="shared" si="140"/>
        <v>9343.9599999999991</v>
      </c>
      <c r="T136" s="3">
        <f t="shared" si="141"/>
        <v>0</v>
      </c>
      <c r="U136" s="3">
        <f t="shared" si="142"/>
        <v>12.765526559999998</v>
      </c>
      <c r="V136" s="3">
        <f t="shared" si="143"/>
        <v>0</v>
      </c>
      <c r="W136" s="3">
        <f t="shared" si="144"/>
        <v>0</v>
      </c>
      <c r="X136" s="3">
        <f>(ROUND((((S136+ROUND((ROUND((((EU136*1.2))*AV136*I136),2)*BS136),2))*AT136)/100),2)+ROUND(((ROUND((ROUND(((AE136-((EU136*1.2)))*AV136*I136),2)*BS136),2)*AT136)/100),2))</f>
        <v>9170.7800000000007</v>
      </c>
      <c r="Y136" s="3">
        <f>(ROUND((((S136+ROUND((ROUND((((EU136*1.2))*AV136*I136),2)*BS136),2))*AU136)/100),2)+ROUND(((ROUND((ROUND(((AE136-((EU136*1.2)))*AV136*I136),2)*BS136),2)*AU136)/100),2))</f>
        <v>4821.75</v>
      </c>
      <c r="AA136" s="3">
        <v>57248837</v>
      </c>
      <c r="AB136" s="3">
        <f t="shared" si="145"/>
        <v>1513.1759999999999</v>
      </c>
      <c r="AC136" s="3">
        <f>ROUND(((ES136*1)),6)</f>
        <v>81.36</v>
      </c>
      <c r="AD136" s="3">
        <f>ROUND(((((ET136*1.2))-((EU136*1.2)))+AE136),6)</f>
        <v>111.98399999999999</v>
      </c>
      <c r="AE136" s="3">
        <f>ROUND(((EU136*1.2)),6)</f>
        <v>15.6</v>
      </c>
      <c r="AF136" s="3">
        <f>ROUND(((EV136*1.2)),6)</f>
        <v>1319.8320000000001</v>
      </c>
      <c r="AG136" s="3">
        <f t="shared" si="146"/>
        <v>0</v>
      </c>
      <c r="AH136" s="3">
        <f>((EW136*1.2))</f>
        <v>101.604</v>
      </c>
      <c r="AI136" s="3">
        <f>((EX136*1.2))</f>
        <v>0</v>
      </c>
      <c r="AJ136" s="3">
        <f t="shared" si="147"/>
        <v>0</v>
      </c>
      <c r="AK136" s="3">
        <v>1274.54</v>
      </c>
      <c r="AL136" s="3">
        <v>81.36</v>
      </c>
      <c r="AM136" s="3">
        <v>93.32</v>
      </c>
      <c r="AN136" s="3">
        <v>13</v>
      </c>
      <c r="AO136" s="3">
        <v>1099.8599999999999</v>
      </c>
      <c r="AP136" s="3">
        <v>0</v>
      </c>
      <c r="AQ136" s="3">
        <v>84.67</v>
      </c>
      <c r="AR136" s="3">
        <v>0</v>
      </c>
      <c r="AS136" s="3">
        <v>0</v>
      </c>
      <c r="AT136" s="3">
        <v>97</v>
      </c>
      <c r="AU136" s="3">
        <v>51</v>
      </c>
      <c r="AV136" s="3">
        <v>1.0469999999999999</v>
      </c>
      <c r="AW136" s="3">
        <v>1</v>
      </c>
      <c r="AZ136" s="3">
        <v>1</v>
      </c>
      <c r="BA136" s="3">
        <v>56.35</v>
      </c>
      <c r="BB136" s="3">
        <v>16.420000000000002</v>
      </c>
      <c r="BC136" s="3">
        <v>10.65</v>
      </c>
      <c r="BD136" s="3" t="s">
        <v>3</v>
      </c>
      <c r="BE136" s="3" t="s">
        <v>3</v>
      </c>
      <c r="BF136" s="3" t="s">
        <v>3</v>
      </c>
      <c r="BG136" s="3" t="s">
        <v>3</v>
      </c>
      <c r="BH136" s="3">
        <v>0</v>
      </c>
      <c r="BI136" s="3">
        <v>2</v>
      </c>
      <c r="BJ136" s="3" t="s">
        <v>68</v>
      </c>
      <c r="BM136" s="3">
        <v>67</v>
      </c>
      <c r="BN136" s="3">
        <v>0</v>
      </c>
      <c r="BO136" s="3" t="s">
        <v>65</v>
      </c>
      <c r="BP136" s="3">
        <v>1</v>
      </c>
      <c r="BQ136" s="3">
        <v>40</v>
      </c>
      <c r="BR136" s="3">
        <v>0</v>
      </c>
      <c r="BS136" s="3">
        <v>56.35</v>
      </c>
      <c r="BT136" s="3">
        <v>1</v>
      </c>
      <c r="BU136" s="3">
        <v>1</v>
      </c>
      <c r="BV136" s="3">
        <v>1</v>
      </c>
      <c r="BW136" s="3">
        <v>1</v>
      </c>
      <c r="BX136" s="3">
        <v>1</v>
      </c>
      <c r="BY136" s="3" t="s">
        <v>3</v>
      </c>
      <c r="BZ136" s="3">
        <v>97</v>
      </c>
      <c r="CA136" s="3">
        <v>51</v>
      </c>
      <c r="CB136" s="3" t="s">
        <v>3</v>
      </c>
      <c r="CE136" s="3">
        <v>1566</v>
      </c>
      <c r="CF136" s="3">
        <v>0</v>
      </c>
      <c r="CG136" s="3">
        <v>0</v>
      </c>
      <c r="CM136" s="3">
        <v>0</v>
      </c>
      <c r="CN136" s="3" t="s">
        <v>820</v>
      </c>
      <c r="CO136" s="3">
        <v>0</v>
      </c>
      <c r="CP136" s="3">
        <f t="shared" si="148"/>
        <v>9678.9299999999985</v>
      </c>
      <c r="CQ136" s="3">
        <f>ROUND((ROUND((AC136*AW136*1),2)*BC136),2)</f>
        <v>866.48</v>
      </c>
      <c r="CR136" s="3">
        <f>(ROUND((ROUND((((ET136*1.2))*AV136*1),2)*BB136),2)+ROUND((ROUND(((AE136-((EU136*1.2)))*AV136*1),2)*BS136),2))</f>
        <v>1925.25</v>
      </c>
      <c r="CS136" s="3">
        <f>(ROUND((ROUND((((EU136*1.2))*AV136*1),2)*BS136),2)+ROUND((ROUND(((AE136-((EU136*1.2)))*AV136*1),2)*BS136),2))</f>
        <v>920.2</v>
      </c>
      <c r="CT136" s="3">
        <f t="shared" si="149"/>
        <v>77867.81</v>
      </c>
      <c r="CU136" s="3">
        <f t="shared" si="150"/>
        <v>0</v>
      </c>
      <c r="CV136" s="3">
        <f t="shared" si="151"/>
        <v>106.37938799999999</v>
      </c>
      <c r="CW136" s="3">
        <f t="shared" si="152"/>
        <v>0</v>
      </c>
      <c r="CX136" s="3">
        <f t="shared" si="153"/>
        <v>0</v>
      </c>
      <c r="CY136" s="3">
        <f>(ROUND((((S136+ROUND((ROUND((((EU136*1.2))*AV136*1),2)*BS136),2))*AT136)/100),2)+ROUND(((ROUND((ROUND(((AE136-((EU136*1.2)))*AV136*1),2)*BS136),2)*AT136)/100),2))</f>
        <v>9956.24</v>
      </c>
      <c r="CZ136" s="3">
        <f>(ROUND((((S136+ROUND((ROUND((((EU136*1.2))*AV136*1),2)*BS136),2))*AU136)/100),2)+ROUND(((ROUND((ROUND(((AE136-((EU136*1.2)))*AV136*1),2)*BS136),2)*AU136)/100),2))</f>
        <v>5234.72</v>
      </c>
      <c r="DB136" s="3">
        <v>82</v>
      </c>
      <c r="DC136" s="3" t="s">
        <v>3</v>
      </c>
      <c r="DD136" s="3" t="s">
        <v>119</v>
      </c>
      <c r="DE136" s="3" t="s">
        <v>120</v>
      </c>
      <c r="DF136" s="3" t="s">
        <v>120</v>
      </c>
      <c r="DG136" s="3" t="s">
        <v>120</v>
      </c>
      <c r="DH136" s="3" t="s">
        <v>3</v>
      </c>
      <c r="DI136" s="3" t="s">
        <v>120</v>
      </c>
      <c r="DJ136" s="3" t="s">
        <v>120</v>
      </c>
      <c r="DK136" s="3" t="s">
        <v>3</v>
      </c>
      <c r="DL136" s="3" t="s">
        <v>3</v>
      </c>
      <c r="DM136" s="3" t="s">
        <v>3</v>
      </c>
      <c r="DN136" s="3">
        <v>0</v>
      </c>
      <c r="DO136" s="3">
        <v>0</v>
      </c>
      <c r="DP136" s="3">
        <v>1</v>
      </c>
      <c r="DQ136" s="3">
        <v>1</v>
      </c>
      <c r="DU136" s="3">
        <v>1010</v>
      </c>
      <c r="DV136" s="3" t="s">
        <v>67</v>
      </c>
      <c r="DW136" s="3" t="s">
        <v>67</v>
      </c>
      <c r="DX136" s="3">
        <v>100</v>
      </c>
      <c r="DZ136" s="3" t="s">
        <v>3</v>
      </c>
      <c r="EA136" s="3" t="s">
        <v>3</v>
      </c>
      <c r="EB136" s="3" t="s">
        <v>3</v>
      </c>
      <c r="EC136" s="3" t="s">
        <v>3</v>
      </c>
      <c r="EE136" s="3">
        <v>57248651</v>
      </c>
      <c r="EF136" s="3">
        <v>40</v>
      </c>
      <c r="EG136" s="3" t="s">
        <v>33</v>
      </c>
      <c r="EH136" s="3">
        <v>0</v>
      </c>
      <c r="EI136" s="3" t="s">
        <v>3</v>
      </c>
      <c r="EJ136" s="3">
        <v>2</v>
      </c>
      <c r="EK136" s="3">
        <v>67</v>
      </c>
      <c r="EL136" s="3" t="s">
        <v>69</v>
      </c>
      <c r="EM136" s="3" t="s">
        <v>70</v>
      </c>
      <c r="EO136" s="3" t="s">
        <v>124</v>
      </c>
      <c r="EQ136" s="3">
        <v>131072</v>
      </c>
      <c r="ER136" s="3">
        <v>1274.54</v>
      </c>
      <c r="ES136" s="3">
        <v>81.36</v>
      </c>
      <c r="ET136" s="3">
        <v>93.32</v>
      </c>
      <c r="EU136" s="3">
        <v>13</v>
      </c>
      <c r="EV136" s="3">
        <v>1099.8599999999999</v>
      </c>
      <c r="EW136" s="3">
        <v>84.67</v>
      </c>
      <c r="EX136" s="3">
        <v>0</v>
      </c>
      <c r="EY136" s="3">
        <v>0</v>
      </c>
      <c r="FQ136" s="3">
        <v>0</v>
      </c>
      <c r="FR136" s="3">
        <v>0</v>
      </c>
      <c r="FS136" s="3">
        <v>0</v>
      </c>
      <c r="FX136" s="3">
        <v>97</v>
      </c>
      <c r="FY136" s="3">
        <v>51</v>
      </c>
      <c r="GA136" s="3" t="s">
        <v>3</v>
      </c>
      <c r="GD136" s="3">
        <v>1</v>
      </c>
      <c r="GF136" s="3">
        <v>-222864710</v>
      </c>
      <c r="GG136" s="3">
        <v>2</v>
      </c>
      <c r="GH136" s="3">
        <v>1</v>
      </c>
      <c r="GI136" s="3">
        <v>2</v>
      </c>
      <c r="GJ136" s="3">
        <v>0</v>
      </c>
      <c r="GK136" s="3">
        <v>0</v>
      </c>
      <c r="GL136" s="3">
        <f t="shared" si="154"/>
        <v>0</v>
      </c>
      <c r="GM136" s="3">
        <f t="shared" si="155"/>
        <v>23671.46</v>
      </c>
      <c r="GN136" s="3">
        <f t="shared" si="156"/>
        <v>0</v>
      </c>
      <c r="GO136" s="3">
        <f t="shared" si="157"/>
        <v>23671.46</v>
      </c>
      <c r="GP136" s="3">
        <f t="shared" si="158"/>
        <v>0</v>
      </c>
      <c r="GR136" s="3">
        <v>0</v>
      </c>
      <c r="GS136" s="3">
        <v>3</v>
      </c>
      <c r="GT136" s="3">
        <v>0</v>
      </c>
      <c r="GU136" s="3" t="s">
        <v>3</v>
      </c>
      <c r="GV136" s="3">
        <f t="shared" si="159"/>
        <v>0</v>
      </c>
      <c r="GW136" s="3">
        <v>1</v>
      </c>
      <c r="GX136" s="3">
        <f t="shared" si="160"/>
        <v>0</v>
      </c>
      <c r="HA136" s="3">
        <v>0</v>
      </c>
      <c r="HB136" s="3">
        <v>0</v>
      </c>
      <c r="HC136" s="3">
        <f t="shared" si="161"/>
        <v>0</v>
      </c>
      <c r="HE136" s="3" t="s">
        <v>3</v>
      </c>
      <c r="HF136" s="3" t="s">
        <v>3</v>
      </c>
      <c r="HM136" s="3" t="s">
        <v>3</v>
      </c>
      <c r="HN136" s="3" t="s">
        <v>3</v>
      </c>
      <c r="HO136" s="3" t="s">
        <v>3</v>
      </c>
      <c r="HP136" s="3" t="s">
        <v>3</v>
      </c>
      <c r="HQ136" s="3" t="s">
        <v>3</v>
      </c>
      <c r="HS136" s="3">
        <v>0</v>
      </c>
      <c r="IK136" s="3">
        <v>0</v>
      </c>
    </row>
    <row r="137" spans="1:255" x14ac:dyDescent="0.2">
      <c r="A137" s="2">
        <v>17</v>
      </c>
      <c r="B137" s="2">
        <v>1</v>
      </c>
      <c r="C137" s="2"/>
      <c r="D137" s="2"/>
      <c r="E137" s="2" t="s">
        <v>255</v>
      </c>
      <c r="F137" s="2" t="s">
        <v>256</v>
      </c>
      <c r="G137" s="2" t="s">
        <v>823</v>
      </c>
      <c r="H137" s="2" t="s">
        <v>228</v>
      </c>
      <c r="I137" s="2">
        <v>12</v>
      </c>
      <c r="J137" s="2">
        <v>0</v>
      </c>
      <c r="K137" s="2">
        <v>12</v>
      </c>
      <c r="L137" s="2"/>
      <c r="M137" s="2"/>
      <c r="N137" s="2"/>
      <c r="O137" s="2">
        <f t="shared" si="139"/>
        <v>1689.36</v>
      </c>
      <c r="P137" s="2">
        <f>ROUND((ROUND((AC137*I137),2)*BC137),2)</f>
        <v>1689.36</v>
      </c>
      <c r="Q137" s="2">
        <f>(ROUND((ROUND(((ET137)*AV137*I137),2)*BB137),2)+ROUND((ROUND(((AE137-(EU137))*AV137*I137),2)*BS137),2))</f>
        <v>0</v>
      </c>
      <c r="R137" s="2">
        <f>(ROUND((ROUND(((EU137)*AV137*I137),2)*BS137),2)+ROUND((ROUND(((AE137-(EU137))*AV137*I137),2)*BS137),2))</f>
        <v>0</v>
      </c>
      <c r="S137" s="2">
        <f t="shared" si="140"/>
        <v>0</v>
      </c>
      <c r="T137" s="2">
        <f t="shared" si="141"/>
        <v>0</v>
      </c>
      <c r="U137" s="2">
        <f t="shared" si="142"/>
        <v>0</v>
      </c>
      <c r="V137" s="2">
        <f t="shared" si="143"/>
        <v>0</v>
      </c>
      <c r="W137" s="2">
        <f t="shared" si="144"/>
        <v>0</v>
      </c>
      <c r="X137" s="2">
        <f>(ROUND((((S137+ROUND((ROUND(((EU137)*AV137*I137),2)*BS137),2))*AT137)/100),2)+ROUND(((ROUND((ROUND(((AE137-(EU137))*AV137*I137),2)*BS137),2)*AT137)/100),2))</f>
        <v>0</v>
      </c>
      <c r="Y137" s="2">
        <f>(ROUND((((S137+ROUND((ROUND(((EU137)*AV137*I137),2)*BS137),2))*AU137)/100),2)+ROUND(((ROUND((ROUND(((AE137-(EU137))*AV137*I137),2)*BS137),2)*AU137)/100),2))</f>
        <v>0</v>
      </c>
      <c r="Z137" s="2"/>
      <c r="AA137" s="2">
        <v>57248835</v>
      </c>
      <c r="AB137" s="2">
        <f t="shared" si="145"/>
        <v>140.78</v>
      </c>
      <c r="AC137" s="2">
        <f>ROUND((ES137),6)</f>
        <v>140.78</v>
      </c>
      <c r="AD137" s="2">
        <f>ROUND((((ET137)-(EU137))+AE137),6)</f>
        <v>0</v>
      </c>
      <c r="AE137" s="2">
        <f>ROUND((EU137),6)</f>
        <v>0</v>
      </c>
      <c r="AF137" s="2">
        <f>ROUND((EV137),6)</f>
        <v>0</v>
      </c>
      <c r="AG137" s="2">
        <f t="shared" si="146"/>
        <v>0</v>
      </c>
      <c r="AH137" s="2">
        <f>(EW137)</f>
        <v>0</v>
      </c>
      <c r="AI137" s="2">
        <f>(EX137)</f>
        <v>0</v>
      </c>
      <c r="AJ137" s="2">
        <f t="shared" si="147"/>
        <v>0</v>
      </c>
      <c r="AK137" s="2">
        <v>140.78</v>
      </c>
      <c r="AL137" s="2">
        <v>140.78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1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3</v>
      </c>
      <c r="BI137" s="2">
        <v>3</v>
      </c>
      <c r="BJ137" s="2" t="s">
        <v>257</v>
      </c>
      <c r="BK137" s="2"/>
      <c r="BL137" s="2"/>
      <c r="BM137" s="2">
        <v>746</v>
      </c>
      <c r="BN137" s="2">
        <v>0</v>
      </c>
      <c r="BO137" s="2" t="s">
        <v>3</v>
      </c>
      <c r="BP137" s="2">
        <v>0</v>
      </c>
      <c r="BQ137" s="2">
        <v>130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0</v>
      </c>
      <c r="CA137" s="2">
        <v>0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3</v>
      </c>
      <c r="CO137" s="2">
        <v>0</v>
      </c>
      <c r="CP137" s="2">
        <f t="shared" si="148"/>
        <v>1689.36</v>
      </c>
      <c r="CQ137" s="2">
        <f>ROUND((ROUND((AC137*1),2)*BC137),2)</f>
        <v>140.78</v>
      </c>
      <c r="CR137" s="2">
        <f>(ROUND((ROUND(((ET137)*AV137*1),2)*BB137),2)+ROUND((ROUND(((AE137-(EU137))*AV137*1),2)*BS137),2))</f>
        <v>0</v>
      </c>
      <c r="CS137" s="2">
        <f>(ROUND((ROUND(((EU137)*AV137*1),2)*BS137),2)+ROUND((ROUND(((AE137-(EU137))*AV137*1),2)*BS137),2))</f>
        <v>0</v>
      </c>
      <c r="CT137" s="2">
        <f t="shared" si="149"/>
        <v>0</v>
      </c>
      <c r="CU137" s="2">
        <f t="shared" si="150"/>
        <v>0</v>
      </c>
      <c r="CV137" s="2">
        <f t="shared" si="151"/>
        <v>0</v>
      </c>
      <c r="CW137" s="2">
        <f t="shared" si="152"/>
        <v>0</v>
      </c>
      <c r="CX137" s="2">
        <f t="shared" si="153"/>
        <v>0</v>
      </c>
      <c r="CY137" s="2">
        <f>(ROUND((((S137+ROUND((ROUND(((EU137)*AV137*1),2)*BS137),2))*AT137)/100),2)+ROUND(((ROUND((ROUND(((AE137-(EU137))*AV137*1),2)*BS137),2)*AT137)/100),2))</f>
        <v>0</v>
      </c>
      <c r="CZ137" s="2">
        <f>(ROUND((((S137+ROUND((ROUND(((EU137)*AV137*1),2)*BS137),2))*AU137)/100),2)+ROUND(((ROUND((ROUND(((AE137-(EU137))*AV137*1),2)*BS137),2)*AU137)/100),2))</f>
        <v>0</v>
      </c>
      <c r="DA137" s="2"/>
      <c r="DB137" s="2"/>
      <c r="DC137" s="2" t="s">
        <v>3</v>
      </c>
      <c r="DD137" s="2" t="s">
        <v>3</v>
      </c>
      <c r="DE137" s="2" t="s">
        <v>3</v>
      </c>
      <c r="DF137" s="2" t="s">
        <v>3</v>
      </c>
      <c r="DG137" s="2" t="s">
        <v>3</v>
      </c>
      <c r="DH137" s="2" t="s">
        <v>3</v>
      </c>
      <c r="DI137" s="2" t="s">
        <v>3</v>
      </c>
      <c r="DJ137" s="2" t="s">
        <v>3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1010</v>
      </c>
      <c r="DV137" s="2" t="s">
        <v>228</v>
      </c>
      <c r="DW137" s="2" t="s">
        <v>228</v>
      </c>
      <c r="DX137" s="2">
        <v>1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57248777</v>
      </c>
      <c r="EF137" s="2">
        <v>130</v>
      </c>
      <c r="EG137" s="2" t="s">
        <v>230</v>
      </c>
      <c r="EH137" s="2">
        <v>0</v>
      </c>
      <c r="EI137" s="2" t="s">
        <v>3</v>
      </c>
      <c r="EJ137" s="2">
        <v>3</v>
      </c>
      <c r="EK137" s="2">
        <v>746</v>
      </c>
      <c r="EL137" s="2" t="s">
        <v>231</v>
      </c>
      <c r="EM137" s="2" t="s">
        <v>232</v>
      </c>
      <c r="EN137" s="2"/>
      <c r="EO137" s="2" t="s">
        <v>3</v>
      </c>
      <c r="EP137" s="2"/>
      <c r="EQ137" s="2">
        <v>131072</v>
      </c>
      <c r="ER137" s="2">
        <v>140.78</v>
      </c>
      <c r="ES137" s="2">
        <v>140.78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f>P137</f>
        <v>1689.36</v>
      </c>
      <c r="FS137" s="2">
        <v>0</v>
      </c>
      <c r="FT137" s="2"/>
      <c r="FU137" s="2"/>
      <c r="FV137" s="2"/>
      <c r="FW137" s="2"/>
      <c r="FX137" s="2">
        <v>0</v>
      </c>
      <c r="FY137" s="2">
        <v>0</v>
      </c>
      <c r="FZ137" s="2"/>
      <c r="GA137" s="2" t="s">
        <v>3</v>
      </c>
      <c r="GB137" s="2"/>
      <c r="GC137" s="2"/>
      <c r="GD137" s="2">
        <v>1</v>
      </c>
      <c r="GE137" s="2"/>
      <c r="GF137" s="2">
        <v>436805915</v>
      </c>
      <c r="GG137" s="2">
        <v>2</v>
      </c>
      <c r="GH137" s="2">
        <v>1</v>
      </c>
      <c r="GI137" s="2">
        <v>-2</v>
      </c>
      <c r="GJ137" s="2">
        <v>0</v>
      </c>
      <c r="GK137" s="2">
        <v>0</v>
      </c>
      <c r="GL137" s="2">
        <f t="shared" si="154"/>
        <v>0</v>
      </c>
      <c r="GM137" s="2">
        <f t="shared" si="155"/>
        <v>1689.36</v>
      </c>
      <c r="GN137" s="2">
        <f t="shared" si="156"/>
        <v>0</v>
      </c>
      <c r="GO137" s="2">
        <f t="shared" si="157"/>
        <v>0</v>
      </c>
      <c r="GP137" s="2">
        <f t="shared" si="158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59"/>
        <v>0</v>
      </c>
      <c r="GW137" s="2">
        <v>1</v>
      </c>
      <c r="GX137" s="2">
        <f t="shared" si="160"/>
        <v>0</v>
      </c>
      <c r="GY137" s="2"/>
      <c r="GZ137" s="2"/>
      <c r="HA137" s="2">
        <v>0</v>
      </c>
      <c r="HB137" s="2">
        <v>0</v>
      </c>
      <c r="HC137" s="2">
        <f t="shared" si="161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3">
        <v>17</v>
      </c>
      <c r="B138" s="3">
        <v>1</v>
      </c>
      <c r="E138" s="3" t="s">
        <v>255</v>
      </c>
      <c r="F138" s="3" t="s">
        <v>256</v>
      </c>
      <c r="G138" s="3" t="s">
        <v>823</v>
      </c>
      <c r="H138" s="3" t="s">
        <v>228</v>
      </c>
      <c r="I138" s="3">
        <v>12</v>
      </c>
      <c r="J138" s="3">
        <v>0</v>
      </c>
      <c r="K138" s="3">
        <v>12</v>
      </c>
      <c r="O138" s="3">
        <f t="shared" si="139"/>
        <v>8683.31</v>
      </c>
      <c r="P138" s="3">
        <f>ROUND((ROUND((AC138*I138),2)*BC138),2)</f>
        <v>8683.31</v>
      </c>
      <c r="Q138" s="3">
        <f>(ROUND((ROUND(((ET138)*AV138*I138),2)*BB138),2)+ROUND((ROUND(((AE138-(EU138))*AV138*I138),2)*BS138),2))</f>
        <v>0</v>
      </c>
      <c r="R138" s="3">
        <f>(ROUND((ROUND(((EU138)*AV138*I138),2)*BS138),2)+ROUND((ROUND(((AE138-(EU138))*AV138*I138),2)*BS138),2))</f>
        <v>0</v>
      </c>
      <c r="S138" s="3">
        <f t="shared" si="140"/>
        <v>0</v>
      </c>
      <c r="T138" s="3">
        <f t="shared" si="141"/>
        <v>0</v>
      </c>
      <c r="U138" s="3">
        <f t="shared" si="142"/>
        <v>0</v>
      </c>
      <c r="V138" s="3">
        <f t="shared" si="143"/>
        <v>0</v>
      </c>
      <c r="W138" s="3">
        <f t="shared" si="144"/>
        <v>0</v>
      </c>
      <c r="X138" s="3">
        <f>(ROUND((((S138+ROUND((ROUND(((EU138)*AV138*I138),2)*BS138),2))*AT138)/100),2)+ROUND(((ROUND((ROUND(((AE138-(EU138))*AV138*I138),2)*BS138),2)*AT138)/100),2))</f>
        <v>0</v>
      </c>
      <c r="Y138" s="3">
        <f>(ROUND((((S138+ROUND((ROUND(((EU138)*AV138*I138),2)*BS138),2))*AU138)/100),2)+ROUND(((ROUND((ROUND(((AE138-(EU138))*AV138*I138),2)*BS138),2)*AU138)/100),2))</f>
        <v>0</v>
      </c>
      <c r="AA138" s="3">
        <v>57248837</v>
      </c>
      <c r="AB138" s="3">
        <f t="shared" si="145"/>
        <v>140.78</v>
      </c>
      <c r="AC138" s="3">
        <f>ROUND((ES138),6)</f>
        <v>140.78</v>
      </c>
      <c r="AD138" s="3">
        <f>ROUND((((ET138)-(EU138))+AE138),6)</f>
        <v>0</v>
      </c>
      <c r="AE138" s="3">
        <f>ROUND((EU138),6)</f>
        <v>0</v>
      </c>
      <c r="AF138" s="3">
        <f>ROUND((EV138),6)</f>
        <v>0</v>
      </c>
      <c r="AG138" s="3">
        <f t="shared" si="146"/>
        <v>0</v>
      </c>
      <c r="AH138" s="3">
        <f>(EW138)</f>
        <v>0</v>
      </c>
      <c r="AI138" s="3">
        <f>(EX138)</f>
        <v>0</v>
      </c>
      <c r="AJ138" s="3">
        <f t="shared" si="147"/>
        <v>0</v>
      </c>
      <c r="AK138" s="3">
        <v>140.78</v>
      </c>
      <c r="AL138" s="3">
        <v>140.78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1</v>
      </c>
      <c r="AW138" s="3">
        <v>1</v>
      </c>
      <c r="AZ138" s="3">
        <v>1</v>
      </c>
      <c r="BA138" s="3">
        <v>1</v>
      </c>
      <c r="BB138" s="3">
        <v>1</v>
      </c>
      <c r="BC138" s="3">
        <v>5.14</v>
      </c>
      <c r="BD138" s="3" t="s">
        <v>3</v>
      </c>
      <c r="BE138" s="3" t="s">
        <v>3</v>
      </c>
      <c r="BF138" s="3" t="s">
        <v>3</v>
      </c>
      <c r="BG138" s="3" t="s">
        <v>3</v>
      </c>
      <c r="BH138" s="3">
        <v>3</v>
      </c>
      <c r="BI138" s="3">
        <v>3</v>
      </c>
      <c r="BJ138" s="3" t="s">
        <v>257</v>
      </c>
      <c r="BM138" s="3">
        <v>746</v>
      </c>
      <c r="BN138" s="3">
        <v>0</v>
      </c>
      <c r="BO138" s="3" t="s">
        <v>3</v>
      </c>
      <c r="BP138" s="3">
        <v>0</v>
      </c>
      <c r="BQ138" s="3">
        <v>130</v>
      </c>
      <c r="BR138" s="3">
        <v>0</v>
      </c>
      <c r="BS138" s="3">
        <v>1</v>
      </c>
      <c r="BT138" s="3">
        <v>1</v>
      </c>
      <c r="BU138" s="3">
        <v>1</v>
      </c>
      <c r="BV138" s="3">
        <v>1</v>
      </c>
      <c r="BW138" s="3">
        <v>1</v>
      </c>
      <c r="BX138" s="3">
        <v>1</v>
      </c>
      <c r="BY138" s="3" t="s">
        <v>3</v>
      </c>
      <c r="BZ138" s="3">
        <v>0</v>
      </c>
      <c r="CA138" s="3">
        <v>0</v>
      </c>
      <c r="CB138" s="3" t="s">
        <v>3</v>
      </c>
      <c r="CE138" s="3">
        <v>1566</v>
      </c>
      <c r="CF138" s="3">
        <v>0</v>
      </c>
      <c r="CG138" s="3">
        <v>0</v>
      </c>
      <c r="CM138" s="3">
        <v>0</v>
      </c>
      <c r="CN138" s="3" t="s">
        <v>3</v>
      </c>
      <c r="CO138" s="3">
        <v>0</v>
      </c>
      <c r="CP138" s="3">
        <f t="shared" si="148"/>
        <v>8683.31</v>
      </c>
      <c r="CQ138" s="3">
        <f>ROUND((ROUND((AC138*1),2)*BC138),2)</f>
        <v>723.61</v>
      </c>
      <c r="CR138" s="3">
        <f>(ROUND((ROUND(((ET138)*AV138*1),2)*BB138),2)+ROUND((ROUND(((AE138-(EU138))*AV138*1),2)*BS138),2))</f>
        <v>0</v>
      </c>
      <c r="CS138" s="3">
        <f>(ROUND((ROUND(((EU138)*AV138*1),2)*BS138),2)+ROUND((ROUND(((AE138-(EU138))*AV138*1),2)*BS138),2))</f>
        <v>0</v>
      </c>
      <c r="CT138" s="3">
        <f t="shared" si="149"/>
        <v>0</v>
      </c>
      <c r="CU138" s="3">
        <f t="shared" si="150"/>
        <v>0</v>
      </c>
      <c r="CV138" s="3">
        <f t="shared" si="151"/>
        <v>0</v>
      </c>
      <c r="CW138" s="3">
        <f t="shared" si="152"/>
        <v>0</v>
      </c>
      <c r="CX138" s="3">
        <f t="shared" si="153"/>
        <v>0</v>
      </c>
      <c r="CY138" s="3">
        <f>(ROUND((((S138+ROUND((ROUND(((EU138)*AV138*1),2)*BS138),2))*AT138)/100),2)+ROUND(((ROUND((ROUND(((AE138-(EU138))*AV138*1),2)*BS138),2)*AT138)/100),2))</f>
        <v>0</v>
      </c>
      <c r="CZ138" s="3">
        <f>(ROUND((((S138+ROUND((ROUND(((EU138)*AV138*1),2)*BS138),2))*AU138)/100),2)+ROUND(((ROUND((ROUND(((AE138-(EU138))*AV138*1),2)*BS138),2)*AU138)/100),2))</f>
        <v>0</v>
      </c>
      <c r="DC138" s="3" t="s">
        <v>3</v>
      </c>
      <c r="DD138" s="3" t="s">
        <v>3</v>
      </c>
      <c r="DE138" s="3" t="s">
        <v>3</v>
      </c>
      <c r="DF138" s="3" t="s">
        <v>3</v>
      </c>
      <c r="DG138" s="3" t="s">
        <v>3</v>
      </c>
      <c r="DH138" s="3" t="s">
        <v>3</v>
      </c>
      <c r="DI138" s="3" t="s">
        <v>3</v>
      </c>
      <c r="DJ138" s="3" t="s">
        <v>3</v>
      </c>
      <c r="DK138" s="3" t="s">
        <v>3</v>
      </c>
      <c r="DL138" s="3" t="s">
        <v>3</v>
      </c>
      <c r="DM138" s="3" t="s">
        <v>3</v>
      </c>
      <c r="DN138" s="3">
        <v>0</v>
      </c>
      <c r="DO138" s="3">
        <v>0</v>
      </c>
      <c r="DP138" s="3">
        <v>1</v>
      </c>
      <c r="DQ138" s="3">
        <v>1</v>
      </c>
      <c r="DU138" s="3">
        <v>1010</v>
      </c>
      <c r="DV138" s="3" t="s">
        <v>228</v>
      </c>
      <c r="DW138" s="3" t="s">
        <v>228</v>
      </c>
      <c r="DX138" s="3">
        <v>1</v>
      </c>
      <c r="DZ138" s="3" t="s">
        <v>3</v>
      </c>
      <c r="EA138" s="3" t="s">
        <v>3</v>
      </c>
      <c r="EB138" s="3" t="s">
        <v>3</v>
      </c>
      <c r="EC138" s="3" t="s">
        <v>3</v>
      </c>
      <c r="EE138" s="3">
        <v>57248777</v>
      </c>
      <c r="EF138" s="3">
        <v>130</v>
      </c>
      <c r="EG138" s="3" t="s">
        <v>230</v>
      </c>
      <c r="EH138" s="3">
        <v>0</v>
      </c>
      <c r="EI138" s="3" t="s">
        <v>3</v>
      </c>
      <c r="EJ138" s="3">
        <v>3</v>
      </c>
      <c r="EK138" s="3">
        <v>746</v>
      </c>
      <c r="EL138" s="3" t="s">
        <v>231</v>
      </c>
      <c r="EM138" s="3" t="s">
        <v>232</v>
      </c>
      <c r="EO138" s="3" t="s">
        <v>3</v>
      </c>
      <c r="EQ138" s="3">
        <v>131072</v>
      </c>
      <c r="ER138" s="3">
        <v>140.78</v>
      </c>
      <c r="ES138" s="3">
        <v>140.78</v>
      </c>
      <c r="ET138" s="3">
        <v>0</v>
      </c>
      <c r="EU138" s="3">
        <v>0</v>
      </c>
      <c r="EV138" s="3">
        <v>0</v>
      </c>
      <c r="EW138" s="3">
        <v>0</v>
      </c>
      <c r="EX138" s="3">
        <v>0</v>
      </c>
      <c r="EY138" s="3">
        <v>0</v>
      </c>
      <c r="FQ138" s="3">
        <v>0</v>
      </c>
      <c r="FR138" s="3">
        <f>P138</f>
        <v>8683.31</v>
      </c>
      <c r="FS138" s="3">
        <v>0</v>
      </c>
      <c r="FX138" s="3">
        <v>0</v>
      </c>
      <c r="FY138" s="3">
        <v>0</v>
      </c>
      <c r="GA138" s="3" t="s">
        <v>3</v>
      </c>
      <c r="GD138" s="3">
        <v>1</v>
      </c>
      <c r="GF138" s="3">
        <v>436805915</v>
      </c>
      <c r="GG138" s="3">
        <v>2</v>
      </c>
      <c r="GH138" s="3">
        <v>1</v>
      </c>
      <c r="GI138" s="3">
        <v>2</v>
      </c>
      <c r="GJ138" s="3">
        <v>0</v>
      </c>
      <c r="GK138" s="3">
        <v>0</v>
      </c>
      <c r="GL138" s="3">
        <f t="shared" si="154"/>
        <v>0</v>
      </c>
      <c r="GM138" s="3">
        <f t="shared" si="155"/>
        <v>8683.31</v>
      </c>
      <c r="GN138" s="3">
        <f t="shared" si="156"/>
        <v>0</v>
      </c>
      <c r="GO138" s="3">
        <f t="shared" si="157"/>
        <v>0</v>
      </c>
      <c r="GP138" s="3">
        <f t="shared" si="158"/>
        <v>0</v>
      </c>
      <c r="GR138" s="3">
        <v>0</v>
      </c>
      <c r="GS138" s="3">
        <v>3</v>
      </c>
      <c r="GT138" s="3">
        <v>0</v>
      </c>
      <c r="GU138" s="3" t="s">
        <v>3</v>
      </c>
      <c r="GV138" s="3">
        <f t="shared" si="159"/>
        <v>0</v>
      </c>
      <c r="GW138" s="3">
        <v>1</v>
      </c>
      <c r="GX138" s="3">
        <f t="shared" si="160"/>
        <v>0</v>
      </c>
      <c r="HA138" s="3">
        <v>0</v>
      </c>
      <c r="HB138" s="3">
        <v>0</v>
      </c>
      <c r="HC138" s="3">
        <f t="shared" si="161"/>
        <v>0</v>
      </c>
      <c r="HE138" s="3" t="s">
        <v>3</v>
      </c>
      <c r="HF138" s="3" t="s">
        <v>3</v>
      </c>
      <c r="HM138" s="3" t="s">
        <v>3</v>
      </c>
      <c r="HN138" s="3" t="s">
        <v>3</v>
      </c>
      <c r="HO138" s="3" t="s">
        <v>3</v>
      </c>
      <c r="HP138" s="3" t="s">
        <v>3</v>
      </c>
      <c r="HQ138" s="3" t="s">
        <v>3</v>
      </c>
      <c r="HS138" s="3">
        <v>0</v>
      </c>
      <c r="IK138" s="3">
        <v>0</v>
      </c>
    </row>
    <row r="139" spans="1:255" x14ac:dyDescent="0.2">
      <c r="A139" s="2">
        <v>17</v>
      </c>
      <c r="B139" s="2">
        <v>1</v>
      </c>
      <c r="C139" s="2">
        <f>ROW(SmtRes!A189)</f>
        <v>189</v>
      </c>
      <c r="D139" s="2">
        <f>ROW(EtalonRes!A249)</f>
        <v>249</v>
      </c>
      <c r="E139" s="2" t="s">
        <v>258</v>
      </c>
      <c r="F139" s="2" t="s">
        <v>51</v>
      </c>
      <c r="G139" s="2" t="s">
        <v>238</v>
      </c>
      <c r="H139" s="2" t="s">
        <v>29</v>
      </c>
      <c r="I139" s="2">
        <v>4</v>
      </c>
      <c r="J139" s="2">
        <v>0</v>
      </c>
      <c r="K139" s="2">
        <v>4</v>
      </c>
      <c r="L139" s="2"/>
      <c r="M139" s="2"/>
      <c r="N139" s="2"/>
      <c r="O139" s="2">
        <f t="shared" si="139"/>
        <v>111.88</v>
      </c>
      <c r="P139" s="2">
        <f t="shared" ref="P139:P152" si="162">ROUND((ROUND((AC139*AW139*I139),2)*BC139),2)</f>
        <v>5.04</v>
      </c>
      <c r="Q139" s="2">
        <f>(ROUND((ROUND((((ET139*1.2))*AV139*I139),2)*BB139),2)+ROUND((ROUND(((AE139-((EU139*1.2)))*AV139*I139),2)*BS139),2))</f>
        <v>0.3</v>
      </c>
      <c r="R139" s="2">
        <f>(ROUND((ROUND((((EU139*1.2))*AV139*I139),2)*BS139),2)+ROUND((ROUND(((AE139-((EU139*1.2)))*AV139*I139),2)*BS139),2))</f>
        <v>0.05</v>
      </c>
      <c r="S139" s="2">
        <f t="shared" si="140"/>
        <v>106.54</v>
      </c>
      <c r="T139" s="2">
        <f t="shared" si="141"/>
        <v>0</v>
      </c>
      <c r="U139" s="2">
        <f t="shared" si="142"/>
        <v>8.443007999999999</v>
      </c>
      <c r="V139" s="2">
        <f t="shared" si="143"/>
        <v>0</v>
      </c>
      <c r="W139" s="2">
        <f t="shared" si="144"/>
        <v>0</v>
      </c>
      <c r="X139" s="2">
        <f>(ROUND((((S139+ROUND((ROUND((((EU139*1.2))*AV139*I139),2)*BS139),2))*AT139)/100),2)+ROUND(((ROUND((ROUND(((AE139-((EU139*1.2)))*AV139*I139),2)*BS139),2)*AT139)/100),2))</f>
        <v>95.93</v>
      </c>
      <c r="Y139" s="2">
        <f>(ROUND((((S139+ROUND((ROUND((((EU139*1.2))*AV139*I139),2)*BS139),2))*AU139)/100),2)+ROUND(((ROUND((ROUND(((AE139-((EU139*1.2)))*AV139*I139),2)*BS139),2)*AU139)/100),2))</f>
        <v>49.03</v>
      </c>
      <c r="Z139" s="2"/>
      <c r="AA139" s="2">
        <v>57248835</v>
      </c>
      <c r="AB139" s="2">
        <f t="shared" si="145"/>
        <v>26.771999999999998</v>
      </c>
      <c r="AC139" s="2">
        <f>ROUND(((ES139*1)),6)</f>
        <v>1.26</v>
      </c>
      <c r="AD139" s="2">
        <f>ROUND(((((ET139*1.2))-((EU139*1.2)))+AE139),6)</f>
        <v>7.1999999999999995E-2</v>
      </c>
      <c r="AE139" s="2">
        <f>ROUND(((EU139*1.2)),6)</f>
        <v>1.2E-2</v>
      </c>
      <c r="AF139" s="2">
        <f>ROUND(((EV139*1.2)),6)</f>
        <v>25.44</v>
      </c>
      <c r="AG139" s="2">
        <f t="shared" si="146"/>
        <v>0</v>
      </c>
      <c r="AH139" s="2">
        <f>((EW139*1.2))</f>
        <v>2.016</v>
      </c>
      <c r="AI139" s="2">
        <f>((EX139*1.2))</f>
        <v>0</v>
      </c>
      <c r="AJ139" s="2">
        <f t="shared" si="147"/>
        <v>0</v>
      </c>
      <c r="AK139" s="2">
        <v>22.52</v>
      </c>
      <c r="AL139" s="2">
        <v>1.26</v>
      </c>
      <c r="AM139" s="2">
        <v>0.06</v>
      </c>
      <c r="AN139" s="2">
        <v>0.01</v>
      </c>
      <c r="AO139" s="2">
        <v>21.2</v>
      </c>
      <c r="AP139" s="2">
        <v>0</v>
      </c>
      <c r="AQ139" s="2">
        <v>1.68</v>
      </c>
      <c r="AR139" s="2">
        <v>0</v>
      </c>
      <c r="AS139" s="2">
        <v>0</v>
      </c>
      <c r="AT139" s="2">
        <v>90</v>
      </c>
      <c r="AU139" s="2">
        <v>46</v>
      </c>
      <c r="AV139" s="2">
        <v>1.0469999999999999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0</v>
      </c>
      <c r="BI139" s="2">
        <v>2</v>
      </c>
      <c r="BJ139" s="2" t="s">
        <v>53</v>
      </c>
      <c r="BK139" s="2"/>
      <c r="BL139" s="2"/>
      <c r="BM139" s="2">
        <v>68</v>
      </c>
      <c r="BN139" s="2">
        <v>0</v>
      </c>
      <c r="BO139" s="2" t="s">
        <v>51</v>
      </c>
      <c r="BP139" s="2">
        <v>1</v>
      </c>
      <c r="BQ139" s="2">
        <v>40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90</v>
      </c>
      <c r="CA139" s="2">
        <v>46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820</v>
      </c>
      <c r="CO139" s="2">
        <v>0</v>
      </c>
      <c r="CP139" s="2">
        <f t="shared" si="148"/>
        <v>111.88000000000001</v>
      </c>
      <c r="CQ139" s="2">
        <f t="shared" ref="CQ139:CQ152" si="163">ROUND((ROUND((AC139*AW139*1),2)*BC139),2)</f>
        <v>1.26</v>
      </c>
      <c r="CR139" s="2">
        <f>(ROUND((ROUND((((ET139*1.2))*AV139*1),2)*BB139),2)+ROUND((ROUND(((AE139-((EU139*1.2)))*AV139*1),2)*BS139),2))</f>
        <v>0.08</v>
      </c>
      <c r="CS139" s="2">
        <f>(ROUND((ROUND((((EU139*1.2))*AV139*1),2)*BS139),2)+ROUND((ROUND(((AE139-((EU139*1.2)))*AV139*1),2)*BS139),2))</f>
        <v>0.01</v>
      </c>
      <c r="CT139" s="2">
        <f t="shared" si="149"/>
        <v>26.64</v>
      </c>
      <c r="CU139" s="2">
        <f t="shared" si="150"/>
        <v>0</v>
      </c>
      <c r="CV139" s="2">
        <f t="shared" si="151"/>
        <v>2.1107519999999997</v>
      </c>
      <c r="CW139" s="2">
        <f t="shared" si="152"/>
        <v>0</v>
      </c>
      <c r="CX139" s="2">
        <f t="shared" si="153"/>
        <v>0</v>
      </c>
      <c r="CY139" s="2">
        <f>(ROUND((((S139+ROUND((ROUND((((EU139*1.2))*AV139*1),2)*BS139),2))*AT139)/100),2)+ROUND(((ROUND((ROUND(((AE139-((EU139*1.2)))*AV139*1),2)*BS139),2)*AT139)/100),2))</f>
        <v>95.9</v>
      </c>
      <c r="CZ139" s="2">
        <f>(ROUND((((S139+ROUND((ROUND((((EU139*1.2))*AV139*1),2)*BS139),2))*AU139)/100),2)+ROUND(((ROUND((ROUND(((AE139-((EU139*1.2)))*AV139*1),2)*BS139),2)*AU139)/100),2))</f>
        <v>49.01</v>
      </c>
      <c r="DA139" s="2"/>
      <c r="DB139" s="2">
        <v>83</v>
      </c>
      <c r="DC139" s="2" t="s">
        <v>3</v>
      </c>
      <c r="DD139" s="2" t="s">
        <v>119</v>
      </c>
      <c r="DE139" s="2" t="s">
        <v>120</v>
      </c>
      <c r="DF139" s="2" t="s">
        <v>120</v>
      </c>
      <c r="DG139" s="2" t="s">
        <v>120</v>
      </c>
      <c r="DH139" s="2" t="s">
        <v>3</v>
      </c>
      <c r="DI139" s="2" t="s">
        <v>120</v>
      </c>
      <c r="DJ139" s="2" t="s">
        <v>120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1013</v>
      </c>
      <c r="DV139" s="2" t="s">
        <v>29</v>
      </c>
      <c r="DW139" s="2" t="s">
        <v>29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57248652</v>
      </c>
      <c r="EF139" s="2">
        <v>40</v>
      </c>
      <c r="EG139" s="2" t="s">
        <v>33</v>
      </c>
      <c r="EH139" s="2">
        <v>0</v>
      </c>
      <c r="EI139" s="2" t="s">
        <v>3</v>
      </c>
      <c r="EJ139" s="2">
        <v>2</v>
      </c>
      <c r="EK139" s="2">
        <v>68</v>
      </c>
      <c r="EL139" s="2" t="s">
        <v>34</v>
      </c>
      <c r="EM139" s="2" t="s">
        <v>35</v>
      </c>
      <c r="EN139" s="2"/>
      <c r="EO139" s="2" t="s">
        <v>124</v>
      </c>
      <c r="EP139" s="2"/>
      <c r="EQ139" s="2">
        <v>131072</v>
      </c>
      <c r="ER139" s="2">
        <v>22.52</v>
      </c>
      <c r="ES139" s="2">
        <v>1.26</v>
      </c>
      <c r="ET139" s="2">
        <v>0.06</v>
      </c>
      <c r="EU139" s="2">
        <v>0.01</v>
      </c>
      <c r="EV139" s="2">
        <v>21.2</v>
      </c>
      <c r="EW139" s="2">
        <v>1.68</v>
      </c>
      <c r="EX139" s="2">
        <v>0</v>
      </c>
      <c r="EY139" s="2">
        <v>0</v>
      </c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90</v>
      </c>
      <c r="FY139" s="2">
        <v>46</v>
      </c>
      <c r="FZ139" s="2"/>
      <c r="GA139" s="2" t="s">
        <v>3</v>
      </c>
      <c r="GB139" s="2"/>
      <c r="GC139" s="2"/>
      <c r="GD139" s="2">
        <v>1</v>
      </c>
      <c r="GE139" s="2"/>
      <c r="GF139" s="2">
        <v>-2112753472</v>
      </c>
      <c r="GG139" s="2">
        <v>2</v>
      </c>
      <c r="GH139" s="2">
        <v>1</v>
      </c>
      <c r="GI139" s="2">
        <v>2</v>
      </c>
      <c r="GJ139" s="2">
        <v>0</v>
      </c>
      <c r="GK139" s="2">
        <v>0</v>
      </c>
      <c r="GL139" s="2">
        <f t="shared" si="154"/>
        <v>0</v>
      </c>
      <c r="GM139" s="2">
        <f t="shared" si="155"/>
        <v>256.83999999999997</v>
      </c>
      <c r="GN139" s="2">
        <f t="shared" si="156"/>
        <v>0</v>
      </c>
      <c r="GO139" s="2">
        <f t="shared" si="157"/>
        <v>256.83999999999997</v>
      </c>
      <c r="GP139" s="2">
        <f t="shared" si="158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59"/>
        <v>0</v>
      </c>
      <c r="GW139" s="2">
        <v>1</v>
      </c>
      <c r="GX139" s="2">
        <f t="shared" si="160"/>
        <v>0</v>
      </c>
      <c r="GY139" s="2"/>
      <c r="GZ139" s="2"/>
      <c r="HA139" s="2">
        <v>0</v>
      </c>
      <c r="HB139" s="2">
        <v>0</v>
      </c>
      <c r="HC139" s="2">
        <f t="shared" si="161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3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3">
        <v>17</v>
      </c>
      <c r="B140" s="3">
        <v>1</v>
      </c>
      <c r="C140" s="3">
        <f>ROW(SmtRes!A190)</f>
        <v>190</v>
      </c>
      <c r="D140" s="3">
        <f>ROW(EtalonRes!A250)</f>
        <v>250</v>
      </c>
      <c r="E140" s="3" t="s">
        <v>258</v>
      </c>
      <c r="F140" s="3" t="s">
        <v>51</v>
      </c>
      <c r="G140" s="3" t="s">
        <v>238</v>
      </c>
      <c r="H140" s="3" t="s">
        <v>29</v>
      </c>
      <c r="I140" s="3">
        <v>4</v>
      </c>
      <c r="J140" s="3">
        <v>0</v>
      </c>
      <c r="K140" s="3">
        <v>4</v>
      </c>
      <c r="O140" s="3">
        <f t="shared" si="139"/>
        <v>6058.67</v>
      </c>
      <c r="P140" s="3">
        <f t="shared" si="162"/>
        <v>49.59</v>
      </c>
      <c r="Q140" s="3">
        <f>(ROUND((ROUND((((ET140*1.2))*AV140*I140),2)*BB140),2)+ROUND((ROUND(((AE140-((EU140*1.2)))*AV140*I140),2)*BS140),2))</f>
        <v>5.55</v>
      </c>
      <c r="R140" s="3">
        <f>(ROUND((ROUND((((EU140*1.2))*AV140*I140),2)*BS140),2)+ROUND((ROUND(((AE140-((EU140*1.2)))*AV140*I140),2)*BS140),2))</f>
        <v>2.82</v>
      </c>
      <c r="S140" s="3">
        <f t="shared" si="140"/>
        <v>6003.53</v>
      </c>
      <c r="T140" s="3">
        <f t="shared" si="141"/>
        <v>0</v>
      </c>
      <c r="U140" s="3">
        <f t="shared" si="142"/>
        <v>8.443007999999999</v>
      </c>
      <c r="V140" s="3">
        <f t="shared" si="143"/>
        <v>0</v>
      </c>
      <c r="W140" s="3">
        <f t="shared" si="144"/>
        <v>0</v>
      </c>
      <c r="X140" s="3">
        <f>(ROUND((((S140+ROUND((ROUND((((EU140*1.2))*AV140*I140),2)*BS140),2))*AT140)/100),2)+ROUND(((ROUND((ROUND(((AE140-((EU140*1.2)))*AV140*I140),2)*BS140),2)*AT140)/100),2))</f>
        <v>5405.72</v>
      </c>
      <c r="Y140" s="3">
        <f>(ROUND((((S140+ROUND((ROUND((((EU140*1.2))*AV140*I140),2)*BS140),2))*AU140)/100),2)+ROUND(((ROUND((ROUND(((AE140-((EU140*1.2)))*AV140*I140),2)*BS140),2)*AU140)/100),2))</f>
        <v>2762.92</v>
      </c>
      <c r="AA140" s="3">
        <v>57248837</v>
      </c>
      <c r="AB140" s="3">
        <f t="shared" si="145"/>
        <v>26.771999999999998</v>
      </c>
      <c r="AC140" s="3">
        <f>ROUND(((ES140*1)),6)</f>
        <v>1.26</v>
      </c>
      <c r="AD140" s="3">
        <f>ROUND(((((ET140*1.2))-((EU140*1.2)))+AE140),6)</f>
        <v>7.1999999999999995E-2</v>
      </c>
      <c r="AE140" s="3">
        <f>ROUND(((EU140*1.2)),6)</f>
        <v>1.2E-2</v>
      </c>
      <c r="AF140" s="3">
        <f>ROUND(((EV140*1.2)),6)</f>
        <v>25.44</v>
      </c>
      <c r="AG140" s="3">
        <f t="shared" si="146"/>
        <v>0</v>
      </c>
      <c r="AH140" s="3">
        <f>((EW140*1.2))</f>
        <v>2.016</v>
      </c>
      <c r="AI140" s="3">
        <f>((EX140*1.2))</f>
        <v>0</v>
      </c>
      <c r="AJ140" s="3">
        <f t="shared" si="147"/>
        <v>0</v>
      </c>
      <c r="AK140" s="3">
        <v>22.52</v>
      </c>
      <c r="AL140" s="3">
        <v>1.26</v>
      </c>
      <c r="AM140" s="3">
        <v>0.06</v>
      </c>
      <c r="AN140" s="3">
        <v>0.01</v>
      </c>
      <c r="AO140" s="3">
        <v>21.2</v>
      </c>
      <c r="AP140" s="3">
        <v>0</v>
      </c>
      <c r="AQ140" s="3">
        <v>1.68</v>
      </c>
      <c r="AR140" s="3">
        <v>0</v>
      </c>
      <c r="AS140" s="3">
        <v>0</v>
      </c>
      <c r="AT140" s="3">
        <v>90</v>
      </c>
      <c r="AU140" s="3">
        <v>46</v>
      </c>
      <c r="AV140" s="3">
        <v>1.0469999999999999</v>
      </c>
      <c r="AW140" s="3">
        <v>1</v>
      </c>
      <c r="AZ140" s="3">
        <v>1</v>
      </c>
      <c r="BA140" s="3">
        <v>56.35</v>
      </c>
      <c r="BB140" s="3">
        <v>18.5</v>
      </c>
      <c r="BC140" s="3">
        <v>9.84</v>
      </c>
      <c r="BD140" s="3" t="s">
        <v>3</v>
      </c>
      <c r="BE140" s="3" t="s">
        <v>3</v>
      </c>
      <c r="BF140" s="3" t="s">
        <v>3</v>
      </c>
      <c r="BG140" s="3" t="s">
        <v>3</v>
      </c>
      <c r="BH140" s="3">
        <v>0</v>
      </c>
      <c r="BI140" s="3">
        <v>2</v>
      </c>
      <c r="BJ140" s="3" t="s">
        <v>53</v>
      </c>
      <c r="BM140" s="3">
        <v>68</v>
      </c>
      <c r="BN140" s="3">
        <v>0</v>
      </c>
      <c r="BO140" s="3" t="s">
        <v>51</v>
      </c>
      <c r="BP140" s="3">
        <v>1</v>
      </c>
      <c r="BQ140" s="3">
        <v>40</v>
      </c>
      <c r="BR140" s="3">
        <v>0</v>
      </c>
      <c r="BS140" s="3">
        <v>56.35</v>
      </c>
      <c r="BT140" s="3">
        <v>1</v>
      </c>
      <c r="BU140" s="3">
        <v>1</v>
      </c>
      <c r="BV140" s="3">
        <v>1</v>
      </c>
      <c r="BW140" s="3">
        <v>1</v>
      </c>
      <c r="BX140" s="3">
        <v>1</v>
      </c>
      <c r="BY140" s="3" t="s">
        <v>3</v>
      </c>
      <c r="BZ140" s="3">
        <v>90</v>
      </c>
      <c r="CA140" s="3">
        <v>46</v>
      </c>
      <c r="CB140" s="3" t="s">
        <v>3</v>
      </c>
      <c r="CE140" s="3">
        <v>1566</v>
      </c>
      <c r="CF140" s="3">
        <v>0</v>
      </c>
      <c r="CG140" s="3">
        <v>0</v>
      </c>
      <c r="CM140" s="3">
        <v>0</v>
      </c>
      <c r="CN140" s="3" t="s">
        <v>820</v>
      </c>
      <c r="CO140" s="3">
        <v>0</v>
      </c>
      <c r="CP140" s="3">
        <f t="shared" si="148"/>
        <v>6058.67</v>
      </c>
      <c r="CQ140" s="3">
        <f t="shared" si="163"/>
        <v>12.4</v>
      </c>
      <c r="CR140" s="3">
        <f>(ROUND((ROUND((((ET140*1.2))*AV140*1),2)*BB140),2)+ROUND((ROUND(((AE140-((EU140*1.2)))*AV140*1),2)*BS140),2))</f>
        <v>1.48</v>
      </c>
      <c r="CS140" s="3">
        <f>(ROUND((ROUND((((EU140*1.2))*AV140*1),2)*BS140),2)+ROUND((ROUND(((AE140-((EU140*1.2)))*AV140*1),2)*BS140),2))</f>
        <v>0.56000000000000005</v>
      </c>
      <c r="CT140" s="3">
        <f t="shared" si="149"/>
        <v>1501.16</v>
      </c>
      <c r="CU140" s="3">
        <f t="shared" si="150"/>
        <v>0</v>
      </c>
      <c r="CV140" s="3">
        <f t="shared" si="151"/>
        <v>2.1107519999999997</v>
      </c>
      <c r="CW140" s="3">
        <f t="shared" si="152"/>
        <v>0</v>
      </c>
      <c r="CX140" s="3">
        <f t="shared" si="153"/>
        <v>0</v>
      </c>
      <c r="CY140" s="3">
        <f>(ROUND((((S140+ROUND((ROUND((((EU140*1.2))*AV140*1),2)*BS140),2))*AT140)/100),2)+ROUND(((ROUND((ROUND(((AE140-((EU140*1.2)))*AV140*1),2)*BS140),2)*AT140)/100),2))</f>
        <v>5403.68</v>
      </c>
      <c r="CZ140" s="3">
        <f>(ROUND((((S140+ROUND((ROUND((((EU140*1.2))*AV140*1),2)*BS140),2))*AU140)/100),2)+ROUND(((ROUND((ROUND(((AE140-((EU140*1.2)))*AV140*1),2)*BS140),2)*AU140)/100),2))</f>
        <v>2761.88</v>
      </c>
      <c r="DB140" s="3">
        <v>84</v>
      </c>
      <c r="DC140" s="3" t="s">
        <v>3</v>
      </c>
      <c r="DD140" s="3" t="s">
        <v>119</v>
      </c>
      <c r="DE140" s="3" t="s">
        <v>120</v>
      </c>
      <c r="DF140" s="3" t="s">
        <v>120</v>
      </c>
      <c r="DG140" s="3" t="s">
        <v>120</v>
      </c>
      <c r="DH140" s="3" t="s">
        <v>3</v>
      </c>
      <c r="DI140" s="3" t="s">
        <v>120</v>
      </c>
      <c r="DJ140" s="3" t="s">
        <v>120</v>
      </c>
      <c r="DK140" s="3" t="s">
        <v>3</v>
      </c>
      <c r="DL140" s="3" t="s">
        <v>3</v>
      </c>
      <c r="DM140" s="3" t="s">
        <v>3</v>
      </c>
      <c r="DN140" s="3">
        <v>0</v>
      </c>
      <c r="DO140" s="3">
        <v>0</v>
      </c>
      <c r="DP140" s="3">
        <v>1</v>
      </c>
      <c r="DQ140" s="3">
        <v>1</v>
      </c>
      <c r="DU140" s="3">
        <v>1013</v>
      </c>
      <c r="DV140" s="3" t="s">
        <v>29</v>
      </c>
      <c r="DW140" s="3" t="s">
        <v>29</v>
      </c>
      <c r="DX140" s="3">
        <v>1</v>
      </c>
      <c r="DZ140" s="3" t="s">
        <v>3</v>
      </c>
      <c r="EA140" s="3" t="s">
        <v>3</v>
      </c>
      <c r="EB140" s="3" t="s">
        <v>3</v>
      </c>
      <c r="EC140" s="3" t="s">
        <v>3</v>
      </c>
      <c r="EE140" s="3">
        <v>57248652</v>
      </c>
      <c r="EF140" s="3">
        <v>40</v>
      </c>
      <c r="EG140" s="3" t="s">
        <v>33</v>
      </c>
      <c r="EH140" s="3">
        <v>0</v>
      </c>
      <c r="EI140" s="3" t="s">
        <v>3</v>
      </c>
      <c r="EJ140" s="3">
        <v>2</v>
      </c>
      <c r="EK140" s="3">
        <v>68</v>
      </c>
      <c r="EL140" s="3" t="s">
        <v>34</v>
      </c>
      <c r="EM140" s="3" t="s">
        <v>35</v>
      </c>
      <c r="EO140" s="3" t="s">
        <v>124</v>
      </c>
      <c r="EQ140" s="3">
        <v>131072</v>
      </c>
      <c r="ER140" s="3">
        <v>22.52</v>
      </c>
      <c r="ES140" s="3">
        <v>1.26</v>
      </c>
      <c r="ET140" s="3">
        <v>0.06</v>
      </c>
      <c r="EU140" s="3">
        <v>0.01</v>
      </c>
      <c r="EV140" s="3">
        <v>21.2</v>
      </c>
      <c r="EW140" s="3">
        <v>1.68</v>
      </c>
      <c r="EX140" s="3">
        <v>0</v>
      </c>
      <c r="EY140" s="3">
        <v>0</v>
      </c>
      <c r="FQ140" s="3">
        <v>0</v>
      </c>
      <c r="FR140" s="3">
        <v>0</v>
      </c>
      <c r="FS140" s="3">
        <v>0</v>
      </c>
      <c r="FX140" s="3">
        <v>90</v>
      </c>
      <c r="FY140" s="3">
        <v>46</v>
      </c>
      <c r="GA140" s="3" t="s">
        <v>3</v>
      </c>
      <c r="GD140" s="3">
        <v>1</v>
      </c>
      <c r="GF140" s="3">
        <v>-2112753472</v>
      </c>
      <c r="GG140" s="3">
        <v>2</v>
      </c>
      <c r="GH140" s="3">
        <v>1</v>
      </c>
      <c r="GI140" s="3">
        <v>2</v>
      </c>
      <c r="GJ140" s="3">
        <v>0</v>
      </c>
      <c r="GK140" s="3">
        <v>0</v>
      </c>
      <c r="GL140" s="3">
        <f t="shared" si="154"/>
        <v>0</v>
      </c>
      <c r="GM140" s="3">
        <f t="shared" si="155"/>
        <v>14227.31</v>
      </c>
      <c r="GN140" s="3">
        <f t="shared" si="156"/>
        <v>0</v>
      </c>
      <c r="GO140" s="3">
        <f t="shared" si="157"/>
        <v>14227.31</v>
      </c>
      <c r="GP140" s="3">
        <f t="shared" si="158"/>
        <v>0</v>
      </c>
      <c r="GR140" s="3">
        <v>0</v>
      </c>
      <c r="GS140" s="3">
        <v>3</v>
      </c>
      <c r="GT140" s="3">
        <v>0</v>
      </c>
      <c r="GU140" s="3" t="s">
        <v>3</v>
      </c>
      <c r="GV140" s="3">
        <f t="shared" si="159"/>
        <v>0</v>
      </c>
      <c r="GW140" s="3">
        <v>1</v>
      </c>
      <c r="GX140" s="3">
        <f t="shared" si="160"/>
        <v>0</v>
      </c>
      <c r="HA140" s="3">
        <v>0</v>
      </c>
      <c r="HB140" s="3">
        <v>0</v>
      </c>
      <c r="HC140" s="3">
        <f t="shared" si="161"/>
        <v>0</v>
      </c>
      <c r="HE140" s="3" t="s">
        <v>3</v>
      </c>
      <c r="HF140" s="3" t="s">
        <v>3</v>
      </c>
      <c r="HM140" s="3" t="s">
        <v>3</v>
      </c>
      <c r="HN140" s="3" t="s">
        <v>3</v>
      </c>
      <c r="HO140" s="3" t="s">
        <v>3</v>
      </c>
      <c r="HP140" s="3" t="s">
        <v>3</v>
      </c>
      <c r="HQ140" s="3" t="s">
        <v>3</v>
      </c>
      <c r="HS140" s="3">
        <v>0</v>
      </c>
      <c r="IK140" s="3">
        <v>0</v>
      </c>
    </row>
    <row r="141" spans="1:255" x14ac:dyDescent="0.2">
      <c r="A141" s="2">
        <v>17</v>
      </c>
      <c r="B141" s="2">
        <v>1</v>
      </c>
      <c r="C141" s="2"/>
      <c r="D141" s="2"/>
      <c r="E141" s="2" t="s">
        <v>259</v>
      </c>
      <c r="F141" s="2" t="s">
        <v>260</v>
      </c>
      <c r="G141" s="2" t="s">
        <v>261</v>
      </c>
      <c r="H141" s="2" t="s">
        <v>192</v>
      </c>
      <c r="I141" s="2">
        <v>4</v>
      </c>
      <c r="J141" s="2">
        <v>0</v>
      </c>
      <c r="K141" s="2">
        <v>4</v>
      </c>
      <c r="L141" s="2"/>
      <c r="M141" s="2"/>
      <c r="N141" s="2"/>
      <c r="O141" s="2">
        <f t="shared" si="139"/>
        <v>369.28</v>
      </c>
      <c r="P141" s="2">
        <f t="shared" si="162"/>
        <v>369.28</v>
      </c>
      <c r="Q141" s="2">
        <f>(ROUND((ROUND(((ET141)*AV141*I141),2)*BB141),2)+ROUND((ROUND(((AE141-(EU141))*AV141*I141),2)*BS141),2))</f>
        <v>0</v>
      </c>
      <c r="R141" s="2">
        <f>(ROUND((ROUND(((EU141)*AV141*I141),2)*BS141),2)+ROUND((ROUND(((AE141-(EU141))*AV141*I141),2)*BS141),2))</f>
        <v>0</v>
      </c>
      <c r="S141" s="2">
        <f t="shared" si="140"/>
        <v>0</v>
      </c>
      <c r="T141" s="2">
        <f t="shared" si="141"/>
        <v>0</v>
      </c>
      <c r="U141" s="2">
        <f t="shared" si="142"/>
        <v>0</v>
      </c>
      <c r="V141" s="2">
        <f t="shared" si="143"/>
        <v>0</v>
      </c>
      <c r="W141" s="2">
        <f t="shared" si="144"/>
        <v>0</v>
      </c>
      <c r="X141" s="2">
        <f>(ROUND((((S141+ROUND((ROUND(((EU141)*AV141*I141),2)*BS141),2))*AT141)/100),2)+ROUND(((ROUND((ROUND(((AE141-(EU141))*AV141*I141),2)*BS141),2)*AT141)/100),2))</f>
        <v>0</v>
      </c>
      <c r="Y141" s="2">
        <f>(ROUND((((S141+ROUND((ROUND(((EU141)*AV141*I141),2)*BS141),2))*AU141)/100),2)+ROUND(((ROUND((ROUND(((AE141-(EU141))*AV141*I141),2)*BS141),2)*AU141)/100),2))</f>
        <v>0</v>
      </c>
      <c r="Z141" s="2"/>
      <c r="AA141" s="2">
        <v>57248835</v>
      </c>
      <c r="AB141" s="2">
        <f t="shared" si="145"/>
        <v>92.32</v>
      </c>
      <c r="AC141" s="2">
        <f>ROUND((ES141),6)</f>
        <v>92.32</v>
      </c>
      <c r="AD141" s="2">
        <f>ROUND((((ET141)-(EU141))+AE141),6)</f>
        <v>0</v>
      </c>
      <c r="AE141" s="2">
        <f>ROUND((EU141),6)</f>
        <v>0</v>
      </c>
      <c r="AF141" s="2">
        <f>ROUND((EV141),6)</f>
        <v>0</v>
      </c>
      <c r="AG141" s="2">
        <f t="shared" si="146"/>
        <v>0</v>
      </c>
      <c r="AH141" s="2">
        <f>(EW141)</f>
        <v>0</v>
      </c>
      <c r="AI141" s="2">
        <f>(EX141)</f>
        <v>0</v>
      </c>
      <c r="AJ141" s="2">
        <f t="shared" si="147"/>
        <v>0</v>
      </c>
      <c r="AK141" s="2">
        <v>92.32</v>
      </c>
      <c r="AL141" s="2">
        <v>92.32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3</v>
      </c>
      <c r="BJ141" s="2" t="s">
        <v>260</v>
      </c>
      <c r="BK141" s="2"/>
      <c r="BL141" s="2"/>
      <c r="BM141" s="2">
        <v>400007</v>
      </c>
      <c r="BN141" s="2">
        <v>0</v>
      </c>
      <c r="BO141" s="2" t="s">
        <v>3</v>
      </c>
      <c r="BP141" s="2">
        <v>0</v>
      </c>
      <c r="BQ141" s="2">
        <v>214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0</v>
      </c>
      <c r="CA141" s="2">
        <v>0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3</v>
      </c>
      <c r="CO141" s="2">
        <v>0</v>
      </c>
      <c r="CP141" s="2">
        <f t="shared" si="148"/>
        <v>369.28</v>
      </c>
      <c r="CQ141" s="2">
        <f t="shared" si="163"/>
        <v>92.32</v>
      </c>
      <c r="CR141" s="2">
        <f>(ROUND((ROUND(((ET141)*AV141*1),2)*BB141),2)+ROUND((ROUND(((AE141-(EU141))*AV141*1),2)*BS141),2))</f>
        <v>0</v>
      </c>
      <c r="CS141" s="2">
        <f>(ROUND((ROUND(((EU141)*AV141*1),2)*BS141),2)+ROUND((ROUND(((AE141-(EU141))*AV141*1),2)*BS141),2))</f>
        <v>0</v>
      </c>
      <c r="CT141" s="2">
        <f t="shared" si="149"/>
        <v>0</v>
      </c>
      <c r="CU141" s="2">
        <f t="shared" si="150"/>
        <v>0</v>
      </c>
      <c r="CV141" s="2">
        <f t="shared" si="151"/>
        <v>0</v>
      </c>
      <c r="CW141" s="2">
        <f t="shared" si="152"/>
        <v>0</v>
      </c>
      <c r="CX141" s="2">
        <f t="shared" si="153"/>
        <v>0</v>
      </c>
      <c r="CY141" s="2">
        <f>(ROUND((((S141+ROUND((ROUND(((EU141)*AV141*1),2)*BS141),2))*AT141)/100),2)+ROUND(((ROUND((ROUND(((AE141-(EU141))*AV141*1),2)*BS141),2)*AT141)/100),2))</f>
        <v>0</v>
      </c>
      <c r="CZ141" s="2">
        <f>(ROUND((((S141+ROUND((ROUND(((EU141)*AV141*1),2)*BS141),2))*AU141)/100),2)+ROUND(((ROUND((ROUND(((AE141-(EU141))*AV141*1),2)*BS141),2)*AU141)/100),2))</f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1013</v>
      </c>
      <c r="DV141" s="2" t="s">
        <v>192</v>
      </c>
      <c r="DW141" s="2" t="s">
        <v>192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57248792</v>
      </c>
      <c r="EF141" s="2">
        <v>214</v>
      </c>
      <c r="EG141" s="2" t="s">
        <v>193</v>
      </c>
      <c r="EH141" s="2">
        <v>0</v>
      </c>
      <c r="EI141" s="2" t="s">
        <v>3</v>
      </c>
      <c r="EJ141" s="2">
        <v>3</v>
      </c>
      <c r="EK141" s="2">
        <v>400007</v>
      </c>
      <c r="EL141" s="2" t="s">
        <v>193</v>
      </c>
      <c r="EM141" s="2" t="s">
        <v>194</v>
      </c>
      <c r="EN141" s="2"/>
      <c r="EO141" s="2" t="s">
        <v>3</v>
      </c>
      <c r="EP141" s="2"/>
      <c r="EQ141" s="2">
        <v>131088</v>
      </c>
      <c r="ER141" s="2">
        <v>0</v>
      </c>
      <c r="ES141" s="2">
        <v>92.32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f>P141</f>
        <v>369.28</v>
      </c>
      <c r="FS141" s="2">
        <v>0</v>
      </c>
      <c r="FT141" s="2"/>
      <c r="FU141" s="2"/>
      <c r="FV141" s="2"/>
      <c r="FW141" s="2"/>
      <c r="FX141" s="2">
        <v>0</v>
      </c>
      <c r="FY141" s="2">
        <v>0</v>
      </c>
      <c r="FZ141" s="2"/>
      <c r="GA141" s="2" t="s">
        <v>262</v>
      </c>
      <c r="GB141" s="2"/>
      <c r="GC141" s="2"/>
      <c r="GD141" s="2">
        <v>1</v>
      </c>
      <c r="GE141" s="2"/>
      <c r="GF141" s="2">
        <v>1654929342</v>
      </c>
      <c r="GG141" s="2">
        <v>2</v>
      </c>
      <c r="GH141" s="2">
        <v>4</v>
      </c>
      <c r="GI141" s="2">
        <v>-2</v>
      </c>
      <c r="GJ141" s="2">
        <v>0</v>
      </c>
      <c r="GK141" s="2">
        <v>0</v>
      </c>
      <c r="GL141" s="2">
        <f t="shared" si="154"/>
        <v>0</v>
      </c>
      <c r="GM141" s="2">
        <f t="shared" si="155"/>
        <v>369.28</v>
      </c>
      <c r="GN141" s="2">
        <f t="shared" si="156"/>
        <v>0</v>
      </c>
      <c r="GO141" s="2">
        <f t="shared" si="157"/>
        <v>0</v>
      </c>
      <c r="GP141" s="2">
        <f t="shared" si="158"/>
        <v>0</v>
      </c>
      <c r="GQ141" s="2"/>
      <c r="GR141" s="2">
        <v>1</v>
      </c>
      <c r="GS141" s="2">
        <v>2</v>
      </c>
      <c r="GT141" s="2">
        <v>0</v>
      </c>
      <c r="GU141" s="2" t="s">
        <v>3</v>
      </c>
      <c r="GV141" s="2">
        <f t="shared" si="159"/>
        <v>0</v>
      </c>
      <c r="GW141" s="2">
        <v>1</v>
      </c>
      <c r="GX141" s="2">
        <f t="shared" si="160"/>
        <v>0</v>
      </c>
      <c r="GY141" s="2"/>
      <c r="GZ141" s="2"/>
      <c r="HA141" s="2">
        <v>0</v>
      </c>
      <c r="HB141" s="2">
        <v>0</v>
      </c>
      <c r="HC141" s="2">
        <f t="shared" si="161"/>
        <v>0</v>
      </c>
      <c r="HD141" s="2"/>
      <c r="HE141" s="2" t="s">
        <v>41</v>
      </c>
      <c r="HF141" s="2" t="s">
        <v>196</v>
      </c>
      <c r="HG141" s="2"/>
      <c r="HH141" s="2"/>
      <c r="HI141" s="2"/>
      <c r="HJ141" s="2"/>
      <c r="HK141" s="2"/>
      <c r="HL141" s="2"/>
      <c r="HM141" s="2" t="s">
        <v>3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3">
        <v>17</v>
      </c>
      <c r="B142" s="3">
        <v>1</v>
      </c>
      <c r="E142" s="3" t="s">
        <v>259</v>
      </c>
      <c r="F142" s="3" t="s">
        <v>260</v>
      </c>
      <c r="G142" s="3" t="s">
        <v>261</v>
      </c>
      <c r="H142" s="3" t="s">
        <v>192</v>
      </c>
      <c r="I142" s="3">
        <v>4</v>
      </c>
      <c r="J142" s="3">
        <v>0</v>
      </c>
      <c r="K142" s="3">
        <v>4</v>
      </c>
      <c r="O142" s="3">
        <f t="shared" si="139"/>
        <v>2795.45</v>
      </c>
      <c r="P142" s="3">
        <f t="shared" si="162"/>
        <v>2795.45</v>
      </c>
      <c r="Q142" s="3">
        <f>(ROUND((ROUND(((ET142)*AV142*I142),2)*BB142),2)+ROUND((ROUND(((AE142-(EU142))*AV142*I142),2)*BS142),2))</f>
        <v>0</v>
      </c>
      <c r="R142" s="3">
        <f>(ROUND((ROUND(((EU142)*AV142*I142),2)*BS142),2)+ROUND((ROUND(((AE142-(EU142))*AV142*I142),2)*BS142),2))</f>
        <v>0</v>
      </c>
      <c r="S142" s="3">
        <f t="shared" si="140"/>
        <v>0</v>
      </c>
      <c r="T142" s="3">
        <f t="shared" si="141"/>
        <v>0</v>
      </c>
      <c r="U142" s="3">
        <f t="shared" si="142"/>
        <v>0</v>
      </c>
      <c r="V142" s="3">
        <f t="shared" si="143"/>
        <v>0</v>
      </c>
      <c r="W142" s="3">
        <f t="shared" si="144"/>
        <v>0</v>
      </c>
      <c r="X142" s="3">
        <f>(ROUND((((S142+ROUND((ROUND(((EU142)*AV142*I142),2)*BS142),2))*AT142)/100),2)+ROUND(((ROUND((ROUND(((AE142-(EU142))*AV142*I142),2)*BS142),2)*AT142)/100),2))</f>
        <v>0</v>
      </c>
      <c r="Y142" s="3">
        <f>(ROUND((((S142+ROUND((ROUND(((EU142)*AV142*I142),2)*BS142),2))*AU142)/100),2)+ROUND(((ROUND((ROUND(((AE142-(EU142))*AV142*I142),2)*BS142),2)*AU142)/100),2))</f>
        <v>0</v>
      </c>
      <c r="AA142" s="3">
        <v>57248837</v>
      </c>
      <c r="AB142" s="3">
        <f t="shared" si="145"/>
        <v>92.32</v>
      </c>
      <c r="AC142" s="3">
        <f>ROUND((ES142),6)</f>
        <v>92.32</v>
      </c>
      <c r="AD142" s="3">
        <f>ROUND((((ET142)-(EU142))+AE142),6)</f>
        <v>0</v>
      </c>
      <c r="AE142" s="3">
        <f>ROUND((EU142),6)</f>
        <v>0</v>
      </c>
      <c r="AF142" s="3">
        <f>ROUND((EV142),6)</f>
        <v>0</v>
      </c>
      <c r="AG142" s="3">
        <f t="shared" si="146"/>
        <v>0</v>
      </c>
      <c r="AH142" s="3">
        <f>(EW142)</f>
        <v>0</v>
      </c>
      <c r="AI142" s="3">
        <f>(EX142)</f>
        <v>0</v>
      </c>
      <c r="AJ142" s="3">
        <f t="shared" si="147"/>
        <v>0</v>
      </c>
      <c r="AK142" s="3">
        <v>92.32</v>
      </c>
      <c r="AL142" s="3">
        <v>92.32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1</v>
      </c>
      <c r="AW142" s="3">
        <v>1</v>
      </c>
      <c r="AZ142" s="3">
        <v>1</v>
      </c>
      <c r="BA142" s="3">
        <v>1</v>
      </c>
      <c r="BB142" s="3">
        <v>1</v>
      </c>
      <c r="BC142" s="3">
        <v>7.57</v>
      </c>
      <c r="BD142" s="3" t="s">
        <v>3</v>
      </c>
      <c r="BE142" s="3" t="s">
        <v>3</v>
      </c>
      <c r="BF142" s="3" t="s">
        <v>3</v>
      </c>
      <c r="BG142" s="3" t="s">
        <v>3</v>
      </c>
      <c r="BH142" s="3">
        <v>3</v>
      </c>
      <c r="BI142" s="3">
        <v>3</v>
      </c>
      <c r="BJ142" s="3" t="s">
        <v>260</v>
      </c>
      <c r="BM142" s="3">
        <v>400007</v>
      </c>
      <c r="BN142" s="3">
        <v>0</v>
      </c>
      <c r="BO142" s="3" t="s">
        <v>3</v>
      </c>
      <c r="BP142" s="3">
        <v>0</v>
      </c>
      <c r="BQ142" s="3">
        <v>214</v>
      </c>
      <c r="BR142" s="3">
        <v>0</v>
      </c>
      <c r="BS142" s="3">
        <v>1</v>
      </c>
      <c r="BT142" s="3">
        <v>1</v>
      </c>
      <c r="BU142" s="3">
        <v>1</v>
      </c>
      <c r="BV142" s="3">
        <v>1</v>
      </c>
      <c r="BW142" s="3">
        <v>1</v>
      </c>
      <c r="BX142" s="3">
        <v>1</v>
      </c>
      <c r="BY142" s="3" t="s">
        <v>3</v>
      </c>
      <c r="BZ142" s="3">
        <v>0</v>
      </c>
      <c r="CA142" s="3">
        <v>0</v>
      </c>
      <c r="CB142" s="3" t="s">
        <v>3</v>
      </c>
      <c r="CE142" s="3">
        <v>1566</v>
      </c>
      <c r="CF142" s="3">
        <v>0</v>
      </c>
      <c r="CG142" s="3">
        <v>0</v>
      </c>
      <c r="CM142" s="3">
        <v>0</v>
      </c>
      <c r="CN142" s="3" t="s">
        <v>3</v>
      </c>
      <c r="CO142" s="3">
        <v>0</v>
      </c>
      <c r="CP142" s="3">
        <f t="shared" si="148"/>
        <v>2795.45</v>
      </c>
      <c r="CQ142" s="3">
        <f t="shared" si="163"/>
        <v>698.86</v>
      </c>
      <c r="CR142" s="3">
        <f>(ROUND((ROUND(((ET142)*AV142*1),2)*BB142),2)+ROUND((ROUND(((AE142-(EU142))*AV142*1),2)*BS142),2))</f>
        <v>0</v>
      </c>
      <c r="CS142" s="3">
        <f>(ROUND((ROUND(((EU142)*AV142*1),2)*BS142),2)+ROUND((ROUND(((AE142-(EU142))*AV142*1),2)*BS142),2))</f>
        <v>0</v>
      </c>
      <c r="CT142" s="3">
        <f t="shared" si="149"/>
        <v>0</v>
      </c>
      <c r="CU142" s="3">
        <f t="shared" si="150"/>
        <v>0</v>
      </c>
      <c r="CV142" s="3">
        <f t="shared" si="151"/>
        <v>0</v>
      </c>
      <c r="CW142" s="3">
        <f t="shared" si="152"/>
        <v>0</v>
      </c>
      <c r="CX142" s="3">
        <f t="shared" si="153"/>
        <v>0</v>
      </c>
      <c r="CY142" s="3">
        <f>(ROUND((((S142+ROUND((ROUND(((EU142)*AV142*1),2)*BS142),2))*AT142)/100),2)+ROUND(((ROUND((ROUND(((AE142-(EU142))*AV142*1),2)*BS142),2)*AT142)/100),2))</f>
        <v>0</v>
      </c>
      <c r="CZ142" s="3">
        <f>(ROUND((((S142+ROUND((ROUND(((EU142)*AV142*1),2)*BS142),2))*AU142)/100),2)+ROUND(((ROUND((ROUND(((AE142-(EU142))*AV142*1),2)*BS142),2)*AU142)/100),2))</f>
        <v>0</v>
      </c>
      <c r="DC142" s="3" t="s">
        <v>3</v>
      </c>
      <c r="DD142" s="3" t="s">
        <v>3</v>
      </c>
      <c r="DE142" s="3" t="s">
        <v>3</v>
      </c>
      <c r="DF142" s="3" t="s">
        <v>3</v>
      </c>
      <c r="DG142" s="3" t="s">
        <v>3</v>
      </c>
      <c r="DH142" s="3" t="s">
        <v>3</v>
      </c>
      <c r="DI142" s="3" t="s">
        <v>3</v>
      </c>
      <c r="DJ142" s="3" t="s">
        <v>3</v>
      </c>
      <c r="DK142" s="3" t="s">
        <v>3</v>
      </c>
      <c r="DL142" s="3" t="s">
        <v>3</v>
      </c>
      <c r="DM142" s="3" t="s">
        <v>3</v>
      </c>
      <c r="DN142" s="3">
        <v>0</v>
      </c>
      <c r="DO142" s="3">
        <v>0</v>
      </c>
      <c r="DP142" s="3">
        <v>1</v>
      </c>
      <c r="DQ142" s="3">
        <v>1</v>
      </c>
      <c r="DU142" s="3">
        <v>1013</v>
      </c>
      <c r="DV142" s="3" t="s">
        <v>192</v>
      </c>
      <c r="DW142" s="3" t="s">
        <v>192</v>
      </c>
      <c r="DX142" s="3">
        <v>1</v>
      </c>
      <c r="DZ142" s="3" t="s">
        <v>3</v>
      </c>
      <c r="EA142" s="3" t="s">
        <v>3</v>
      </c>
      <c r="EB142" s="3" t="s">
        <v>3</v>
      </c>
      <c r="EC142" s="3" t="s">
        <v>3</v>
      </c>
      <c r="EE142" s="3">
        <v>57248792</v>
      </c>
      <c r="EF142" s="3">
        <v>214</v>
      </c>
      <c r="EG142" s="3" t="s">
        <v>193</v>
      </c>
      <c r="EH142" s="3">
        <v>0</v>
      </c>
      <c r="EI142" s="3" t="s">
        <v>3</v>
      </c>
      <c r="EJ142" s="3">
        <v>3</v>
      </c>
      <c r="EK142" s="3">
        <v>400007</v>
      </c>
      <c r="EL142" s="3" t="s">
        <v>193</v>
      </c>
      <c r="EM142" s="3" t="s">
        <v>194</v>
      </c>
      <c r="EO142" s="3" t="s">
        <v>3</v>
      </c>
      <c r="EQ142" s="3">
        <v>131088</v>
      </c>
      <c r="ER142" s="3">
        <v>0</v>
      </c>
      <c r="ES142" s="3">
        <v>92.32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5</v>
      </c>
      <c r="FC142" s="3">
        <v>1</v>
      </c>
      <c r="FD142" s="3">
        <v>18</v>
      </c>
      <c r="FF142" s="3">
        <v>818</v>
      </c>
      <c r="FQ142" s="3">
        <v>0</v>
      </c>
      <c r="FR142" s="3">
        <f>P142</f>
        <v>2795.45</v>
      </c>
      <c r="FS142" s="3">
        <v>0</v>
      </c>
      <c r="FX142" s="3">
        <v>0</v>
      </c>
      <c r="FY142" s="3">
        <v>0</v>
      </c>
      <c r="GA142" s="3" t="s">
        <v>262</v>
      </c>
      <c r="GD142" s="3">
        <v>1</v>
      </c>
      <c r="GF142" s="3">
        <v>1654929342</v>
      </c>
      <c r="GG142" s="3">
        <v>2</v>
      </c>
      <c r="GH142" s="3">
        <v>3</v>
      </c>
      <c r="GI142" s="3">
        <v>5</v>
      </c>
      <c r="GJ142" s="3">
        <v>0</v>
      </c>
      <c r="GK142" s="3">
        <v>0</v>
      </c>
      <c r="GL142" s="3">
        <f t="shared" si="154"/>
        <v>0</v>
      </c>
      <c r="GM142" s="3">
        <f t="shared" si="155"/>
        <v>2795.45</v>
      </c>
      <c r="GN142" s="3">
        <f t="shared" si="156"/>
        <v>0</v>
      </c>
      <c r="GO142" s="3">
        <f t="shared" si="157"/>
        <v>0</v>
      </c>
      <c r="GP142" s="3">
        <f t="shared" si="158"/>
        <v>0</v>
      </c>
      <c r="GR142" s="3">
        <v>1</v>
      </c>
      <c r="GS142" s="3">
        <v>1</v>
      </c>
      <c r="GT142" s="3">
        <v>0</v>
      </c>
      <c r="GU142" s="3" t="s">
        <v>3</v>
      </c>
      <c r="GV142" s="3">
        <f t="shared" si="159"/>
        <v>0</v>
      </c>
      <c r="GW142" s="3">
        <v>1</v>
      </c>
      <c r="GX142" s="3">
        <f t="shared" si="160"/>
        <v>0</v>
      </c>
      <c r="HA142" s="3">
        <v>0</v>
      </c>
      <c r="HB142" s="3">
        <v>0</v>
      </c>
      <c r="HC142" s="3">
        <f t="shared" si="161"/>
        <v>0</v>
      </c>
      <c r="HE142" s="3" t="s">
        <v>41</v>
      </c>
      <c r="HF142" s="3" t="s">
        <v>196</v>
      </c>
      <c r="HM142" s="3" t="s">
        <v>3</v>
      </c>
      <c r="HN142" s="3" t="s">
        <v>3</v>
      </c>
      <c r="HO142" s="3" t="s">
        <v>3</v>
      </c>
      <c r="HP142" s="3" t="s">
        <v>3</v>
      </c>
      <c r="HQ142" s="3" t="s">
        <v>3</v>
      </c>
      <c r="HS142" s="3">
        <v>0</v>
      </c>
      <c r="IK142" s="3">
        <v>0</v>
      </c>
    </row>
    <row r="143" spans="1:255" x14ac:dyDescent="0.2">
      <c r="A143" s="2">
        <v>17</v>
      </c>
      <c r="B143" s="2">
        <v>1</v>
      </c>
      <c r="C143" s="2">
        <f>ROW(SmtRes!A194)</f>
        <v>194</v>
      </c>
      <c r="D143" s="2">
        <f>ROW(EtalonRes!A256)</f>
        <v>256</v>
      </c>
      <c r="E143" s="2" t="s">
        <v>263</v>
      </c>
      <c r="F143" s="2" t="s">
        <v>74</v>
      </c>
      <c r="G143" s="2" t="s">
        <v>264</v>
      </c>
      <c r="H143" s="2" t="s">
        <v>29</v>
      </c>
      <c r="I143" s="2">
        <f>ROUND(3+2+2+2,9)</f>
        <v>9</v>
      </c>
      <c r="J143" s="2">
        <v>0</v>
      </c>
      <c r="K143" s="2">
        <f>ROUND(3+2+2+2,9)</f>
        <v>9</v>
      </c>
      <c r="L143" s="2"/>
      <c r="M143" s="2"/>
      <c r="N143" s="2"/>
      <c r="O143" s="2">
        <f t="shared" si="139"/>
        <v>125.06</v>
      </c>
      <c r="P143" s="2">
        <f t="shared" si="162"/>
        <v>12.12</v>
      </c>
      <c r="Q143" s="2">
        <f>(ROUND((ROUND((((ET143*1.2))*AV143*I143),2)*BB143),2)+ROUND((ROUND(((AE143-((EU143*1.2)))*AV143*I143),2)*BS143),2))</f>
        <v>0.57999999999999996</v>
      </c>
      <c r="R143" s="2">
        <f>(ROUND((ROUND((((EU143*1.2))*AV143*I143),2)*BS143),2)+ROUND((ROUND(((AE143-((EU143*1.2)))*AV143*I143),2)*BS143),2))</f>
        <v>0</v>
      </c>
      <c r="S143" s="2">
        <f t="shared" si="140"/>
        <v>112.36</v>
      </c>
      <c r="T143" s="2">
        <f t="shared" si="141"/>
        <v>0</v>
      </c>
      <c r="U143" s="2">
        <f t="shared" si="142"/>
        <v>6.914159999999999</v>
      </c>
      <c r="V143" s="2">
        <f t="shared" si="143"/>
        <v>0</v>
      </c>
      <c r="W143" s="2">
        <f t="shared" si="144"/>
        <v>0</v>
      </c>
      <c r="X143" s="2">
        <f>(ROUND((((S143+ROUND((ROUND((((EU143*1.2))*AV143*I143),2)*BS143),2))*AT143)/100),2)+ROUND(((ROUND((ROUND(((AE143-((EU143*1.2)))*AV143*I143),2)*BS143),2)*AT143)/100),2))</f>
        <v>103.37</v>
      </c>
      <c r="Y143" s="2">
        <f>(ROUND((((S143+ROUND((ROUND((((EU143*1.2))*AV143*I143),2)*BS143),2))*AU143)/100),2)+ROUND(((ROUND((ROUND(((AE143-((EU143*1.2)))*AV143*I143),2)*BS143),2)*AU143)/100),2))</f>
        <v>55.06</v>
      </c>
      <c r="Z143" s="2"/>
      <c r="AA143" s="2">
        <v>57248835</v>
      </c>
      <c r="AB143" s="2">
        <f t="shared" si="145"/>
        <v>13.07</v>
      </c>
      <c r="AC143" s="2">
        <f>ROUND(((ES143*1)),6)</f>
        <v>1.31</v>
      </c>
      <c r="AD143" s="2">
        <f>ROUND(((((ET143*1.2))-((EU143*1.2)))+AE143),6)</f>
        <v>0.06</v>
      </c>
      <c r="AE143" s="2">
        <f>ROUND(((EU143*1.2)),6)</f>
        <v>0</v>
      </c>
      <c r="AF143" s="2">
        <f>ROUND(((EV143*1.2)),6)</f>
        <v>11.7</v>
      </c>
      <c r="AG143" s="2">
        <f t="shared" si="146"/>
        <v>0</v>
      </c>
      <c r="AH143" s="2">
        <f>((EW143*1.2))</f>
        <v>0.72</v>
      </c>
      <c r="AI143" s="2">
        <f>((EX143*1.2))</f>
        <v>0</v>
      </c>
      <c r="AJ143" s="2">
        <f t="shared" si="147"/>
        <v>0</v>
      </c>
      <c r="AK143" s="2">
        <v>11.11</v>
      </c>
      <c r="AL143" s="2">
        <v>1.31</v>
      </c>
      <c r="AM143" s="2">
        <v>0.05</v>
      </c>
      <c r="AN143" s="2">
        <v>0</v>
      </c>
      <c r="AO143" s="2">
        <v>9.75</v>
      </c>
      <c r="AP143" s="2">
        <v>0</v>
      </c>
      <c r="AQ143" s="2">
        <v>0.6</v>
      </c>
      <c r="AR143" s="2">
        <v>0</v>
      </c>
      <c r="AS143" s="2">
        <v>0</v>
      </c>
      <c r="AT143" s="2">
        <v>92</v>
      </c>
      <c r="AU143" s="2">
        <v>49</v>
      </c>
      <c r="AV143" s="2">
        <v>1.0669999999999999</v>
      </c>
      <c r="AW143" s="2">
        <v>1.028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0</v>
      </c>
      <c r="BI143" s="2">
        <v>2</v>
      </c>
      <c r="BJ143" s="2" t="s">
        <v>76</v>
      </c>
      <c r="BK143" s="2"/>
      <c r="BL143" s="2"/>
      <c r="BM143" s="2">
        <v>84</v>
      </c>
      <c r="BN143" s="2">
        <v>0</v>
      </c>
      <c r="BO143" s="2" t="s">
        <v>74</v>
      </c>
      <c r="BP143" s="2">
        <v>1</v>
      </c>
      <c r="BQ143" s="2">
        <v>40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92</v>
      </c>
      <c r="CA143" s="2">
        <v>49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820</v>
      </c>
      <c r="CO143" s="2">
        <v>0</v>
      </c>
      <c r="CP143" s="2">
        <f t="shared" si="148"/>
        <v>125.06</v>
      </c>
      <c r="CQ143" s="2">
        <f t="shared" si="163"/>
        <v>1.35</v>
      </c>
      <c r="CR143" s="2">
        <f>(ROUND((ROUND((((ET143*1.2))*AV143*1),2)*BB143),2)+ROUND((ROUND(((AE143-((EU143*1.2)))*AV143*1),2)*BS143),2))</f>
        <v>0.06</v>
      </c>
      <c r="CS143" s="2">
        <f>(ROUND((ROUND((((EU143*1.2))*AV143*1),2)*BS143),2)+ROUND((ROUND(((AE143-((EU143*1.2)))*AV143*1),2)*BS143),2))</f>
        <v>0</v>
      </c>
      <c r="CT143" s="2">
        <f t="shared" si="149"/>
        <v>12.48</v>
      </c>
      <c r="CU143" s="2">
        <f t="shared" si="150"/>
        <v>0</v>
      </c>
      <c r="CV143" s="2">
        <f t="shared" si="151"/>
        <v>0.76823999999999992</v>
      </c>
      <c r="CW143" s="2">
        <f t="shared" si="152"/>
        <v>0</v>
      </c>
      <c r="CX143" s="2">
        <f t="shared" si="153"/>
        <v>0</v>
      </c>
      <c r="CY143" s="2">
        <f>(ROUND((((S143+ROUND((ROUND((((EU143*1.2))*AV143*1),2)*BS143),2))*AT143)/100),2)+ROUND(((ROUND((ROUND(((AE143-((EU143*1.2)))*AV143*1),2)*BS143),2)*AT143)/100),2))</f>
        <v>103.37</v>
      </c>
      <c r="CZ143" s="2">
        <f>(ROUND((((S143+ROUND((ROUND((((EU143*1.2))*AV143*1),2)*BS143),2))*AU143)/100),2)+ROUND(((ROUND((ROUND(((AE143-((EU143*1.2)))*AV143*1),2)*BS143),2)*AU143)/100),2))</f>
        <v>55.06</v>
      </c>
      <c r="DA143" s="2"/>
      <c r="DB143" s="2">
        <v>85</v>
      </c>
      <c r="DC143" s="2" t="s">
        <v>3</v>
      </c>
      <c r="DD143" s="2" t="s">
        <v>119</v>
      </c>
      <c r="DE143" s="2" t="s">
        <v>120</v>
      </c>
      <c r="DF143" s="2" t="s">
        <v>120</v>
      </c>
      <c r="DG143" s="2" t="s">
        <v>120</v>
      </c>
      <c r="DH143" s="2" t="s">
        <v>3</v>
      </c>
      <c r="DI143" s="2" t="s">
        <v>120</v>
      </c>
      <c r="DJ143" s="2" t="s">
        <v>120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1013</v>
      </c>
      <c r="DV143" s="2" t="s">
        <v>29</v>
      </c>
      <c r="DW143" s="2" t="s">
        <v>29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57248668</v>
      </c>
      <c r="EF143" s="2">
        <v>40</v>
      </c>
      <c r="EG143" s="2" t="s">
        <v>33</v>
      </c>
      <c r="EH143" s="2">
        <v>0</v>
      </c>
      <c r="EI143" s="2" t="s">
        <v>3</v>
      </c>
      <c r="EJ143" s="2">
        <v>2</v>
      </c>
      <c r="EK143" s="2">
        <v>84</v>
      </c>
      <c r="EL143" s="2" t="s">
        <v>77</v>
      </c>
      <c r="EM143" s="2" t="s">
        <v>78</v>
      </c>
      <c r="EN143" s="2"/>
      <c r="EO143" s="2" t="s">
        <v>124</v>
      </c>
      <c r="EP143" s="2"/>
      <c r="EQ143" s="2">
        <v>131072</v>
      </c>
      <c r="ER143" s="2">
        <v>11.11</v>
      </c>
      <c r="ES143" s="2">
        <v>1.31</v>
      </c>
      <c r="ET143" s="2">
        <v>0.05</v>
      </c>
      <c r="EU143" s="2">
        <v>0</v>
      </c>
      <c r="EV143" s="2">
        <v>9.75</v>
      </c>
      <c r="EW143" s="2">
        <v>0.6</v>
      </c>
      <c r="EX143" s="2">
        <v>0</v>
      </c>
      <c r="EY143" s="2">
        <v>0</v>
      </c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2</v>
      </c>
      <c r="FT143" s="2"/>
      <c r="FU143" s="2"/>
      <c r="FV143" s="2"/>
      <c r="FW143" s="2"/>
      <c r="FX143" s="2">
        <v>92</v>
      </c>
      <c r="FY143" s="2">
        <v>49</v>
      </c>
      <c r="FZ143" s="2"/>
      <c r="GA143" s="2" t="s">
        <v>3</v>
      </c>
      <c r="GB143" s="2"/>
      <c r="GC143" s="2"/>
      <c r="GD143" s="2">
        <v>1</v>
      </c>
      <c r="GE143" s="2"/>
      <c r="GF143" s="2">
        <v>377394387</v>
      </c>
      <c r="GG143" s="2">
        <v>2</v>
      </c>
      <c r="GH143" s="2">
        <v>1</v>
      </c>
      <c r="GI143" s="2">
        <v>2</v>
      </c>
      <c r="GJ143" s="2">
        <v>0</v>
      </c>
      <c r="GK143" s="2">
        <v>0</v>
      </c>
      <c r="GL143" s="2">
        <f t="shared" si="154"/>
        <v>0</v>
      </c>
      <c r="GM143" s="2">
        <f t="shared" si="155"/>
        <v>283.49</v>
      </c>
      <c r="GN143" s="2">
        <f t="shared" si="156"/>
        <v>0</v>
      </c>
      <c r="GO143" s="2">
        <f t="shared" si="157"/>
        <v>283.49</v>
      </c>
      <c r="GP143" s="2">
        <f t="shared" si="158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59"/>
        <v>0</v>
      </c>
      <c r="GW143" s="2">
        <v>1</v>
      </c>
      <c r="GX143" s="2">
        <f t="shared" si="160"/>
        <v>0</v>
      </c>
      <c r="GY143" s="2"/>
      <c r="GZ143" s="2"/>
      <c r="HA143" s="2">
        <v>0</v>
      </c>
      <c r="HB143" s="2">
        <v>0</v>
      </c>
      <c r="HC143" s="2">
        <f t="shared" si="161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3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3">
        <v>17</v>
      </c>
      <c r="B144" s="3">
        <v>1</v>
      </c>
      <c r="C144" s="3">
        <f>ROW(SmtRes!A198)</f>
        <v>198</v>
      </c>
      <c r="D144" s="3">
        <f>ROW(EtalonRes!A262)</f>
        <v>262</v>
      </c>
      <c r="E144" s="3" t="s">
        <v>263</v>
      </c>
      <c r="F144" s="3" t="s">
        <v>74</v>
      </c>
      <c r="G144" s="3" t="s">
        <v>264</v>
      </c>
      <c r="H144" s="3" t="s">
        <v>29</v>
      </c>
      <c r="I144" s="3">
        <f>ROUND(3+2+2+2,9)</f>
        <v>9</v>
      </c>
      <c r="J144" s="3">
        <v>0</v>
      </c>
      <c r="K144" s="3">
        <f>ROUND(3+2+2+2,9)</f>
        <v>9</v>
      </c>
      <c r="O144" s="3">
        <f t="shared" si="139"/>
        <v>6371.74</v>
      </c>
      <c r="P144" s="3">
        <f t="shared" si="162"/>
        <v>35.15</v>
      </c>
      <c r="Q144" s="3">
        <f>(ROUND((ROUND((((ET144*1.2))*AV144*I144),2)*BB144),2)+ROUND((ROUND(((AE144-((EU144*1.2)))*AV144*I144),2)*BS144),2))</f>
        <v>5.0999999999999996</v>
      </c>
      <c r="R144" s="3">
        <f>(ROUND((ROUND((((EU144*1.2))*AV144*I144),2)*BS144),2)+ROUND((ROUND(((AE144-((EU144*1.2)))*AV144*I144),2)*BS144),2))</f>
        <v>0</v>
      </c>
      <c r="S144" s="3">
        <f t="shared" si="140"/>
        <v>6331.49</v>
      </c>
      <c r="T144" s="3">
        <f t="shared" si="141"/>
        <v>0</v>
      </c>
      <c r="U144" s="3">
        <f t="shared" si="142"/>
        <v>6.914159999999999</v>
      </c>
      <c r="V144" s="3">
        <f t="shared" si="143"/>
        <v>0</v>
      </c>
      <c r="W144" s="3">
        <f t="shared" si="144"/>
        <v>0</v>
      </c>
      <c r="X144" s="3">
        <f>(ROUND((((S144+ROUND((ROUND((((EU144*1.2))*AV144*I144),2)*BS144),2))*AT144)/100),2)+ROUND(((ROUND((ROUND(((AE144-((EU144*1.2)))*AV144*I144),2)*BS144),2)*AT144)/100),2))</f>
        <v>5824.97</v>
      </c>
      <c r="Y144" s="3">
        <f>(ROUND((((S144+ROUND((ROUND((((EU144*1.2))*AV144*I144),2)*BS144),2))*AU144)/100),2)+ROUND(((ROUND((ROUND(((AE144-((EU144*1.2)))*AV144*I144),2)*BS144),2)*AU144)/100),2))</f>
        <v>3102.43</v>
      </c>
      <c r="AA144" s="3">
        <v>57248837</v>
      </c>
      <c r="AB144" s="3">
        <f t="shared" si="145"/>
        <v>13.07</v>
      </c>
      <c r="AC144" s="3">
        <f>ROUND(((ES144*1)),6)</f>
        <v>1.31</v>
      </c>
      <c r="AD144" s="3">
        <f>ROUND(((((ET144*1.2))-((EU144*1.2)))+AE144),6)</f>
        <v>0.06</v>
      </c>
      <c r="AE144" s="3">
        <f>ROUND(((EU144*1.2)),6)</f>
        <v>0</v>
      </c>
      <c r="AF144" s="3">
        <f>ROUND(((EV144*1.2)),6)</f>
        <v>11.7</v>
      </c>
      <c r="AG144" s="3">
        <f t="shared" si="146"/>
        <v>0</v>
      </c>
      <c r="AH144" s="3">
        <f>((EW144*1.2))</f>
        <v>0.72</v>
      </c>
      <c r="AI144" s="3">
        <f>((EX144*1.2))</f>
        <v>0</v>
      </c>
      <c r="AJ144" s="3">
        <f t="shared" si="147"/>
        <v>0</v>
      </c>
      <c r="AK144" s="3">
        <v>11.11</v>
      </c>
      <c r="AL144" s="3">
        <v>1.31</v>
      </c>
      <c r="AM144" s="3">
        <v>0.05</v>
      </c>
      <c r="AN144" s="3">
        <v>0</v>
      </c>
      <c r="AO144" s="3">
        <v>9.75</v>
      </c>
      <c r="AP144" s="3">
        <v>0</v>
      </c>
      <c r="AQ144" s="3">
        <v>0.6</v>
      </c>
      <c r="AR144" s="3">
        <v>0</v>
      </c>
      <c r="AS144" s="3">
        <v>0</v>
      </c>
      <c r="AT144" s="3">
        <v>92</v>
      </c>
      <c r="AU144" s="3">
        <v>49</v>
      </c>
      <c r="AV144" s="3">
        <v>1.0669999999999999</v>
      </c>
      <c r="AW144" s="3">
        <v>1.028</v>
      </c>
      <c r="AZ144" s="3">
        <v>1</v>
      </c>
      <c r="BA144" s="3">
        <v>56.35</v>
      </c>
      <c r="BB144" s="3">
        <v>8.8000000000000007</v>
      </c>
      <c r="BC144" s="3">
        <v>2.9</v>
      </c>
      <c r="BD144" s="3" t="s">
        <v>3</v>
      </c>
      <c r="BE144" s="3" t="s">
        <v>3</v>
      </c>
      <c r="BF144" s="3" t="s">
        <v>3</v>
      </c>
      <c r="BG144" s="3" t="s">
        <v>3</v>
      </c>
      <c r="BH144" s="3">
        <v>0</v>
      </c>
      <c r="BI144" s="3">
        <v>2</v>
      </c>
      <c r="BJ144" s="3" t="s">
        <v>76</v>
      </c>
      <c r="BM144" s="3">
        <v>84</v>
      </c>
      <c r="BN144" s="3">
        <v>0</v>
      </c>
      <c r="BO144" s="3" t="s">
        <v>74</v>
      </c>
      <c r="BP144" s="3">
        <v>1</v>
      </c>
      <c r="BQ144" s="3">
        <v>40</v>
      </c>
      <c r="BR144" s="3">
        <v>0</v>
      </c>
      <c r="BS144" s="3">
        <v>56.35</v>
      </c>
      <c r="BT144" s="3">
        <v>1</v>
      </c>
      <c r="BU144" s="3">
        <v>1</v>
      </c>
      <c r="BV144" s="3">
        <v>1</v>
      </c>
      <c r="BW144" s="3">
        <v>1</v>
      </c>
      <c r="BX144" s="3">
        <v>1</v>
      </c>
      <c r="BY144" s="3" t="s">
        <v>3</v>
      </c>
      <c r="BZ144" s="3">
        <v>92</v>
      </c>
      <c r="CA144" s="3">
        <v>49</v>
      </c>
      <c r="CB144" s="3" t="s">
        <v>3</v>
      </c>
      <c r="CE144" s="3">
        <v>1566</v>
      </c>
      <c r="CF144" s="3">
        <v>0</v>
      </c>
      <c r="CG144" s="3">
        <v>0</v>
      </c>
      <c r="CM144" s="3">
        <v>0</v>
      </c>
      <c r="CN144" s="3" t="s">
        <v>820</v>
      </c>
      <c r="CO144" s="3">
        <v>0</v>
      </c>
      <c r="CP144" s="3">
        <f t="shared" si="148"/>
        <v>6371.74</v>
      </c>
      <c r="CQ144" s="3">
        <f t="shared" si="163"/>
        <v>3.92</v>
      </c>
      <c r="CR144" s="3">
        <f>(ROUND((ROUND((((ET144*1.2))*AV144*1),2)*BB144),2)+ROUND((ROUND(((AE144-((EU144*1.2)))*AV144*1),2)*BS144),2))</f>
        <v>0.53</v>
      </c>
      <c r="CS144" s="3">
        <f>(ROUND((ROUND((((EU144*1.2))*AV144*1),2)*BS144),2)+ROUND((ROUND(((AE144-((EU144*1.2)))*AV144*1),2)*BS144),2))</f>
        <v>0</v>
      </c>
      <c r="CT144" s="3">
        <f t="shared" si="149"/>
        <v>703.25</v>
      </c>
      <c r="CU144" s="3">
        <f t="shared" si="150"/>
        <v>0</v>
      </c>
      <c r="CV144" s="3">
        <f t="shared" si="151"/>
        <v>0.76823999999999992</v>
      </c>
      <c r="CW144" s="3">
        <f t="shared" si="152"/>
        <v>0</v>
      </c>
      <c r="CX144" s="3">
        <f t="shared" si="153"/>
        <v>0</v>
      </c>
      <c r="CY144" s="3">
        <f>(ROUND((((S144+ROUND((ROUND((((EU144*1.2))*AV144*1),2)*BS144),2))*AT144)/100),2)+ROUND(((ROUND((ROUND(((AE144-((EU144*1.2)))*AV144*1),2)*BS144),2)*AT144)/100),2))</f>
        <v>5824.97</v>
      </c>
      <c r="CZ144" s="3">
        <f>(ROUND((((S144+ROUND((ROUND((((EU144*1.2))*AV144*1),2)*BS144),2))*AU144)/100),2)+ROUND(((ROUND((ROUND(((AE144-((EU144*1.2)))*AV144*1),2)*BS144),2)*AU144)/100),2))</f>
        <v>3102.43</v>
      </c>
      <c r="DB144" s="3">
        <v>86</v>
      </c>
      <c r="DC144" s="3" t="s">
        <v>3</v>
      </c>
      <c r="DD144" s="3" t="s">
        <v>119</v>
      </c>
      <c r="DE144" s="3" t="s">
        <v>120</v>
      </c>
      <c r="DF144" s="3" t="s">
        <v>120</v>
      </c>
      <c r="DG144" s="3" t="s">
        <v>120</v>
      </c>
      <c r="DH144" s="3" t="s">
        <v>3</v>
      </c>
      <c r="DI144" s="3" t="s">
        <v>120</v>
      </c>
      <c r="DJ144" s="3" t="s">
        <v>120</v>
      </c>
      <c r="DK144" s="3" t="s">
        <v>3</v>
      </c>
      <c r="DL144" s="3" t="s">
        <v>3</v>
      </c>
      <c r="DM144" s="3" t="s">
        <v>3</v>
      </c>
      <c r="DN144" s="3">
        <v>0</v>
      </c>
      <c r="DO144" s="3">
        <v>0</v>
      </c>
      <c r="DP144" s="3">
        <v>1</v>
      </c>
      <c r="DQ144" s="3">
        <v>1</v>
      </c>
      <c r="DU144" s="3">
        <v>1013</v>
      </c>
      <c r="DV144" s="3" t="s">
        <v>29</v>
      </c>
      <c r="DW144" s="3" t="s">
        <v>29</v>
      </c>
      <c r="DX144" s="3">
        <v>1</v>
      </c>
      <c r="DZ144" s="3" t="s">
        <v>3</v>
      </c>
      <c r="EA144" s="3" t="s">
        <v>3</v>
      </c>
      <c r="EB144" s="3" t="s">
        <v>3</v>
      </c>
      <c r="EC144" s="3" t="s">
        <v>3</v>
      </c>
      <c r="EE144" s="3">
        <v>57248668</v>
      </c>
      <c r="EF144" s="3">
        <v>40</v>
      </c>
      <c r="EG144" s="3" t="s">
        <v>33</v>
      </c>
      <c r="EH144" s="3">
        <v>0</v>
      </c>
      <c r="EI144" s="3" t="s">
        <v>3</v>
      </c>
      <c r="EJ144" s="3">
        <v>2</v>
      </c>
      <c r="EK144" s="3">
        <v>84</v>
      </c>
      <c r="EL144" s="3" t="s">
        <v>77</v>
      </c>
      <c r="EM144" s="3" t="s">
        <v>78</v>
      </c>
      <c r="EO144" s="3" t="s">
        <v>124</v>
      </c>
      <c r="EQ144" s="3">
        <v>131072</v>
      </c>
      <c r="ER144" s="3">
        <v>11.11</v>
      </c>
      <c r="ES144" s="3">
        <v>1.31</v>
      </c>
      <c r="ET144" s="3">
        <v>0.05</v>
      </c>
      <c r="EU144" s="3">
        <v>0</v>
      </c>
      <c r="EV144" s="3">
        <v>9.75</v>
      </c>
      <c r="EW144" s="3">
        <v>0.6</v>
      </c>
      <c r="EX144" s="3">
        <v>0</v>
      </c>
      <c r="EY144" s="3">
        <v>0</v>
      </c>
      <c r="FQ144" s="3">
        <v>0</v>
      </c>
      <c r="FR144" s="3">
        <v>0</v>
      </c>
      <c r="FS144" s="3">
        <v>2</v>
      </c>
      <c r="FX144" s="3">
        <v>92</v>
      </c>
      <c r="FY144" s="3">
        <v>49</v>
      </c>
      <c r="GA144" s="3" t="s">
        <v>3</v>
      </c>
      <c r="GD144" s="3">
        <v>1</v>
      </c>
      <c r="GF144" s="3">
        <v>377394387</v>
      </c>
      <c r="GG144" s="3">
        <v>2</v>
      </c>
      <c r="GH144" s="3">
        <v>1</v>
      </c>
      <c r="GI144" s="3">
        <v>2</v>
      </c>
      <c r="GJ144" s="3">
        <v>0</v>
      </c>
      <c r="GK144" s="3">
        <v>0</v>
      </c>
      <c r="GL144" s="3">
        <f t="shared" si="154"/>
        <v>0</v>
      </c>
      <c r="GM144" s="3">
        <f t="shared" si="155"/>
        <v>15299.14</v>
      </c>
      <c r="GN144" s="3">
        <f t="shared" si="156"/>
        <v>0</v>
      </c>
      <c r="GO144" s="3">
        <f t="shared" si="157"/>
        <v>15299.14</v>
      </c>
      <c r="GP144" s="3">
        <f t="shared" si="158"/>
        <v>0</v>
      </c>
      <c r="GR144" s="3">
        <v>0</v>
      </c>
      <c r="GS144" s="3">
        <v>3</v>
      </c>
      <c r="GT144" s="3">
        <v>0</v>
      </c>
      <c r="GU144" s="3" t="s">
        <v>3</v>
      </c>
      <c r="GV144" s="3">
        <f t="shared" si="159"/>
        <v>0</v>
      </c>
      <c r="GW144" s="3">
        <v>1</v>
      </c>
      <c r="GX144" s="3">
        <f t="shared" si="160"/>
        <v>0</v>
      </c>
      <c r="HA144" s="3">
        <v>0</v>
      </c>
      <c r="HB144" s="3">
        <v>0</v>
      </c>
      <c r="HC144" s="3">
        <f t="shared" si="161"/>
        <v>0</v>
      </c>
      <c r="HE144" s="3" t="s">
        <v>3</v>
      </c>
      <c r="HF144" s="3" t="s">
        <v>3</v>
      </c>
      <c r="HM144" s="3" t="s">
        <v>3</v>
      </c>
      <c r="HN144" s="3" t="s">
        <v>3</v>
      </c>
      <c r="HO144" s="3" t="s">
        <v>3</v>
      </c>
      <c r="HP144" s="3" t="s">
        <v>3</v>
      </c>
      <c r="HQ144" s="3" t="s">
        <v>3</v>
      </c>
      <c r="HS144" s="3">
        <v>0</v>
      </c>
      <c r="IK144" s="3">
        <v>0</v>
      </c>
    </row>
    <row r="145" spans="1:255" x14ac:dyDescent="0.2">
      <c r="A145" s="2">
        <v>17</v>
      </c>
      <c r="B145" s="2">
        <v>1</v>
      </c>
      <c r="C145" s="2"/>
      <c r="D145" s="2"/>
      <c r="E145" s="2" t="s">
        <v>265</v>
      </c>
      <c r="F145" s="2" t="s">
        <v>266</v>
      </c>
      <c r="G145" s="2" t="s">
        <v>267</v>
      </c>
      <c r="H145" s="2" t="s">
        <v>192</v>
      </c>
      <c r="I145" s="2">
        <v>3</v>
      </c>
      <c r="J145" s="2">
        <v>0</v>
      </c>
      <c r="K145" s="2">
        <v>3</v>
      </c>
      <c r="L145" s="2"/>
      <c r="M145" s="2"/>
      <c r="N145" s="2"/>
      <c r="O145" s="2">
        <f t="shared" si="139"/>
        <v>66271.23</v>
      </c>
      <c r="P145" s="2">
        <f t="shared" si="162"/>
        <v>66271.23</v>
      </c>
      <c r="Q145" s="2">
        <f t="shared" ref="Q145:Q156" si="164">(ROUND((ROUND(((ET145)*AV145*I145),2)*BB145),2)+ROUND((ROUND(((AE145-(EU145))*AV145*I145),2)*BS145),2))</f>
        <v>0</v>
      </c>
      <c r="R145" s="2">
        <f t="shared" ref="R145:R156" si="165">(ROUND((ROUND(((EU145)*AV145*I145),2)*BS145),2)+ROUND((ROUND(((AE145-(EU145))*AV145*I145),2)*BS145),2))</f>
        <v>0</v>
      </c>
      <c r="S145" s="2">
        <f t="shared" si="140"/>
        <v>0</v>
      </c>
      <c r="T145" s="2">
        <f t="shared" si="141"/>
        <v>0</v>
      </c>
      <c r="U145" s="2">
        <f t="shared" si="142"/>
        <v>0</v>
      </c>
      <c r="V145" s="2">
        <f t="shared" si="143"/>
        <v>0</v>
      </c>
      <c r="W145" s="2">
        <f t="shared" si="144"/>
        <v>0</v>
      </c>
      <c r="X145" s="2">
        <f t="shared" ref="X145:X156" si="166">(ROUND((((S145+ROUND((ROUND(((EU145)*AV145*I145),2)*BS145),2))*AT145)/100),2)+ROUND(((ROUND((ROUND(((AE145-(EU145))*AV145*I145),2)*BS145),2)*AT145)/100),2))</f>
        <v>0</v>
      </c>
      <c r="Y145" s="2">
        <f t="shared" ref="Y145:Y156" si="167">(ROUND((((S145+ROUND((ROUND(((EU145)*AV145*I145),2)*BS145),2))*AU145)/100),2)+ROUND(((ROUND((ROUND(((AE145-(EU145))*AV145*I145),2)*BS145),2)*AU145)/100),2))</f>
        <v>0</v>
      </c>
      <c r="Z145" s="2"/>
      <c r="AA145" s="2">
        <v>57248835</v>
      </c>
      <c r="AB145" s="2">
        <f t="shared" si="145"/>
        <v>22090.41</v>
      </c>
      <c r="AC145" s="2">
        <f t="shared" ref="AC145:AC156" si="168">ROUND((ES145),6)</f>
        <v>22090.41</v>
      </c>
      <c r="AD145" s="2">
        <f t="shared" ref="AD145:AD156" si="169">ROUND((((ET145)-(EU145))+AE145),6)</f>
        <v>0</v>
      </c>
      <c r="AE145" s="2">
        <f t="shared" ref="AE145:AE156" si="170">ROUND((EU145),6)</f>
        <v>0</v>
      </c>
      <c r="AF145" s="2">
        <f t="shared" ref="AF145:AF156" si="171">ROUND((EV145),6)</f>
        <v>0</v>
      </c>
      <c r="AG145" s="2">
        <f t="shared" si="146"/>
        <v>0</v>
      </c>
      <c r="AH145" s="2">
        <f t="shared" ref="AH145:AH156" si="172">(EW145)</f>
        <v>0</v>
      </c>
      <c r="AI145" s="2">
        <f t="shared" ref="AI145:AI156" si="173">(EX145)</f>
        <v>0</v>
      </c>
      <c r="AJ145" s="2">
        <f t="shared" si="147"/>
        <v>0</v>
      </c>
      <c r="AK145" s="2">
        <v>22090.409999999996</v>
      </c>
      <c r="AL145" s="2">
        <v>22090.409999999996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3</v>
      </c>
      <c r="BJ145" s="2" t="s">
        <v>266</v>
      </c>
      <c r="BK145" s="2"/>
      <c r="BL145" s="2"/>
      <c r="BM145" s="2">
        <v>400007</v>
      </c>
      <c r="BN145" s="2">
        <v>0</v>
      </c>
      <c r="BO145" s="2" t="s">
        <v>3</v>
      </c>
      <c r="BP145" s="2">
        <v>0</v>
      </c>
      <c r="BQ145" s="2">
        <v>214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0</v>
      </c>
      <c r="CA145" s="2">
        <v>0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3</v>
      </c>
      <c r="CO145" s="2">
        <v>0</v>
      </c>
      <c r="CP145" s="2">
        <f t="shared" si="148"/>
        <v>66271.23</v>
      </c>
      <c r="CQ145" s="2">
        <f t="shared" si="163"/>
        <v>22090.41</v>
      </c>
      <c r="CR145" s="2">
        <f t="shared" ref="CR145:CR156" si="174">(ROUND((ROUND(((ET145)*AV145*1),2)*BB145),2)+ROUND((ROUND(((AE145-(EU145))*AV145*1),2)*BS145),2))</f>
        <v>0</v>
      </c>
      <c r="CS145" s="2">
        <f t="shared" ref="CS145:CS156" si="175">(ROUND((ROUND(((EU145)*AV145*1),2)*BS145),2)+ROUND((ROUND(((AE145-(EU145))*AV145*1),2)*BS145),2))</f>
        <v>0</v>
      </c>
      <c r="CT145" s="2">
        <f t="shared" si="149"/>
        <v>0</v>
      </c>
      <c r="CU145" s="2">
        <f t="shared" si="150"/>
        <v>0</v>
      </c>
      <c r="CV145" s="2">
        <f t="shared" si="151"/>
        <v>0</v>
      </c>
      <c r="CW145" s="2">
        <f t="shared" si="152"/>
        <v>0</v>
      </c>
      <c r="CX145" s="2">
        <f t="shared" si="153"/>
        <v>0</v>
      </c>
      <c r="CY145" s="2">
        <f t="shared" ref="CY145:CY156" si="176">(ROUND((((S145+ROUND((ROUND(((EU145)*AV145*1),2)*BS145),2))*AT145)/100),2)+ROUND(((ROUND((ROUND(((AE145-(EU145))*AV145*1),2)*BS145),2)*AT145)/100),2))</f>
        <v>0</v>
      </c>
      <c r="CZ145" s="2">
        <f t="shared" ref="CZ145:CZ156" si="177">(ROUND((((S145+ROUND((ROUND(((EU145)*AV145*1),2)*BS145),2))*AU145)/100),2)+ROUND(((ROUND((ROUND(((AE145-(EU145))*AV145*1),2)*BS145),2)*AU145)/100),2))</f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1013</v>
      </c>
      <c r="DV145" s="2" t="s">
        <v>192</v>
      </c>
      <c r="DW145" s="2" t="s">
        <v>192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57248792</v>
      </c>
      <c r="EF145" s="2">
        <v>214</v>
      </c>
      <c r="EG145" s="2" t="s">
        <v>193</v>
      </c>
      <c r="EH145" s="2">
        <v>0</v>
      </c>
      <c r="EI145" s="2" t="s">
        <v>3</v>
      </c>
      <c r="EJ145" s="2">
        <v>3</v>
      </c>
      <c r="EK145" s="2">
        <v>400007</v>
      </c>
      <c r="EL145" s="2" t="s">
        <v>193</v>
      </c>
      <c r="EM145" s="2" t="s">
        <v>194</v>
      </c>
      <c r="EN145" s="2"/>
      <c r="EO145" s="2" t="s">
        <v>3</v>
      </c>
      <c r="EP145" s="2"/>
      <c r="EQ145" s="2">
        <v>131088</v>
      </c>
      <c r="ER145" s="2">
        <v>0</v>
      </c>
      <c r="ES145" s="2">
        <v>22090.409999999996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f t="shared" ref="FR145:FR156" si="178">P145</f>
        <v>66271.23</v>
      </c>
      <c r="FS145" s="2">
        <v>0</v>
      </c>
      <c r="FT145" s="2"/>
      <c r="FU145" s="2"/>
      <c r="FV145" s="2"/>
      <c r="FW145" s="2"/>
      <c r="FX145" s="2">
        <v>0</v>
      </c>
      <c r="FY145" s="2">
        <v>0</v>
      </c>
      <c r="FZ145" s="2"/>
      <c r="GA145" s="2" t="s">
        <v>268</v>
      </c>
      <c r="GB145" s="2"/>
      <c r="GC145" s="2"/>
      <c r="GD145" s="2">
        <v>1</v>
      </c>
      <c r="GE145" s="2"/>
      <c r="GF145" s="2">
        <v>-846992528</v>
      </c>
      <c r="GG145" s="2">
        <v>2</v>
      </c>
      <c r="GH145" s="2">
        <v>4</v>
      </c>
      <c r="GI145" s="2">
        <v>-2</v>
      </c>
      <c r="GJ145" s="2">
        <v>0</v>
      </c>
      <c r="GK145" s="2">
        <v>0</v>
      </c>
      <c r="GL145" s="2">
        <f t="shared" si="154"/>
        <v>0</v>
      </c>
      <c r="GM145" s="2">
        <f t="shared" si="155"/>
        <v>66271.23</v>
      </c>
      <c r="GN145" s="2">
        <f t="shared" si="156"/>
        <v>0</v>
      </c>
      <c r="GO145" s="2">
        <f t="shared" si="157"/>
        <v>0</v>
      </c>
      <c r="GP145" s="2">
        <f t="shared" si="158"/>
        <v>0</v>
      </c>
      <c r="GQ145" s="2"/>
      <c r="GR145" s="2">
        <v>1</v>
      </c>
      <c r="GS145" s="2">
        <v>2</v>
      </c>
      <c r="GT145" s="2">
        <v>0</v>
      </c>
      <c r="GU145" s="2" t="s">
        <v>3</v>
      </c>
      <c r="GV145" s="2">
        <f t="shared" si="159"/>
        <v>0</v>
      </c>
      <c r="GW145" s="2">
        <v>1</v>
      </c>
      <c r="GX145" s="2">
        <f t="shared" si="160"/>
        <v>0</v>
      </c>
      <c r="GY145" s="2"/>
      <c r="GZ145" s="2"/>
      <c r="HA145" s="2">
        <v>0</v>
      </c>
      <c r="HB145" s="2">
        <v>0</v>
      </c>
      <c r="HC145" s="2">
        <f t="shared" si="161"/>
        <v>0</v>
      </c>
      <c r="HD145" s="2"/>
      <c r="HE145" s="2" t="s">
        <v>41</v>
      </c>
      <c r="HF145" s="2" t="s">
        <v>196</v>
      </c>
      <c r="HG145" s="2"/>
      <c r="HH145" s="2"/>
      <c r="HI145" s="2"/>
      <c r="HJ145" s="2"/>
      <c r="HK145" s="2"/>
      <c r="HL145" s="2"/>
      <c r="HM145" s="2" t="s">
        <v>3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3">
        <v>17</v>
      </c>
      <c r="B146" s="3">
        <v>1</v>
      </c>
      <c r="E146" s="3" t="s">
        <v>265</v>
      </c>
      <c r="F146" s="3" t="s">
        <v>266</v>
      </c>
      <c r="G146" s="3" t="s">
        <v>267</v>
      </c>
      <c r="H146" s="3" t="s">
        <v>192</v>
      </c>
      <c r="I146" s="3">
        <v>3</v>
      </c>
      <c r="J146" s="3">
        <v>0</v>
      </c>
      <c r="K146" s="3">
        <v>3</v>
      </c>
      <c r="O146" s="3">
        <f t="shared" si="139"/>
        <v>501673.21</v>
      </c>
      <c r="P146" s="3">
        <f t="shared" si="162"/>
        <v>501673.21</v>
      </c>
      <c r="Q146" s="3">
        <f t="shared" si="164"/>
        <v>0</v>
      </c>
      <c r="R146" s="3">
        <f t="shared" si="165"/>
        <v>0</v>
      </c>
      <c r="S146" s="3">
        <f t="shared" si="140"/>
        <v>0</v>
      </c>
      <c r="T146" s="3">
        <f t="shared" si="141"/>
        <v>0</v>
      </c>
      <c r="U146" s="3">
        <f t="shared" si="142"/>
        <v>0</v>
      </c>
      <c r="V146" s="3">
        <f t="shared" si="143"/>
        <v>0</v>
      </c>
      <c r="W146" s="3">
        <f t="shared" si="144"/>
        <v>0</v>
      </c>
      <c r="X146" s="3">
        <f t="shared" si="166"/>
        <v>0</v>
      </c>
      <c r="Y146" s="3">
        <f t="shared" si="167"/>
        <v>0</v>
      </c>
      <c r="AA146" s="3">
        <v>57248837</v>
      </c>
      <c r="AB146" s="3">
        <f t="shared" si="145"/>
        <v>22090.41</v>
      </c>
      <c r="AC146" s="3">
        <f t="shared" si="168"/>
        <v>22090.41</v>
      </c>
      <c r="AD146" s="3">
        <f t="shared" si="169"/>
        <v>0</v>
      </c>
      <c r="AE146" s="3">
        <f t="shared" si="170"/>
        <v>0</v>
      </c>
      <c r="AF146" s="3">
        <f t="shared" si="171"/>
        <v>0</v>
      </c>
      <c r="AG146" s="3">
        <f t="shared" si="146"/>
        <v>0</v>
      </c>
      <c r="AH146" s="3">
        <f t="shared" si="172"/>
        <v>0</v>
      </c>
      <c r="AI146" s="3">
        <f t="shared" si="173"/>
        <v>0</v>
      </c>
      <c r="AJ146" s="3">
        <f t="shared" si="147"/>
        <v>0</v>
      </c>
      <c r="AK146" s="3">
        <v>22090.409999999996</v>
      </c>
      <c r="AL146" s="3">
        <v>22090.409999999996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1</v>
      </c>
      <c r="AW146" s="3">
        <v>1</v>
      </c>
      <c r="AZ146" s="3">
        <v>1</v>
      </c>
      <c r="BA146" s="3">
        <v>1</v>
      </c>
      <c r="BB146" s="3">
        <v>1</v>
      </c>
      <c r="BC146" s="3">
        <v>7.57</v>
      </c>
      <c r="BD146" s="3" t="s">
        <v>3</v>
      </c>
      <c r="BE146" s="3" t="s">
        <v>3</v>
      </c>
      <c r="BF146" s="3" t="s">
        <v>3</v>
      </c>
      <c r="BG146" s="3" t="s">
        <v>3</v>
      </c>
      <c r="BH146" s="3">
        <v>3</v>
      </c>
      <c r="BI146" s="3">
        <v>3</v>
      </c>
      <c r="BJ146" s="3" t="s">
        <v>266</v>
      </c>
      <c r="BM146" s="3">
        <v>400007</v>
      </c>
      <c r="BN146" s="3">
        <v>0</v>
      </c>
      <c r="BO146" s="3" t="s">
        <v>3</v>
      </c>
      <c r="BP146" s="3">
        <v>0</v>
      </c>
      <c r="BQ146" s="3">
        <v>214</v>
      </c>
      <c r="BR146" s="3">
        <v>0</v>
      </c>
      <c r="BS146" s="3">
        <v>1</v>
      </c>
      <c r="BT146" s="3">
        <v>1</v>
      </c>
      <c r="BU146" s="3">
        <v>1</v>
      </c>
      <c r="BV146" s="3">
        <v>1</v>
      </c>
      <c r="BW146" s="3">
        <v>1</v>
      </c>
      <c r="BX146" s="3">
        <v>1</v>
      </c>
      <c r="BY146" s="3" t="s">
        <v>3</v>
      </c>
      <c r="BZ146" s="3">
        <v>0</v>
      </c>
      <c r="CA146" s="3">
        <v>0</v>
      </c>
      <c r="CB146" s="3" t="s">
        <v>3</v>
      </c>
      <c r="CE146" s="3">
        <v>1566</v>
      </c>
      <c r="CF146" s="3">
        <v>0</v>
      </c>
      <c r="CG146" s="3">
        <v>0</v>
      </c>
      <c r="CM146" s="3">
        <v>0</v>
      </c>
      <c r="CN146" s="3" t="s">
        <v>3</v>
      </c>
      <c r="CO146" s="3">
        <v>0</v>
      </c>
      <c r="CP146" s="3">
        <f t="shared" si="148"/>
        <v>501673.21</v>
      </c>
      <c r="CQ146" s="3">
        <f t="shared" si="163"/>
        <v>167224.4</v>
      </c>
      <c r="CR146" s="3">
        <f t="shared" si="174"/>
        <v>0</v>
      </c>
      <c r="CS146" s="3">
        <f t="shared" si="175"/>
        <v>0</v>
      </c>
      <c r="CT146" s="3">
        <f t="shared" si="149"/>
        <v>0</v>
      </c>
      <c r="CU146" s="3">
        <f t="shared" si="150"/>
        <v>0</v>
      </c>
      <c r="CV146" s="3">
        <f t="shared" si="151"/>
        <v>0</v>
      </c>
      <c r="CW146" s="3">
        <f t="shared" si="152"/>
        <v>0</v>
      </c>
      <c r="CX146" s="3">
        <f t="shared" si="153"/>
        <v>0</v>
      </c>
      <c r="CY146" s="3">
        <f t="shared" si="176"/>
        <v>0</v>
      </c>
      <c r="CZ146" s="3">
        <f t="shared" si="177"/>
        <v>0</v>
      </c>
      <c r="DC146" s="3" t="s">
        <v>3</v>
      </c>
      <c r="DD146" s="3" t="s">
        <v>3</v>
      </c>
      <c r="DE146" s="3" t="s">
        <v>3</v>
      </c>
      <c r="DF146" s="3" t="s">
        <v>3</v>
      </c>
      <c r="DG146" s="3" t="s">
        <v>3</v>
      </c>
      <c r="DH146" s="3" t="s">
        <v>3</v>
      </c>
      <c r="DI146" s="3" t="s">
        <v>3</v>
      </c>
      <c r="DJ146" s="3" t="s">
        <v>3</v>
      </c>
      <c r="DK146" s="3" t="s">
        <v>3</v>
      </c>
      <c r="DL146" s="3" t="s">
        <v>3</v>
      </c>
      <c r="DM146" s="3" t="s">
        <v>3</v>
      </c>
      <c r="DN146" s="3">
        <v>0</v>
      </c>
      <c r="DO146" s="3">
        <v>0</v>
      </c>
      <c r="DP146" s="3">
        <v>1</v>
      </c>
      <c r="DQ146" s="3">
        <v>1</v>
      </c>
      <c r="DU146" s="3">
        <v>1013</v>
      </c>
      <c r="DV146" s="3" t="s">
        <v>192</v>
      </c>
      <c r="DW146" s="3" t="s">
        <v>192</v>
      </c>
      <c r="DX146" s="3">
        <v>1</v>
      </c>
      <c r="DZ146" s="3" t="s">
        <v>3</v>
      </c>
      <c r="EA146" s="3" t="s">
        <v>3</v>
      </c>
      <c r="EB146" s="3" t="s">
        <v>3</v>
      </c>
      <c r="EC146" s="3" t="s">
        <v>3</v>
      </c>
      <c r="EE146" s="3">
        <v>57248792</v>
      </c>
      <c r="EF146" s="3">
        <v>214</v>
      </c>
      <c r="EG146" s="3" t="s">
        <v>193</v>
      </c>
      <c r="EH146" s="3">
        <v>0</v>
      </c>
      <c r="EI146" s="3" t="s">
        <v>3</v>
      </c>
      <c r="EJ146" s="3">
        <v>3</v>
      </c>
      <c r="EK146" s="3">
        <v>400007</v>
      </c>
      <c r="EL146" s="3" t="s">
        <v>193</v>
      </c>
      <c r="EM146" s="3" t="s">
        <v>194</v>
      </c>
      <c r="EO146" s="3" t="s">
        <v>3</v>
      </c>
      <c r="EQ146" s="3">
        <v>131088</v>
      </c>
      <c r="ER146" s="3">
        <v>0</v>
      </c>
      <c r="ES146" s="3">
        <v>22090.409999999996</v>
      </c>
      <c r="ET146" s="3">
        <v>0</v>
      </c>
      <c r="EU146" s="3">
        <v>0</v>
      </c>
      <c r="EV146" s="3">
        <v>0</v>
      </c>
      <c r="EW146" s="3">
        <v>0</v>
      </c>
      <c r="EX146" s="3">
        <v>0</v>
      </c>
      <c r="EY146" s="3">
        <v>0</v>
      </c>
      <c r="EZ146" s="3">
        <v>5</v>
      </c>
      <c r="FC146" s="3">
        <v>1</v>
      </c>
      <c r="FD146" s="3">
        <v>18</v>
      </c>
      <c r="FF146" s="3">
        <v>195723</v>
      </c>
      <c r="FQ146" s="3">
        <v>0</v>
      </c>
      <c r="FR146" s="3">
        <f t="shared" si="178"/>
        <v>501673.21</v>
      </c>
      <c r="FS146" s="3">
        <v>0</v>
      </c>
      <c r="FX146" s="3">
        <v>0</v>
      </c>
      <c r="FY146" s="3">
        <v>0</v>
      </c>
      <c r="GA146" s="3" t="s">
        <v>268</v>
      </c>
      <c r="GD146" s="3">
        <v>1</v>
      </c>
      <c r="GF146" s="3">
        <v>-846992528</v>
      </c>
      <c r="GG146" s="3">
        <v>2</v>
      </c>
      <c r="GH146" s="3">
        <v>3</v>
      </c>
      <c r="GI146" s="3">
        <v>5</v>
      </c>
      <c r="GJ146" s="3">
        <v>0</v>
      </c>
      <c r="GK146" s="3">
        <v>0</v>
      </c>
      <c r="GL146" s="3">
        <f t="shared" si="154"/>
        <v>0</v>
      </c>
      <c r="GM146" s="3">
        <f t="shared" si="155"/>
        <v>501673.21</v>
      </c>
      <c r="GN146" s="3">
        <f t="shared" si="156"/>
        <v>0</v>
      </c>
      <c r="GO146" s="3">
        <f t="shared" si="157"/>
        <v>0</v>
      </c>
      <c r="GP146" s="3">
        <f t="shared" si="158"/>
        <v>0</v>
      </c>
      <c r="GR146" s="3">
        <v>1</v>
      </c>
      <c r="GS146" s="3">
        <v>1</v>
      </c>
      <c r="GT146" s="3">
        <v>0</v>
      </c>
      <c r="GU146" s="3" t="s">
        <v>3</v>
      </c>
      <c r="GV146" s="3">
        <f t="shared" si="159"/>
        <v>0</v>
      </c>
      <c r="GW146" s="3">
        <v>1</v>
      </c>
      <c r="GX146" s="3">
        <f t="shared" si="160"/>
        <v>0</v>
      </c>
      <c r="HA146" s="3">
        <v>0</v>
      </c>
      <c r="HB146" s="3">
        <v>0</v>
      </c>
      <c r="HC146" s="3">
        <f t="shared" si="161"/>
        <v>0</v>
      </c>
      <c r="HE146" s="3" t="s">
        <v>41</v>
      </c>
      <c r="HF146" s="3" t="s">
        <v>196</v>
      </c>
      <c r="HM146" s="3" t="s">
        <v>3</v>
      </c>
      <c r="HN146" s="3" t="s">
        <v>3</v>
      </c>
      <c r="HO146" s="3" t="s">
        <v>3</v>
      </c>
      <c r="HP146" s="3" t="s">
        <v>3</v>
      </c>
      <c r="HQ146" s="3" t="s">
        <v>3</v>
      </c>
      <c r="HS146" s="3">
        <v>0</v>
      </c>
      <c r="IK146" s="3">
        <v>0</v>
      </c>
    </row>
    <row r="147" spans="1:255" x14ac:dyDescent="0.2">
      <c r="A147" s="2">
        <v>17</v>
      </c>
      <c r="B147" s="2">
        <v>1</v>
      </c>
      <c r="C147" s="2"/>
      <c r="D147" s="2"/>
      <c r="E147" s="2" t="s">
        <v>269</v>
      </c>
      <c r="F147" s="2" t="s">
        <v>270</v>
      </c>
      <c r="G147" s="2" t="s">
        <v>271</v>
      </c>
      <c r="H147" s="2" t="s">
        <v>192</v>
      </c>
      <c r="I147" s="2">
        <v>2</v>
      </c>
      <c r="J147" s="2">
        <v>0</v>
      </c>
      <c r="K147" s="2">
        <v>2</v>
      </c>
      <c r="L147" s="2"/>
      <c r="M147" s="2"/>
      <c r="N147" s="2"/>
      <c r="O147" s="2">
        <f t="shared" si="139"/>
        <v>40176.5</v>
      </c>
      <c r="P147" s="2">
        <f t="shared" si="162"/>
        <v>40176.5</v>
      </c>
      <c r="Q147" s="2">
        <f t="shared" si="164"/>
        <v>0</v>
      </c>
      <c r="R147" s="2">
        <f t="shared" si="165"/>
        <v>0</v>
      </c>
      <c r="S147" s="2">
        <f t="shared" si="140"/>
        <v>0</v>
      </c>
      <c r="T147" s="2">
        <f t="shared" si="141"/>
        <v>0</v>
      </c>
      <c r="U147" s="2">
        <f t="shared" si="142"/>
        <v>0</v>
      </c>
      <c r="V147" s="2">
        <f t="shared" si="143"/>
        <v>0</v>
      </c>
      <c r="W147" s="2">
        <f t="shared" si="144"/>
        <v>0</v>
      </c>
      <c r="X147" s="2">
        <f t="shared" si="166"/>
        <v>0</v>
      </c>
      <c r="Y147" s="2">
        <f t="shared" si="167"/>
        <v>0</v>
      </c>
      <c r="Z147" s="2"/>
      <c r="AA147" s="2">
        <v>57248835</v>
      </c>
      <c r="AB147" s="2">
        <f t="shared" si="145"/>
        <v>20088.25</v>
      </c>
      <c r="AC147" s="2">
        <f t="shared" si="168"/>
        <v>20088.25</v>
      </c>
      <c r="AD147" s="2">
        <f t="shared" si="169"/>
        <v>0</v>
      </c>
      <c r="AE147" s="2">
        <f t="shared" si="170"/>
        <v>0</v>
      </c>
      <c r="AF147" s="2">
        <f t="shared" si="171"/>
        <v>0</v>
      </c>
      <c r="AG147" s="2">
        <f t="shared" si="146"/>
        <v>0</v>
      </c>
      <c r="AH147" s="2">
        <f t="shared" si="172"/>
        <v>0</v>
      </c>
      <c r="AI147" s="2">
        <f t="shared" si="173"/>
        <v>0</v>
      </c>
      <c r="AJ147" s="2">
        <f t="shared" si="147"/>
        <v>0</v>
      </c>
      <c r="AK147" s="2">
        <v>20088.25</v>
      </c>
      <c r="AL147" s="2">
        <v>20088.25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3</v>
      </c>
      <c r="BJ147" s="2" t="s">
        <v>270</v>
      </c>
      <c r="BK147" s="2"/>
      <c r="BL147" s="2"/>
      <c r="BM147" s="2">
        <v>400007</v>
      </c>
      <c r="BN147" s="2">
        <v>0</v>
      </c>
      <c r="BO147" s="2" t="s">
        <v>3</v>
      </c>
      <c r="BP147" s="2">
        <v>0</v>
      </c>
      <c r="BQ147" s="2">
        <v>214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0</v>
      </c>
      <c r="CA147" s="2">
        <v>0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3</v>
      </c>
      <c r="CO147" s="2">
        <v>0</v>
      </c>
      <c r="CP147" s="2">
        <f t="shared" si="148"/>
        <v>40176.5</v>
      </c>
      <c r="CQ147" s="2">
        <f t="shared" si="163"/>
        <v>20088.25</v>
      </c>
      <c r="CR147" s="2">
        <f t="shared" si="174"/>
        <v>0</v>
      </c>
      <c r="CS147" s="2">
        <f t="shared" si="175"/>
        <v>0</v>
      </c>
      <c r="CT147" s="2">
        <f t="shared" si="149"/>
        <v>0</v>
      </c>
      <c r="CU147" s="2">
        <f t="shared" si="150"/>
        <v>0</v>
      </c>
      <c r="CV147" s="2">
        <f t="shared" si="151"/>
        <v>0</v>
      </c>
      <c r="CW147" s="2">
        <f t="shared" si="152"/>
        <v>0</v>
      </c>
      <c r="CX147" s="2">
        <f t="shared" si="153"/>
        <v>0</v>
      </c>
      <c r="CY147" s="2">
        <f t="shared" si="176"/>
        <v>0</v>
      </c>
      <c r="CZ147" s="2">
        <f t="shared" si="177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1013</v>
      </c>
      <c r="DV147" s="2" t="s">
        <v>192</v>
      </c>
      <c r="DW147" s="2" t="s">
        <v>192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57248792</v>
      </c>
      <c r="EF147" s="2">
        <v>214</v>
      </c>
      <c r="EG147" s="2" t="s">
        <v>193</v>
      </c>
      <c r="EH147" s="2">
        <v>0</v>
      </c>
      <c r="EI147" s="2" t="s">
        <v>3</v>
      </c>
      <c r="EJ147" s="2">
        <v>3</v>
      </c>
      <c r="EK147" s="2">
        <v>400007</v>
      </c>
      <c r="EL147" s="2" t="s">
        <v>193</v>
      </c>
      <c r="EM147" s="2" t="s">
        <v>194</v>
      </c>
      <c r="EN147" s="2"/>
      <c r="EO147" s="2" t="s">
        <v>3</v>
      </c>
      <c r="EP147" s="2"/>
      <c r="EQ147" s="2">
        <v>131088</v>
      </c>
      <c r="ER147" s="2">
        <v>0</v>
      </c>
      <c r="ES147" s="2">
        <v>20088.25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f t="shared" si="178"/>
        <v>40176.5</v>
      </c>
      <c r="FS147" s="2">
        <v>0</v>
      </c>
      <c r="FT147" s="2"/>
      <c r="FU147" s="2"/>
      <c r="FV147" s="2"/>
      <c r="FW147" s="2"/>
      <c r="FX147" s="2">
        <v>0</v>
      </c>
      <c r="FY147" s="2">
        <v>0</v>
      </c>
      <c r="FZ147" s="2"/>
      <c r="GA147" s="2" t="s">
        <v>272</v>
      </c>
      <c r="GB147" s="2"/>
      <c r="GC147" s="2"/>
      <c r="GD147" s="2">
        <v>1</v>
      </c>
      <c r="GE147" s="2"/>
      <c r="GF147" s="2">
        <v>1026443751</v>
      </c>
      <c r="GG147" s="2">
        <v>2</v>
      </c>
      <c r="GH147" s="2">
        <v>4</v>
      </c>
      <c r="GI147" s="2">
        <v>-2</v>
      </c>
      <c r="GJ147" s="2">
        <v>0</v>
      </c>
      <c r="GK147" s="2">
        <v>0</v>
      </c>
      <c r="GL147" s="2">
        <f t="shared" si="154"/>
        <v>0</v>
      </c>
      <c r="GM147" s="2">
        <f t="shared" si="155"/>
        <v>40176.5</v>
      </c>
      <c r="GN147" s="2">
        <f t="shared" si="156"/>
        <v>0</v>
      </c>
      <c r="GO147" s="2">
        <f t="shared" si="157"/>
        <v>0</v>
      </c>
      <c r="GP147" s="2">
        <f t="shared" si="158"/>
        <v>0</v>
      </c>
      <c r="GQ147" s="2"/>
      <c r="GR147" s="2">
        <v>1</v>
      </c>
      <c r="GS147" s="2">
        <v>2</v>
      </c>
      <c r="GT147" s="2">
        <v>0</v>
      </c>
      <c r="GU147" s="2" t="s">
        <v>3</v>
      </c>
      <c r="GV147" s="2">
        <f t="shared" si="159"/>
        <v>0</v>
      </c>
      <c r="GW147" s="2">
        <v>1</v>
      </c>
      <c r="GX147" s="2">
        <f t="shared" si="160"/>
        <v>0</v>
      </c>
      <c r="GY147" s="2"/>
      <c r="GZ147" s="2"/>
      <c r="HA147" s="2">
        <v>0</v>
      </c>
      <c r="HB147" s="2">
        <v>0</v>
      </c>
      <c r="HC147" s="2">
        <f t="shared" si="161"/>
        <v>0</v>
      </c>
      <c r="HD147" s="2"/>
      <c r="HE147" s="2" t="s">
        <v>41</v>
      </c>
      <c r="HF147" s="2" t="s">
        <v>196</v>
      </c>
      <c r="HG147" s="2"/>
      <c r="HH147" s="2"/>
      <c r="HI147" s="2"/>
      <c r="HJ147" s="2"/>
      <c r="HK147" s="2"/>
      <c r="HL147" s="2"/>
      <c r="HM147" s="2" t="s">
        <v>3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3">
        <v>17</v>
      </c>
      <c r="B148" s="3">
        <v>1</v>
      </c>
      <c r="E148" s="3" t="s">
        <v>269</v>
      </c>
      <c r="F148" s="3" t="s">
        <v>270</v>
      </c>
      <c r="G148" s="3" t="s">
        <v>271</v>
      </c>
      <c r="H148" s="3" t="s">
        <v>192</v>
      </c>
      <c r="I148" s="3">
        <v>2</v>
      </c>
      <c r="J148" s="3">
        <v>0</v>
      </c>
      <c r="K148" s="3">
        <v>2</v>
      </c>
      <c r="O148" s="3">
        <f t="shared" si="139"/>
        <v>304136.11</v>
      </c>
      <c r="P148" s="3">
        <f t="shared" si="162"/>
        <v>304136.11</v>
      </c>
      <c r="Q148" s="3">
        <f t="shared" si="164"/>
        <v>0</v>
      </c>
      <c r="R148" s="3">
        <f t="shared" si="165"/>
        <v>0</v>
      </c>
      <c r="S148" s="3">
        <f t="shared" si="140"/>
        <v>0</v>
      </c>
      <c r="T148" s="3">
        <f t="shared" si="141"/>
        <v>0</v>
      </c>
      <c r="U148" s="3">
        <f t="shared" si="142"/>
        <v>0</v>
      </c>
      <c r="V148" s="3">
        <f t="shared" si="143"/>
        <v>0</v>
      </c>
      <c r="W148" s="3">
        <f t="shared" si="144"/>
        <v>0</v>
      </c>
      <c r="X148" s="3">
        <f t="shared" si="166"/>
        <v>0</v>
      </c>
      <c r="Y148" s="3">
        <f t="shared" si="167"/>
        <v>0</v>
      </c>
      <c r="AA148" s="3">
        <v>57248837</v>
      </c>
      <c r="AB148" s="3">
        <f t="shared" si="145"/>
        <v>20088.25</v>
      </c>
      <c r="AC148" s="3">
        <f t="shared" si="168"/>
        <v>20088.25</v>
      </c>
      <c r="AD148" s="3">
        <f t="shared" si="169"/>
        <v>0</v>
      </c>
      <c r="AE148" s="3">
        <f t="shared" si="170"/>
        <v>0</v>
      </c>
      <c r="AF148" s="3">
        <f t="shared" si="171"/>
        <v>0</v>
      </c>
      <c r="AG148" s="3">
        <f t="shared" si="146"/>
        <v>0</v>
      </c>
      <c r="AH148" s="3">
        <f t="shared" si="172"/>
        <v>0</v>
      </c>
      <c r="AI148" s="3">
        <f t="shared" si="173"/>
        <v>0</v>
      </c>
      <c r="AJ148" s="3">
        <f t="shared" si="147"/>
        <v>0</v>
      </c>
      <c r="AK148" s="3">
        <v>20088.25</v>
      </c>
      <c r="AL148" s="3">
        <v>20088.25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1</v>
      </c>
      <c r="AW148" s="3">
        <v>1</v>
      </c>
      <c r="AZ148" s="3">
        <v>1</v>
      </c>
      <c r="BA148" s="3">
        <v>1</v>
      </c>
      <c r="BB148" s="3">
        <v>1</v>
      </c>
      <c r="BC148" s="3">
        <v>7.57</v>
      </c>
      <c r="BD148" s="3" t="s">
        <v>3</v>
      </c>
      <c r="BE148" s="3" t="s">
        <v>3</v>
      </c>
      <c r="BF148" s="3" t="s">
        <v>3</v>
      </c>
      <c r="BG148" s="3" t="s">
        <v>3</v>
      </c>
      <c r="BH148" s="3">
        <v>3</v>
      </c>
      <c r="BI148" s="3">
        <v>3</v>
      </c>
      <c r="BJ148" s="3" t="s">
        <v>270</v>
      </c>
      <c r="BM148" s="3">
        <v>400007</v>
      </c>
      <c r="BN148" s="3">
        <v>0</v>
      </c>
      <c r="BO148" s="3" t="s">
        <v>3</v>
      </c>
      <c r="BP148" s="3">
        <v>0</v>
      </c>
      <c r="BQ148" s="3">
        <v>214</v>
      </c>
      <c r="BR148" s="3">
        <v>0</v>
      </c>
      <c r="BS148" s="3">
        <v>1</v>
      </c>
      <c r="BT148" s="3">
        <v>1</v>
      </c>
      <c r="BU148" s="3">
        <v>1</v>
      </c>
      <c r="BV148" s="3">
        <v>1</v>
      </c>
      <c r="BW148" s="3">
        <v>1</v>
      </c>
      <c r="BX148" s="3">
        <v>1</v>
      </c>
      <c r="BY148" s="3" t="s">
        <v>3</v>
      </c>
      <c r="BZ148" s="3">
        <v>0</v>
      </c>
      <c r="CA148" s="3">
        <v>0</v>
      </c>
      <c r="CB148" s="3" t="s">
        <v>3</v>
      </c>
      <c r="CE148" s="3">
        <v>1566</v>
      </c>
      <c r="CF148" s="3">
        <v>0</v>
      </c>
      <c r="CG148" s="3">
        <v>0</v>
      </c>
      <c r="CM148" s="3">
        <v>0</v>
      </c>
      <c r="CN148" s="3" t="s">
        <v>3</v>
      </c>
      <c r="CO148" s="3">
        <v>0</v>
      </c>
      <c r="CP148" s="3">
        <f t="shared" si="148"/>
        <v>304136.11</v>
      </c>
      <c r="CQ148" s="3">
        <f t="shared" si="163"/>
        <v>152068.04999999999</v>
      </c>
      <c r="CR148" s="3">
        <f t="shared" si="174"/>
        <v>0</v>
      </c>
      <c r="CS148" s="3">
        <f t="shared" si="175"/>
        <v>0</v>
      </c>
      <c r="CT148" s="3">
        <f t="shared" si="149"/>
        <v>0</v>
      </c>
      <c r="CU148" s="3">
        <f t="shared" si="150"/>
        <v>0</v>
      </c>
      <c r="CV148" s="3">
        <f t="shared" si="151"/>
        <v>0</v>
      </c>
      <c r="CW148" s="3">
        <f t="shared" si="152"/>
        <v>0</v>
      </c>
      <c r="CX148" s="3">
        <f t="shared" si="153"/>
        <v>0</v>
      </c>
      <c r="CY148" s="3">
        <f t="shared" si="176"/>
        <v>0</v>
      </c>
      <c r="CZ148" s="3">
        <f t="shared" si="177"/>
        <v>0</v>
      </c>
      <c r="DC148" s="3" t="s">
        <v>3</v>
      </c>
      <c r="DD148" s="3" t="s">
        <v>3</v>
      </c>
      <c r="DE148" s="3" t="s">
        <v>3</v>
      </c>
      <c r="DF148" s="3" t="s">
        <v>3</v>
      </c>
      <c r="DG148" s="3" t="s">
        <v>3</v>
      </c>
      <c r="DH148" s="3" t="s">
        <v>3</v>
      </c>
      <c r="DI148" s="3" t="s">
        <v>3</v>
      </c>
      <c r="DJ148" s="3" t="s">
        <v>3</v>
      </c>
      <c r="DK148" s="3" t="s">
        <v>3</v>
      </c>
      <c r="DL148" s="3" t="s">
        <v>3</v>
      </c>
      <c r="DM148" s="3" t="s">
        <v>3</v>
      </c>
      <c r="DN148" s="3">
        <v>0</v>
      </c>
      <c r="DO148" s="3">
        <v>0</v>
      </c>
      <c r="DP148" s="3">
        <v>1</v>
      </c>
      <c r="DQ148" s="3">
        <v>1</v>
      </c>
      <c r="DU148" s="3">
        <v>1013</v>
      </c>
      <c r="DV148" s="3" t="s">
        <v>192</v>
      </c>
      <c r="DW148" s="3" t="s">
        <v>192</v>
      </c>
      <c r="DX148" s="3">
        <v>1</v>
      </c>
      <c r="DZ148" s="3" t="s">
        <v>3</v>
      </c>
      <c r="EA148" s="3" t="s">
        <v>3</v>
      </c>
      <c r="EB148" s="3" t="s">
        <v>3</v>
      </c>
      <c r="EC148" s="3" t="s">
        <v>3</v>
      </c>
      <c r="EE148" s="3">
        <v>57248792</v>
      </c>
      <c r="EF148" s="3">
        <v>214</v>
      </c>
      <c r="EG148" s="3" t="s">
        <v>193</v>
      </c>
      <c r="EH148" s="3">
        <v>0</v>
      </c>
      <c r="EI148" s="3" t="s">
        <v>3</v>
      </c>
      <c r="EJ148" s="3">
        <v>3</v>
      </c>
      <c r="EK148" s="3">
        <v>400007</v>
      </c>
      <c r="EL148" s="3" t="s">
        <v>193</v>
      </c>
      <c r="EM148" s="3" t="s">
        <v>194</v>
      </c>
      <c r="EO148" s="3" t="s">
        <v>3</v>
      </c>
      <c r="EQ148" s="3">
        <v>131088</v>
      </c>
      <c r="ER148" s="3">
        <v>0</v>
      </c>
      <c r="ES148" s="3">
        <v>20088.25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5</v>
      </c>
      <c r="FC148" s="3">
        <v>1</v>
      </c>
      <c r="FD148" s="3">
        <v>18</v>
      </c>
      <c r="FF148" s="3">
        <v>177983.57</v>
      </c>
      <c r="FQ148" s="3">
        <v>0</v>
      </c>
      <c r="FR148" s="3">
        <f t="shared" si="178"/>
        <v>304136.11</v>
      </c>
      <c r="FS148" s="3">
        <v>0</v>
      </c>
      <c r="FX148" s="3">
        <v>0</v>
      </c>
      <c r="FY148" s="3">
        <v>0</v>
      </c>
      <c r="GA148" s="3" t="s">
        <v>272</v>
      </c>
      <c r="GD148" s="3">
        <v>1</v>
      </c>
      <c r="GF148" s="3">
        <v>1026443751</v>
      </c>
      <c r="GG148" s="3">
        <v>2</v>
      </c>
      <c r="GH148" s="3">
        <v>3</v>
      </c>
      <c r="GI148" s="3">
        <v>5</v>
      </c>
      <c r="GJ148" s="3">
        <v>0</v>
      </c>
      <c r="GK148" s="3">
        <v>0</v>
      </c>
      <c r="GL148" s="3">
        <f t="shared" si="154"/>
        <v>0</v>
      </c>
      <c r="GM148" s="3">
        <f t="shared" si="155"/>
        <v>304136.11</v>
      </c>
      <c r="GN148" s="3">
        <f t="shared" si="156"/>
        <v>0</v>
      </c>
      <c r="GO148" s="3">
        <f t="shared" si="157"/>
        <v>0</v>
      </c>
      <c r="GP148" s="3">
        <f t="shared" si="158"/>
        <v>0</v>
      </c>
      <c r="GR148" s="3">
        <v>1</v>
      </c>
      <c r="GS148" s="3">
        <v>1</v>
      </c>
      <c r="GT148" s="3">
        <v>0</v>
      </c>
      <c r="GU148" s="3" t="s">
        <v>3</v>
      </c>
      <c r="GV148" s="3">
        <f t="shared" si="159"/>
        <v>0</v>
      </c>
      <c r="GW148" s="3">
        <v>1</v>
      </c>
      <c r="GX148" s="3">
        <f t="shared" si="160"/>
        <v>0</v>
      </c>
      <c r="HA148" s="3">
        <v>0</v>
      </c>
      <c r="HB148" s="3">
        <v>0</v>
      </c>
      <c r="HC148" s="3">
        <f t="shared" si="161"/>
        <v>0</v>
      </c>
      <c r="HE148" s="3" t="s">
        <v>41</v>
      </c>
      <c r="HF148" s="3" t="s">
        <v>196</v>
      </c>
      <c r="HM148" s="3" t="s">
        <v>3</v>
      </c>
      <c r="HN148" s="3" t="s">
        <v>3</v>
      </c>
      <c r="HO148" s="3" t="s">
        <v>3</v>
      </c>
      <c r="HP148" s="3" t="s">
        <v>3</v>
      </c>
      <c r="HQ148" s="3" t="s">
        <v>3</v>
      </c>
      <c r="HS148" s="3">
        <v>0</v>
      </c>
      <c r="IK148" s="3">
        <v>0</v>
      </c>
    </row>
    <row r="149" spans="1:255" x14ac:dyDescent="0.2">
      <c r="A149" s="2">
        <v>17</v>
      </c>
      <c r="B149" s="2">
        <v>1</v>
      </c>
      <c r="C149" s="2"/>
      <c r="D149" s="2"/>
      <c r="E149" s="2" t="s">
        <v>273</v>
      </c>
      <c r="F149" s="2" t="s">
        <v>274</v>
      </c>
      <c r="G149" s="2" t="s">
        <v>275</v>
      </c>
      <c r="H149" s="2" t="s">
        <v>192</v>
      </c>
      <c r="I149" s="2">
        <v>2</v>
      </c>
      <c r="J149" s="2">
        <v>0</v>
      </c>
      <c r="K149" s="2">
        <v>2</v>
      </c>
      <c r="L149" s="2"/>
      <c r="M149" s="2"/>
      <c r="N149" s="2"/>
      <c r="O149" s="2">
        <f t="shared" si="139"/>
        <v>49837.78</v>
      </c>
      <c r="P149" s="2">
        <f t="shared" si="162"/>
        <v>49837.78</v>
      </c>
      <c r="Q149" s="2">
        <f t="shared" si="164"/>
        <v>0</v>
      </c>
      <c r="R149" s="2">
        <f t="shared" si="165"/>
        <v>0</v>
      </c>
      <c r="S149" s="2">
        <f t="shared" si="140"/>
        <v>0</v>
      </c>
      <c r="T149" s="2">
        <f t="shared" si="141"/>
        <v>0</v>
      </c>
      <c r="U149" s="2">
        <f t="shared" si="142"/>
        <v>0</v>
      </c>
      <c r="V149" s="2">
        <f t="shared" si="143"/>
        <v>0</v>
      </c>
      <c r="W149" s="2">
        <f t="shared" si="144"/>
        <v>0</v>
      </c>
      <c r="X149" s="2">
        <f t="shared" si="166"/>
        <v>0</v>
      </c>
      <c r="Y149" s="2">
        <f t="shared" si="167"/>
        <v>0</v>
      </c>
      <c r="Z149" s="2"/>
      <c r="AA149" s="2">
        <v>57248835</v>
      </c>
      <c r="AB149" s="2">
        <f t="shared" si="145"/>
        <v>24918.89</v>
      </c>
      <c r="AC149" s="2">
        <f t="shared" si="168"/>
        <v>24918.89</v>
      </c>
      <c r="AD149" s="2">
        <f t="shared" si="169"/>
        <v>0</v>
      </c>
      <c r="AE149" s="2">
        <f t="shared" si="170"/>
        <v>0</v>
      </c>
      <c r="AF149" s="2">
        <f t="shared" si="171"/>
        <v>0</v>
      </c>
      <c r="AG149" s="2">
        <f t="shared" si="146"/>
        <v>0</v>
      </c>
      <c r="AH149" s="2">
        <f t="shared" si="172"/>
        <v>0</v>
      </c>
      <c r="AI149" s="2">
        <f t="shared" si="173"/>
        <v>0</v>
      </c>
      <c r="AJ149" s="2">
        <f t="shared" si="147"/>
        <v>0</v>
      </c>
      <c r="AK149" s="2">
        <v>24918.89</v>
      </c>
      <c r="AL149" s="2">
        <v>24918.89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3</v>
      </c>
      <c r="BJ149" s="2" t="s">
        <v>274</v>
      </c>
      <c r="BK149" s="2"/>
      <c r="BL149" s="2"/>
      <c r="BM149" s="2">
        <v>400007</v>
      </c>
      <c r="BN149" s="2">
        <v>0</v>
      </c>
      <c r="BO149" s="2" t="s">
        <v>3</v>
      </c>
      <c r="BP149" s="2">
        <v>0</v>
      </c>
      <c r="BQ149" s="2">
        <v>214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0</v>
      </c>
      <c r="CA149" s="2">
        <v>0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3</v>
      </c>
      <c r="CO149" s="2">
        <v>0</v>
      </c>
      <c r="CP149" s="2">
        <f t="shared" si="148"/>
        <v>49837.78</v>
      </c>
      <c r="CQ149" s="2">
        <f t="shared" si="163"/>
        <v>24918.89</v>
      </c>
      <c r="CR149" s="2">
        <f t="shared" si="174"/>
        <v>0</v>
      </c>
      <c r="CS149" s="2">
        <f t="shared" si="175"/>
        <v>0</v>
      </c>
      <c r="CT149" s="2">
        <f t="shared" si="149"/>
        <v>0</v>
      </c>
      <c r="CU149" s="2">
        <f t="shared" si="150"/>
        <v>0</v>
      </c>
      <c r="CV149" s="2">
        <f t="shared" si="151"/>
        <v>0</v>
      </c>
      <c r="CW149" s="2">
        <f t="shared" si="152"/>
        <v>0</v>
      </c>
      <c r="CX149" s="2">
        <f t="shared" si="153"/>
        <v>0</v>
      </c>
      <c r="CY149" s="2">
        <f t="shared" si="176"/>
        <v>0</v>
      </c>
      <c r="CZ149" s="2">
        <f t="shared" si="177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1013</v>
      </c>
      <c r="DV149" s="2" t="s">
        <v>192</v>
      </c>
      <c r="DW149" s="2" t="s">
        <v>192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57248792</v>
      </c>
      <c r="EF149" s="2">
        <v>214</v>
      </c>
      <c r="EG149" s="2" t="s">
        <v>193</v>
      </c>
      <c r="EH149" s="2">
        <v>0</v>
      </c>
      <c r="EI149" s="2" t="s">
        <v>3</v>
      </c>
      <c r="EJ149" s="2">
        <v>3</v>
      </c>
      <c r="EK149" s="2">
        <v>400007</v>
      </c>
      <c r="EL149" s="2" t="s">
        <v>193</v>
      </c>
      <c r="EM149" s="2" t="s">
        <v>194</v>
      </c>
      <c r="EN149" s="2"/>
      <c r="EO149" s="2" t="s">
        <v>3</v>
      </c>
      <c r="EP149" s="2"/>
      <c r="EQ149" s="2">
        <v>131088</v>
      </c>
      <c r="ER149" s="2">
        <v>0</v>
      </c>
      <c r="ES149" s="2">
        <v>24918.89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f t="shared" si="178"/>
        <v>49837.78</v>
      </c>
      <c r="FS149" s="2">
        <v>0</v>
      </c>
      <c r="FT149" s="2"/>
      <c r="FU149" s="2"/>
      <c r="FV149" s="2"/>
      <c r="FW149" s="2"/>
      <c r="FX149" s="2">
        <v>0</v>
      </c>
      <c r="FY149" s="2">
        <v>0</v>
      </c>
      <c r="FZ149" s="2"/>
      <c r="GA149" s="2" t="s">
        <v>276</v>
      </c>
      <c r="GB149" s="2"/>
      <c r="GC149" s="2"/>
      <c r="GD149" s="2">
        <v>1</v>
      </c>
      <c r="GE149" s="2"/>
      <c r="GF149" s="2">
        <v>291412241</v>
      </c>
      <c r="GG149" s="2">
        <v>2</v>
      </c>
      <c r="GH149" s="2">
        <v>4</v>
      </c>
      <c r="GI149" s="2">
        <v>-2</v>
      </c>
      <c r="GJ149" s="2">
        <v>0</v>
      </c>
      <c r="GK149" s="2">
        <v>0</v>
      </c>
      <c r="GL149" s="2">
        <f t="shared" si="154"/>
        <v>0</v>
      </c>
      <c r="GM149" s="2">
        <f t="shared" si="155"/>
        <v>49837.78</v>
      </c>
      <c r="GN149" s="2">
        <f t="shared" si="156"/>
        <v>0</v>
      </c>
      <c r="GO149" s="2">
        <f t="shared" si="157"/>
        <v>0</v>
      </c>
      <c r="GP149" s="2">
        <f t="shared" si="158"/>
        <v>0</v>
      </c>
      <c r="GQ149" s="2"/>
      <c r="GR149" s="2">
        <v>1</v>
      </c>
      <c r="GS149" s="2">
        <v>2</v>
      </c>
      <c r="GT149" s="2">
        <v>0</v>
      </c>
      <c r="GU149" s="2" t="s">
        <v>3</v>
      </c>
      <c r="GV149" s="2">
        <f t="shared" si="159"/>
        <v>0</v>
      </c>
      <c r="GW149" s="2">
        <v>1</v>
      </c>
      <c r="GX149" s="2">
        <f t="shared" si="160"/>
        <v>0</v>
      </c>
      <c r="GY149" s="2"/>
      <c r="GZ149" s="2"/>
      <c r="HA149" s="2">
        <v>0</v>
      </c>
      <c r="HB149" s="2">
        <v>0</v>
      </c>
      <c r="HC149" s="2">
        <f t="shared" si="161"/>
        <v>0</v>
      </c>
      <c r="HD149" s="2"/>
      <c r="HE149" s="2" t="s">
        <v>41</v>
      </c>
      <c r="HF149" s="2" t="s">
        <v>196</v>
      </c>
      <c r="HG149" s="2"/>
      <c r="HH149" s="2"/>
      <c r="HI149" s="2"/>
      <c r="HJ149" s="2"/>
      <c r="HK149" s="2"/>
      <c r="HL149" s="2"/>
      <c r="HM149" s="2" t="s">
        <v>3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3">
        <v>17</v>
      </c>
      <c r="B150" s="3">
        <v>1</v>
      </c>
      <c r="E150" s="3" t="s">
        <v>273</v>
      </c>
      <c r="F150" s="3" t="s">
        <v>274</v>
      </c>
      <c r="G150" s="3" t="s">
        <v>275</v>
      </c>
      <c r="H150" s="3" t="s">
        <v>192</v>
      </c>
      <c r="I150" s="3">
        <v>2</v>
      </c>
      <c r="J150" s="3">
        <v>0</v>
      </c>
      <c r="K150" s="3">
        <v>2</v>
      </c>
      <c r="O150" s="3">
        <f t="shared" si="139"/>
        <v>377271.99</v>
      </c>
      <c r="P150" s="3">
        <f t="shared" si="162"/>
        <v>377271.99</v>
      </c>
      <c r="Q150" s="3">
        <f t="shared" si="164"/>
        <v>0</v>
      </c>
      <c r="R150" s="3">
        <f t="shared" si="165"/>
        <v>0</v>
      </c>
      <c r="S150" s="3">
        <f t="shared" si="140"/>
        <v>0</v>
      </c>
      <c r="T150" s="3">
        <f t="shared" si="141"/>
        <v>0</v>
      </c>
      <c r="U150" s="3">
        <f t="shared" si="142"/>
        <v>0</v>
      </c>
      <c r="V150" s="3">
        <f t="shared" si="143"/>
        <v>0</v>
      </c>
      <c r="W150" s="3">
        <f t="shared" si="144"/>
        <v>0</v>
      </c>
      <c r="X150" s="3">
        <f t="shared" si="166"/>
        <v>0</v>
      </c>
      <c r="Y150" s="3">
        <f t="shared" si="167"/>
        <v>0</v>
      </c>
      <c r="AA150" s="3">
        <v>57248837</v>
      </c>
      <c r="AB150" s="3">
        <f t="shared" si="145"/>
        <v>24918.89</v>
      </c>
      <c r="AC150" s="3">
        <f t="shared" si="168"/>
        <v>24918.89</v>
      </c>
      <c r="AD150" s="3">
        <f t="shared" si="169"/>
        <v>0</v>
      </c>
      <c r="AE150" s="3">
        <f t="shared" si="170"/>
        <v>0</v>
      </c>
      <c r="AF150" s="3">
        <f t="shared" si="171"/>
        <v>0</v>
      </c>
      <c r="AG150" s="3">
        <f t="shared" si="146"/>
        <v>0</v>
      </c>
      <c r="AH150" s="3">
        <f t="shared" si="172"/>
        <v>0</v>
      </c>
      <c r="AI150" s="3">
        <f t="shared" si="173"/>
        <v>0</v>
      </c>
      <c r="AJ150" s="3">
        <f t="shared" si="147"/>
        <v>0</v>
      </c>
      <c r="AK150" s="3">
        <v>24918.89</v>
      </c>
      <c r="AL150" s="3">
        <v>24918.89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1</v>
      </c>
      <c r="AW150" s="3">
        <v>1</v>
      </c>
      <c r="AZ150" s="3">
        <v>1</v>
      </c>
      <c r="BA150" s="3">
        <v>1</v>
      </c>
      <c r="BB150" s="3">
        <v>1</v>
      </c>
      <c r="BC150" s="3">
        <v>7.57</v>
      </c>
      <c r="BD150" s="3" t="s">
        <v>3</v>
      </c>
      <c r="BE150" s="3" t="s">
        <v>3</v>
      </c>
      <c r="BF150" s="3" t="s">
        <v>3</v>
      </c>
      <c r="BG150" s="3" t="s">
        <v>3</v>
      </c>
      <c r="BH150" s="3">
        <v>3</v>
      </c>
      <c r="BI150" s="3">
        <v>3</v>
      </c>
      <c r="BJ150" s="3" t="s">
        <v>274</v>
      </c>
      <c r="BM150" s="3">
        <v>400007</v>
      </c>
      <c r="BN150" s="3">
        <v>0</v>
      </c>
      <c r="BO150" s="3" t="s">
        <v>3</v>
      </c>
      <c r="BP150" s="3">
        <v>0</v>
      </c>
      <c r="BQ150" s="3">
        <v>214</v>
      </c>
      <c r="BR150" s="3">
        <v>0</v>
      </c>
      <c r="BS150" s="3">
        <v>1</v>
      </c>
      <c r="BT150" s="3">
        <v>1</v>
      </c>
      <c r="BU150" s="3">
        <v>1</v>
      </c>
      <c r="BV150" s="3">
        <v>1</v>
      </c>
      <c r="BW150" s="3">
        <v>1</v>
      </c>
      <c r="BX150" s="3">
        <v>1</v>
      </c>
      <c r="BY150" s="3" t="s">
        <v>3</v>
      </c>
      <c r="BZ150" s="3">
        <v>0</v>
      </c>
      <c r="CA150" s="3">
        <v>0</v>
      </c>
      <c r="CB150" s="3" t="s">
        <v>3</v>
      </c>
      <c r="CE150" s="3">
        <v>1566</v>
      </c>
      <c r="CF150" s="3">
        <v>0</v>
      </c>
      <c r="CG150" s="3">
        <v>0</v>
      </c>
      <c r="CM150" s="3">
        <v>0</v>
      </c>
      <c r="CN150" s="3" t="s">
        <v>3</v>
      </c>
      <c r="CO150" s="3">
        <v>0</v>
      </c>
      <c r="CP150" s="3">
        <f t="shared" si="148"/>
        <v>377271.99</v>
      </c>
      <c r="CQ150" s="3">
        <f t="shared" si="163"/>
        <v>188636</v>
      </c>
      <c r="CR150" s="3">
        <f t="shared" si="174"/>
        <v>0</v>
      </c>
      <c r="CS150" s="3">
        <f t="shared" si="175"/>
        <v>0</v>
      </c>
      <c r="CT150" s="3">
        <f t="shared" si="149"/>
        <v>0</v>
      </c>
      <c r="CU150" s="3">
        <f t="shared" si="150"/>
        <v>0</v>
      </c>
      <c r="CV150" s="3">
        <f t="shared" si="151"/>
        <v>0</v>
      </c>
      <c r="CW150" s="3">
        <f t="shared" si="152"/>
        <v>0</v>
      </c>
      <c r="CX150" s="3">
        <f t="shared" si="153"/>
        <v>0</v>
      </c>
      <c r="CY150" s="3">
        <f t="shared" si="176"/>
        <v>0</v>
      </c>
      <c r="CZ150" s="3">
        <f t="shared" si="177"/>
        <v>0</v>
      </c>
      <c r="DC150" s="3" t="s">
        <v>3</v>
      </c>
      <c r="DD150" s="3" t="s">
        <v>3</v>
      </c>
      <c r="DE150" s="3" t="s">
        <v>3</v>
      </c>
      <c r="DF150" s="3" t="s">
        <v>3</v>
      </c>
      <c r="DG150" s="3" t="s">
        <v>3</v>
      </c>
      <c r="DH150" s="3" t="s">
        <v>3</v>
      </c>
      <c r="DI150" s="3" t="s">
        <v>3</v>
      </c>
      <c r="DJ150" s="3" t="s">
        <v>3</v>
      </c>
      <c r="DK150" s="3" t="s">
        <v>3</v>
      </c>
      <c r="DL150" s="3" t="s">
        <v>3</v>
      </c>
      <c r="DM150" s="3" t="s">
        <v>3</v>
      </c>
      <c r="DN150" s="3">
        <v>0</v>
      </c>
      <c r="DO150" s="3">
        <v>0</v>
      </c>
      <c r="DP150" s="3">
        <v>1</v>
      </c>
      <c r="DQ150" s="3">
        <v>1</v>
      </c>
      <c r="DU150" s="3">
        <v>1013</v>
      </c>
      <c r="DV150" s="3" t="s">
        <v>192</v>
      </c>
      <c r="DW150" s="3" t="s">
        <v>192</v>
      </c>
      <c r="DX150" s="3">
        <v>1</v>
      </c>
      <c r="DZ150" s="3" t="s">
        <v>3</v>
      </c>
      <c r="EA150" s="3" t="s">
        <v>3</v>
      </c>
      <c r="EB150" s="3" t="s">
        <v>3</v>
      </c>
      <c r="EC150" s="3" t="s">
        <v>3</v>
      </c>
      <c r="EE150" s="3">
        <v>57248792</v>
      </c>
      <c r="EF150" s="3">
        <v>214</v>
      </c>
      <c r="EG150" s="3" t="s">
        <v>193</v>
      </c>
      <c r="EH150" s="3">
        <v>0</v>
      </c>
      <c r="EI150" s="3" t="s">
        <v>3</v>
      </c>
      <c r="EJ150" s="3">
        <v>3</v>
      </c>
      <c r="EK150" s="3">
        <v>400007</v>
      </c>
      <c r="EL150" s="3" t="s">
        <v>193</v>
      </c>
      <c r="EM150" s="3" t="s">
        <v>194</v>
      </c>
      <c r="EO150" s="3" t="s">
        <v>3</v>
      </c>
      <c r="EQ150" s="3">
        <v>131088</v>
      </c>
      <c r="ER150" s="3">
        <v>0</v>
      </c>
      <c r="ES150" s="3">
        <v>24918.89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5</v>
      </c>
      <c r="FC150" s="3">
        <v>1</v>
      </c>
      <c r="FD150" s="3">
        <v>18</v>
      </c>
      <c r="FF150" s="3">
        <v>220783.55</v>
      </c>
      <c r="FQ150" s="3">
        <v>0</v>
      </c>
      <c r="FR150" s="3">
        <f t="shared" si="178"/>
        <v>377271.99</v>
      </c>
      <c r="FS150" s="3">
        <v>0</v>
      </c>
      <c r="FX150" s="3">
        <v>0</v>
      </c>
      <c r="FY150" s="3">
        <v>0</v>
      </c>
      <c r="GA150" s="3" t="s">
        <v>276</v>
      </c>
      <c r="GD150" s="3">
        <v>1</v>
      </c>
      <c r="GF150" s="3">
        <v>291412241</v>
      </c>
      <c r="GG150" s="3">
        <v>2</v>
      </c>
      <c r="GH150" s="3">
        <v>3</v>
      </c>
      <c r="GI150" s="3">
        <v>5</v>
      </c>
      <c r="GJ150" s="3">
        <v>0</v>
      </c>
      <c r="GK150" s="3">
        <v>0</v>
      </c>
      <c r="GL150" s="3">
        <f t="shared" si="154"/>
        <v>0</v>
      </c>
      <c r="GM150" s="3">
        <f t="shared" si="155"/>
        <v>377271.99</v>
      </c>
      <c r="GN150" s="3">
        <f t="shared" si="156"/>
        <v>0</v>
      </c>
      <c r="GO150" s="3">
        <f t="shared" si="157"/>
        <v>0</v>
      </c>
      <c r="GP150" s="3">
        <f t="shared" si="158"/>
        <v>0</v>
      </c>
      <c r="GR150" s="3">
        <v>1</v>
      </c>
      <c r="GS150" s="3">
        <v>1</v>
      </c>
      <c r="GT150" s="3">
        <v>0</v>
      </c>
      <c r="GU150" s="3" t="s">
        <v>3</v>
      </c>
      <c r="GV150" s="3">
        <f t="shared" si="159"/>
        <v>0</v>
      </c>
      <c r="GW150" s="3">
        <v>1</v>
      </c>
      <c r="GX150" s="3">
        <f t="shared" si="160"/>
        <v>0</v>
      </c>
      <c r="HA150" s="3">
        <v>0</v>
      </c>
      <c r="HB150" s="3">
        <v>0</v>
      </c>
      <c r="HC150" s="3">
        <f t="shared" si="161"/>
        <v>0</v>
      </c>
      <c r="HE150" s="3" t="s">
        <v>41</v>
      </c>
      <c r="HF150" s="3" t="s">
        <v>196</v>
      </c>
      <c r="HM150" s="3" t="s">
        <v>3</v>
      </c>
      <c r="HN150" s="3" t="s">
        <v>3</v>
      </c>
      <c r="HO150" s="3" t="s">
        <v>3</v>
      </c>
      <c r="HP150" s="3" t="s">
        <v>3</v>
      </c>
      <c r="HQ150" s="3" t="s">
        <v>3</v>
      </c>
      <c r="HS150" s="3">
        <v>0</v>
      </c>
      <c r="IK150" s="3">
        <v>0</v>
      </c>
    </row>
    <row r="151" spans="1:255" x14ac:dyDescent="0.2">
      <c r="A151" s="2">
        <v>17</v>
      </c>
      <c r="B151" s="2">
        <v>1</v>
      </c>
      <c r="C151" s="2"/>
      <c r="D151" s="2"/>
      <c r="E151" s="2" t="s">
        <v>277</v>
      </c>
      <c r="F151" s="2" t="s">
        <v>278</v>
      </c>
      <c r="G151" s="2" t="s">
        <v>279</v>
      </c>
      <c r="H151" s="2" t="s">
        <v>192</v>
      </c>
      <c r="I151" s="2">
        <v>2</v>
      </c>
      <c r="J151" s="2">
        <v>0</v>
      </c>
      <c r="K151" s="2">
        <v>2</v>
      </c>
      <c r="L151" s="2"/>
      <c r="M151" s="2"/>
      <c r="N151" s="2"/>
      <c r="O151" s="2">
        <f t="shared" si="139"/>
        <v>48294.5</v>
      </c>
      <c r="P151" s="2">
        <f t="shared" si="162"/>
        <v>48294.5</v>
      </c>
      <c r="Q151" s="2">
        <f t="shared" si="164"/>
        <v>0</v>
      </c>
      <c r="R151" s="2">
        <f t="shared" si="165"/>
        <v>0</v>
      </c>
      <c r="S151" s="2">
        <f t="shared" si="140"/>
        <v>0</v>
      </c>
      <c r="T151" s="2">
        <f t="shared" si="141"/>
        <v>0</v>
      </c>
      <c r="U151" s="2">
        <f t="shared" si="142"/>
        <v>0</v>
      </c>
      <c r="V151" s="2">
        <f t="shared" si="143"/>
        <v>0</v>
      </c>
      <c r="W151" s="2">
        <f t="shared" si="144"/>
        <v>0</v>
      </c>
      <c r="X151" s="2">
        <f t="shared" si="166"/>
        <v>0</v>
      </c>
      <c r="Y151" s="2">
        <f t="shared" si="167"/>
        <v>0</v>
      </c>
      <c r="Z151" s="2"/>
      <c r="AA151" s="2">
        <v>57248835</v>
      </c>
      <c r="AB151" s="2">
        <f t="shared" si="145"/>
        <v>24147.25</v>
      </c>
      <c r="AC151" s="2">
        <f t="shared" si="168"/>
        <v>24147.25</v>
      </c>
      <c r="AD151" s="2">
        <f t="shared" si="169"/>
        <v>0</v>
      </c>
      <c r="AE151" s="2">
        <f t="shared" si="170"/>
        <v>0</v>
      </c>
      <c r="AF151" s="2">
        <f t="shared" si="171"/>
        <v>0</v>
      </c>
      <c r="AG151" s="2">
        <f t="shared" si="146"/>
        <v>0</v>
      </c>
      <c r="AH151" s="2">
        <f t="shared" si="172"/>
        <v>0</v>
      </c>
      <c r="AI151" s="2">
        <f t="shared" si="173"/>
        <v>0</v>
      </c>
      <c r="AJ151" s="2">
        <f t="shared" si="147"/>
        <v>0</v>
      </c>
      <c r="AK151" s="2">
        <v>24147.25</v>
      </c>
      <c r="AL151" s="2">
        <v>24147.25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3</v>
      </c>
      <c r="BJ151" s="2" t="s">
        <v>278</v>
      </c>
      <c r="BK151" s="2"/>
      <c r="BL151" s="2"/>
      <c r="BM151" s="2">
        <v>400007</v>
      </c>
      <c r="BN151" s="2">
        <v>0</v>
      </c>
      <c r="BO151" s="2" t="s">
        <v>3</v>
      </c>
      <c r="BP151" s="2">
        <v>0</v>
      </c>
      <c r="BQ151" s="2">
        <v>214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0</v>
      </c>
      <c r="CA151" s="2">
        <v>0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3</v>
      </c>
      <c r="CO151" s="2">
        <v>0</v>
      </c>
      <c r="CP151" s="2">
        <f t="shared" si="148"/>
        <v>48294.5</v>
      </c>
      <c r="CQ151" s="2">
        <f t="shared" si="163"/>
        <v>24147.25</v>
      </c>
      <c r="CR151" s="2">
        <f t="shared" si="174"/>
        <v>0</v>
      </c>
      <c r="CS151" s="2">
        <f t="shared" si="175"/>
        <v>0</v>
      </c>
      <c r="CT151" s="2">
        <f t="shared" si="149"/>
        <v>0</v>
      </c>
      <c r="CU151" s="2">
        <f t="shared" si="150"/>
        <v>0</v>
      </c>
      <c r="CV151" s="2">
        <f t="shared" si="151"/>
        <v>0</v>
      </c>
      <c r="CW151" s="2">
        <f t="shared" si="152"/>
        <v>0</v>
      </c>
      <c r="CX151" s="2">
        <f t="shared" si="153"/>
        <v>0</v>
      </c>
      <c r="CY151" s="2">
        <f t="shared" si="176"/>
        <v>0</v>
      </c>
      <c r="CZ151" s="2">
        <f t="shared" si="177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1013</v>
      </c>
      <c r="DV151" s="2" t="s">
        <v>192</v>
      </c>
      <c r="DW151" s="2" t="s">
        <v>192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57248792</v>
      </c>
      <c r="EF151" s="2">
        <v>214</v>
      </c>
      <c r="EG151" s="2" t="s">
        <v>193</v>
      </c>
      <c r="EH151" s="2">
        <v>0</v>
      </c>
      <c r="EI151" s="2" t="s">
        <v>3</v>
      </c>
      <c r="EJ151" s="2">
        <v>3</v>
      </c>
      <c r="EK151" s="2">
        <v>400007</v>
      </c>
      <c r="EL151" s="2" t="s">
        <v>193</v>
      </c>
      <c r="EM151" s="2" t="s">
        <v>194</v>
      </c>
      <c r="EN151" s="2"/>
      <c r="EO151" s="2" t="s">
        <v>3</v>
      </c>
      <c r="EP151" s="2"/>
      <c r="EQ151" s="2">
        <v>131088</v>
      </c>
      <c r="ER151" s="2">
        <v>0</v>
      </c>
      <c r="ES151" s="2">
        <v>24147.25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f t="shared" si="178"/>
        <v>48294.5</v>
      </c>
      <c r="FS151" s="2">
        <v>0</v>
      </c>
      <c r="FT151" s="2"/>
      <c r="FU151" s="2"/>
      <c r="FV151" s="2"/>
      <c r="FW151" s="2"/>
      <c r="FX151" s="2">
        <v>0</v>
      </c>
      <c r="FY151" s="2">
        <v>0</v>
      </c>
      <c r="FZ151" s="2"/>
      <c r="GA151" s="2" t="s">
        <v>280</v>
      </c>
      <c r="GB151" s="2"/>
      <c r="GC151" s="2"/>
      <c r="GD151" s="2">
        <v>1</v>
      </c>
      <c r="GE151" s="2"/>
      <c r="GF151" s="2">
        <v>2055575023</v>
      </c>
      <c r="GG151" s="2">
        <v>2</v>
      </c>
      <c r="GH151" s="2">
        <v>4</v>
      </c>
      <c r="GI151" s="2">
        <v>-2</v>
      </c>
      <c r="GJ151" s="2">
        <v>0</v>
      </c>
      <c r="GK151" s="2">
        <v>0</v>
      </c>
      <c r="GL151" s="2">
        <f t="shared" si="154"/>
        <v>0</v>
      </c>
      <c r="GM151" s="2">
        <f t="shared" si="155"/>
        <v>48294.5</v>
      </c>
      <c r="GN151" s="2">
        <f t="shared" si="156"/>
        <v>0</v>
      </c>
      <c r="GO151" s="2">
        <f t="shared" si="157"/>
        <v>0</v>
      </c>
      <c r="GP151" s="2">
        <f t="shared" si="158"/>
        <v>0</v>
      </c>
      <c r="GQ151" s="2"/>
      <c r="GR151" s="2">
        <v>1</v>
      </c>
      <c r="GS151" s="2">
        <v>2</v>
      </c>
      <c r="GT151" s="2">
        <v>0</v>
      </c>
      <c r="GU151" s="2" t="s">
        <v>3</v>
      </c>
      <c r="GV151" s="2">
        <f t="shared" si="159"/>
        <v>0</v>
      </c>
      <c r="GW151" s="2">
        <v>1</v>
      </c>
      <c r="GX151" s="2">
        <f t="shared" si="160"/>
        <v>0</v>
      </c>
      <c r="GY151" s="2"/>
      <c r="GZ151" s="2"/>
      <c r="HA151" s="2">
        <v>0</v>
      </c>
      <c r="HB151" s="2">
        <v>0</v>
      </c>
      <c r="HC151" s="2">
        <f t="shared" si="161"/>
        <v>0</v>
      </c>
      <c r="HD151" s="2"/>
      <c r="HE151" s="2" t="s">
        <v>41</v>
      </c>
      <c r="HF151" s="2" t="s">
        <v>196</v>
      </c>
      <c r="HG151" s="2"/>
      <c r="HH151" s="2"/>
      <c r="HI151" s="2"/>
      <c r="HJ151" s="2"/>
      <c r="HK151" s="2"/>
      <c r="HL151" s="2"/>
      <c r="HM151" s="2" t="s">
        <v>3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3">
        <v>17</v>
      </c>
      <c r="B152" s="3">
        <v>1</v>
      </c>
      <c r="E152" s="3" t="s">
        <v>277</v>
      </c>
      <c r="F152" s="3" t="s">
        <v>278</v>
      </c>
      <c r="G152" s="3" t="s">
        <v>279</v>
      </c>
      <c r="H152" s="3" t="s">
        <v>192</v>
      </c>
      <c r="I152" s="3">
        <v>2</v>
      </c>
      <c r="J152" s="3">
        <v>0</v>
      </c>
      <c r="K152" s="3">
        <v>2</v>
      </c>
      <c r="O152" s="3">
        <f t="shared" si="139"/>
        <v>365589.37</v>
      </c>
      <c r="P152" s="3">
        <f t="shared" si="162"/>
        <v>365589.37</v>
      </c>
      <c r="Q152" s="3">
        <f t="shared" si="164"/>
        <v>0</v>
      </c>
      <c r="R152" s="3">
        <f t="shared" si="165"/>
        <v>0</v>
      </c>
      <c r="S152" s="3">
        <f t="shared" si="140"/>
        <v>0</v>
      </c>
      <c r="T152" s="3">
        <f t="shared" si="141"/>
        <v>0</v>
      </c>
      <c r="U152" s="3">
        <f t="shared" si="142"/>
        <v>0</v>
      </c>
      <c r="V152" s="3">
        <f t="shared" si="143"/>
        <v>0</v>
      </c>
      <c r="W152" s="3">
        <f t="shared" si="144"/>
        <v>0</v>
      </c>
      <c r="X152" s="3">
        <f t="shared" si="166"/>
        <v>0</v>
      </c>
      <c r="Y152" s="3">
        <f t="shared" si="167"/>
        <v>0</v>
      </c>
      <c r="AA152" s="3">
        <v>57248837</v>
      </c>
      <c r="AB152" s="3">
        <f t="shared" si="145"/>
        <v>24147.25</v>
      </c>
      <c r="AC152" s="3">
        <f t="shared" si="168"/>
        <v>24147.25</v>
      </c>
      <c r="AD152" s="3">
        <f t="shared" si="169"/>
        <v>0</v>
      </c>
      <c r="AE152" s="3">
        <f t="shared" si="170"/>
        <v>0</v>
      </c>
      <c r="AF152" s="3">
        <f t="shared" si="171"/>
        <v>0</v>
      </c>
      <c r="AG152" s="3">
        <f t="shared" si="146"/>
        <v>0</v>
      </c>
      <c r="AH152" s="3">
        <f t="shared" si="172"/>
        <v>0</v>
      </c>
      <c r="AI152" s="3">
        <f t="shared" si="173"/>
        <v>0</v>
      </c>
      <c r="AJ152" s="3">
        <f t="shared" si="147"/>
        <v>0</v>
      </c>
      <c r="AK152" s="3">
        <v>24147.25</v>
      </c>
      <c r="AL152" s="3">
        <v>24147.25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1</v>
      </c>
      <c r="AW152" s="3">
        <v>1</v>
      </c>
      <c r="AZ152" s="3">
        <v>1</v>
      </c>
      <c r="BA152" s="3">
        <v>1</v>
      </c>
      <c r="BB152" s="3">
        <v>1</v>
      </c>
      <c r="BC152" s="3">
        <v>7.57</v>
      </c>
      <c r="BD152" s="3" t="s">
        <v>3</v>
      </c>
      <c r="BE152" s="3" t="s">
        <v>3</v>
      </c>
      <c r="BF152" s="3" t="s">
        <v>3</v>
      </c>
      <c r="BG152" s="3" t="s">
        <v>3</v>
      </c>
      <c r="BH152" s="3">
        <v>3</v>
      </c>
      <c r="BI152" s="3">
        <v>3</v>
      </c>
      <c r="BJ152" s="3" t="s">
        <v>278</v>
      </c>
      <c r="BM152" s="3">
        <v>400007</v>
      </c>
      <c r="BN152" s="3">
        <v>0</v>
      </c>
      <c r="BO152" s="3" t="s">
        <v>3</v>
      </c>
      <c r="BP152" s="3">
        <v>0</v>
      </c>
      <c r="BQ152" s="3">
        <v>214</v>
      </c>
      <c r="BR152" s="3">
        <v>0</v>
      </c>
      <c r="BS152" s="3">
        <v>1</v>
      </c>
      <c r="BT152" s="3">
        <v>1</v>
      </c>
      <c r="BU152" s="3">
        <v>1</v>
      </c>
      <c r="BV152" s="3">
        <v>1</v>
      </c>
      <c r="BW152" s="3">
        <v>1</v>
      </c>
      <c r="BX152" s="3">
        <v>1</v>
      </c>
      <c r="BY152" s="3" t="s">
        <v>3</v>
      </c>
      <c r="BZ152" s="3">
        <v>0</v>
      </c>
      <c r="CA152" s="3">
        <v>0</v>
      </c>
      <c r="CB152" s="3" t="s">
        <v>3</v>
      </c>
      <c r="CE152" s="3">
        <v>1566</v>
      </c>
      <c r="CF152" s="3">
        <v>0</v>
      </c>
      <c r="CG152" s="3">
        <v>0</v>
      </c>
      <c r="CM152" s="3">
        <v>0</v>
      </c>
      <c r="CN152" s="3" t="s">
        <v>3</v>
      </c>
      <c r="CO152" s="3">
        <v>0</v>
      </c>
      <c r="CP152" s="3">
        <f t="shared" si="148"/>
        <v>365589.37</v>
      </c>
      <c r="CQ152" s="3">
        <f t="shared" si="163"/>
        <v>182794.68</v>
      </c>
      <c r="CR152" s="3">
        <f t="shared" si="174"/>
        <v>0</v>
      </c>
      <c r="CS152" s="3">
        <f t="shared" si="175"/>
        <v>0</v>
      </c>
      <c r="CT152" s="3">
        <f t="shared" si="149"/>
        <v>0</v>
      </c>
      <c r="CU152" s="3">
        <f t="shared" si="150"/>
        <v>0</v>
      </c>
      <c r="CV152" s="3">
        <f t="shared" si="151"/>
        <v>0</v>
      </c>
      <c r="CW152" s="3">
        <f t="shared" si="152"/>
        <v>0</v>
      </c>
      <c r="CX152" s="3">
        <f t="shared" si="153"/>
        <v>0</v>
      </c>
      <c r="CY152" s="3">
        <f t="shared" si="176"/>
        <v>0</v>
      </c>
      <c r="CZ152" s="3">
        <f t="shared" si="177"/>
        <v>0</v>
      </c>
      <c r="DC152" s="3" t="s">
        <v>3</v>
      </c>
      <c r="DD152" s="3" t="s">
        <v>3</v>
      </c>
      <c r="DE152" s="3" t="s">
        <v>3</v>
      </c>
      <c r="DF152" s="3" t="s">
        <v>3</v>
      </c>
      <c r="DG152" s="3" t="s">
        <v>3</v>
      </c>
      <c r="DH152" s="3" t="s">
        <v>3</v>
      </c>
      <c r="DI152" s="3" t="s">
        <v>3</v>
      </c>
      <c r="DJ152" s="3" t="s">
        <v>3</v>
      </c>
      <c r="DK152" s="3" t="s">
        <v>3</v>
      </c>
      <c r="DL152" s="3" t="s">
        <v>3</v>
      </c>
      <c r="DM152" s="3" t="s">
        <v>3</v>
      </c>
      <c r="DN152" s="3">
        <v>0</v>
      </c>
      <c r="DO152" s="3">
        <v>0</v>
      </c>
      <c r="DP152" s="3">
        <v>1</v>
      </c>
      <c r="DQ152" s="3">
        <v>1</v>
      </c>
      <c r="DU152" s="3">
        <v>1013</v>
      </c>
      <c r="DV152" s="3" t="s">
        <v>192</v>
      </c>
      <c r="DW152" s="3" t="s">
        <v>192</v>
      </c>
      <c r="DX152" s="3">
        <v>1</v>
      </c>
      <c r="DZ152" s="3" t="s">
        <v>3</v>
      </c>
      <c r="EA152" s="3" t="s">
        <v>3</v>
      </c>
      <c r="EB152" s="3" t="s">
        <v>3</v>
      </c>
      <c r="EC152" s="3" t="s">
        <v>3</v>
      </c>
      <c r="EE152" s="3">
        <v>57248792</v>
      </c>
      <c r="EF152" s="3">
        <v>214</v>
      </c>
      <c r="EG152" s="3" t="s">
        <v>193</v>
      </c>
      <c r="EH152" s="3">
        <v>0</v>
      </c>
      <c r="EI152" s="3" t="s">
        <v>3</v>
      </c>
      <c r="EJ152" s="3">
        <v>3</v>
      </c>
      <c r="EK152" s="3">
        <v>400007</v>
      </c>
      <c r="EL152" s="3" t="s">
        <v>193</v>
      </c>
      <c r="EM152" s="3" t="s">
        <v>194</v>
      </c>
      <c r="EO152" s="3" t="s">
        <v>3</v>
      </c>
      <c r="EQ152" s="3">
        <v>131088</v>
      </c>
      <c r="ER152" s="3">
        <v>0</v>
      </c>
      <c r="ES152" s="3">
        <v>24147.25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5</v>
      </c>
      <c r="FC152" s="3">
        <v>1</v>
      </c>
      <c r="FD152" s="3">
        <v>18</v>
      </c>
      <c r="FF152" s="3">
        <v>213946.76</v>
      </c>
      <c r="FQ152" s="3">
        <v>0</v>
      </c>
      <c r="FR152" s="3">
        <f t="shared" si="178"/>
        <v>365589.37</v>
      </c>
      <c r="FS152" s="3">
        <v>0</v>
      </c>
      <c r="FX152" s="3">
        <v>0</v>
      </c>
      <c r="FY152" s="3">
        <v>0</v>
      </c>
      <c r="GA152" s="3" t="s">
        <v>280</v>
      </c>
      <c r="GD152" s="3">
        <v>1</v>
      </c>
      <c r="GF152" s="3">
        <v>2055575023</v>
      </c>
      <c r="GG152" s="3">
        <v>2</v>
      </c>
      <c r="GH152" s="3">
        <v>3</v>
      </c>
      <c r="GI152" s="3">
        <v>5</v>
      </c>
      <c r="GJ152" s="3">
        <v>0</v>
      </c>
      <c r="GK152" s="3">
        <v>0</v>
      </c>
      <c r="GL152" s="3">
        <f t="shared" si="154"/>
        <v>0</v>
      </c>
      <c r="GM152" s="3">
        <f t="shared" si="155"/>
        <v>365589.37</v>
      </c>
      <c r="GN152" s="3">
        <f t="shared" si="156"/>
        <v>0</v>
      </c>
      <c r="GO152" s="3">
        <f t="shared" si="157"/>
        <v>0</v>
      </c>
      <c r="GP152" s="3">
        <f t="shared" si="158"/>
        <v>0</v>
      </c>
      <c r="GR152" s="3">
        <v>1</v>
      </c>
      <c r="GS152" s="3">
        <v>1</v>
      </c>
      <c r="GT152" s="3">
        <v>0</v>
      </c>
      <c r="GU152" s="3" t="s">
        <v>3</v>
      </c>
      <c r="GV152" s="3">
        <f t="shared" si="159"/>
        <v>0</v>
      </c>
      <c r="GW152" s="3">
        <v>1</v>
      </c>
      <c r="GX152" s="3">
        <f t="shared" si="160"/>
        <v>0</v>
      </c>
      <c r="HA152" s="3">
        <v>0</v>
      </c>
      <c r="HB152" s="3">
        <v>0</v>
      </c>
      <c r="HC152" s="3">
        <f t="shared" si="161"/>
        <v>0</v>
      </c>
      <c r="HE152" s="3" t="s">
        <v>41</v>
      </c>
      <c r="HF152" s="3" t="s">
        <v>196</v>
      </c>
      <c r="HM152" s="3" t="s">
        <v>3</v>
      </c>
      <c r="HN152" s="3" t="s">
        <v>3</v>
      </c>
      <c r="HO152" s="3" t="s">
        <v>3</v>
      </c>
      <c r="HP152" s="3" t="s">
        <v>3</v>
      </c>
      <c r="HQ152" s="3" t="s">
        <v>3</v>
      </c>
      <c r="HS152" s="3">
        <v>0</v>
      </c>
      <c r="IK152" s="3">
        <v>0</v>
      </c>
    </row>
    <row r="153" spans="1:255" x14ac:dyDescent="0.2">
      <c r="A153" s="2">
        <v>17</v>
      </c>
      <c r="B153" s="2">
        <v>1</v>
      </c>
      <c r="C153" s="2"/>
      <c r="D153" s="2"/>
      <c r="E153" s="2" t="s">
        <v>281</v>
      </c>
      <c r="F153" s="2" t="s">
        <v>282</v>
      </c>
      <c r="G153" s="2" t="s">
        <v>283</v>
      </c>
      <c r="H153" s="2" t="s">
        <v>228</v>
      </c>
      <c r="I153" s="2">
        <v>2</v>
      </c>
      <c r="J153" s="2">
        <v>0</v>
      </c>
      <c r="K153" s="2">
        <v>2</v>
      </c>
      <c r="L153" s="2"/>
      <c r="M153" s="2"/>
      <c r="N153" s="2"/>
      <c r="O153" s="2">
        <f t="shared" si="139"/>
        <v>2320.98</v>
      </c>
      <c r="P153" s="2">
        <f>ROUND((ROUND((AC153*I153),2)*BC153),2)</f>
        <v>2320.98</v>
      </c>
      <c r="Q153" s="2">
        <f t="shared" si="164"/>
        <v>0</v>
      </c>
      <c r="R153" s="2">
        <f t="shared" si="165"/>
        <v>0</v>
      </c>
      <c r="S153" s="2">
        <f t="shared" si="140"/>
        <v>0</v>
      </c>
      <c r="T153" s="2">
        <f t="shared" si="141"/>
        <v>0</v>
      </c>
      <c r="U153" s="2">
        <f t="shared" si="142"/>
        <v>0</v>
      </c>
      <c r="V153" s="2">
        <f t="shared" si="143"/>
        <v>0</v>
      </c>
      <c r="W153" s="2">
        <f t="shared" si="144"/>
        <v>0</v>
      </c>
      <c r="X153" s="2">
        <f t="shared" si="166"/>
        <v>0</v>
      </c>
      <c r="Y153" s="2">
        <f t="shared" si="167"/>
        <v>0</v>
      </c>
      <c r="Z153" s="2"/>
      <c r="AA153" s="2">
        <v>57248835</v>
      </c>
      <c r="AB153" s="2">
        <f t="shared" si="145"/>
        <v>1160.49</v>
      </c>
      <c r="AC153" s="2">
        <f t="shared" si="168"/>
        <v>1160.49</v>
      </c>
      <c r="AD153" s="2">
        <f t="shared" si="169"/>
        <v>0</v>
      </c>
      <c r="AE153" s="2">
        <f t="shared" si="170"/>
        <v>0</v>
      </c>
      <c r="AF153" s="2">
        <f t="shared" si="171"/>
        <v>0</v>
      </c>
      <c r="AG153" s="2">
        <f t="shared" si="146"/>
        <v>0</v>
      </c>
      <c r="AH153" s="2">
        <f t="shared" si="172"/>
        <v>0</v>
      </c>
      <c r="AI153" s="2">
        <f t="shared" si="173"/>
        <v>0</v>
      </c>
      <c r="AJ153" s="2">
        <f t="shared" si="147"/>
        <v>0</v>
      </c>
      <c r="AK153" s="2">
        <v>1160.49</v>
      </c>
      <c r="AL153" s="2">
        <v>1160.49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3</v>
      </c>
      <c r="BJ153" s="2" t="s">
        <v>284</v>
      </c>
      <c r="BK153" s="2"/>
      <c r="BL153" s="2"/>
      <c r="BM153" s="2">
        <v>746</v>
      </c>
      <c r="BN153" s="2">
        <v>0</v>
      </c>
      <c r="BO153" s="2" t="s">
        <v>3</v>
      </c>
      <c r="BP153" s="2">
        <v>0</v>
      </c>
      <c r="BQ153" s="2">
        <v>130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0</v>
      </c>
      <c r="CA153" s="2">
        <v>0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3</v>
      </c>
      <c r="CO153" s="2">
        <v>0</v>
      </c>
      <c r="CP153" s="2">
        <f t="shared" si="148"/>
        <v>2320.98</v>
      </c>
      <c r="CQ153" s="2">
        <f>ROUND((ROUND((AC153*1),2)*BC153),2)</f>
        <v>1160.49</v>
      </c>
      <c r="CR153" s="2">
        <f t="shared" si="174"/>
        <v>0</v>
      </c>
      <c r="CS153" s="2">
        <f t="shared" si="175"/>
        <v>0</v>
      </c>
      <c r="CT153" s="2">
        <f t="shared" si="149"/>
        <v>0</v>
      </c>
      <c r="CU153" s="2">
        <f t="shared" si="150"/>
        <v>0</v>
      </c>
      <c r="CV153" s="2">
        <f t="shared" si="151"/>
        <v>0</v>
      </c>
      <c r="CW153" s="2">
        <f t="shared" si="152"/>
        <v>0</v>
      </c>
      <c r="CX153" s="2">
        <f t="shared" si="153"/>
        <v>0</v>
      </c>
      <c r="CY153" s="2">
        <f t="shared" si="176"/>
        <v>0</v>
      </c>
      <c r="CZ153" s="2">
        <f t="shared" si="177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1010</v>
      </c>
      <c r="DV153" s="2" t="s">
        <v>228</v>
      </c>
      <c r="DW153" s="2" t="s">
        <v>228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57248777</v>
      </c>
      <c r="EF153" s="2">
        <v>130</v>
      </c>
      <c r="EG153" s="2" t="s">
        <v>230</v>
      </c>
      <c r="EH153" s="2">
        <v>0</v>
      </c>
      <c r="EI153" s="2" t="s">
        <v>3</v>
      </c>
      <c r="EJ153" s="2">
        <v>3</v>
      </c>
      <c r="EK153" s="2">
        <v>746</v>
      </c>
      <c r="EL153" s="2" t="s">
        <v>231</v>
      </c>
      <c r="EM153" s="2" t="s">
        <v>232</v>
      </c>
      <c r="EN153" s="2"/>
      <c r="EO153" s="2" t="s">
        <v>3</v>
      </c>
      <c r="EP153" s="2"/>
      <c r="EQ153" s="2">
        <v>131072</v>
      </c>
      <c r="ER153" s="2">
        <v>1160.49</v>
      </c>
      <c r="ES153" s="2">
        <v>1160.49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f t="shared" si="178"/>
        <v>2320.98</v>
      </c>
      <c r="FS153" s="2">
        <v>0</v>
      </c>
      <c r="FT153" s="2"/>
      <c r="FU153" s="2"/>
      <c r="FV153" s="2"/>
      <c r="FW153" s="2"/>
      <c r="FX153" s="2">
        <v>0</v>
      </c>
      <c r="FY153" s="2">
        <v>0</v>
      </c>
      <c r="FZ153" s="2"/>
      <c r="GA153" s="2" t="s">
        <v>3</v>
      </c>
      <c r="GB153" s="2"/>
      <c r="GC153" s="2"/>
      <c r="GD153" s="2">
        <v>1</v>
      </c>
      <c r="GE153" s="2"/>
      <c r="GF153" s="2">
        <v>-665896871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54"/>
        <v>0</v>
      </c>
      <c r="GM153" s="2">
        <f t="shared" si="155"/>
        <v>2320.98</v>
      </c>
      <c r="GN153" s="2">
        <f t="shared" si="156"/>
        <v>0</v>
      </c>
      <c r="GO153" s="2">
        <f t="shared" si="157"/>
        <v>0</v>
      </c>
      <c r="GP153" s="2">
        <f t="shared" si="158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159"/>
        <v>0</v>
      </c>
      <c r="GW153" s="2">
        <v>1</v>
      </c>
      <c r="GX153" s="2">
        <f t="shared" si="160"/>
        <v>0</v>
      </c>
      <c r="GY153" s="2"/>
      <c r="GZ153" s="2"/>
      <c r="HA153" s="2">
        <v>0</v>
      </c>
      <c r="HB153" s="2">
        <v>0</v>
      </c>
      <c r="HC153" s="2">
        <f t="shared" si="161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3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3">
        <v>17</v>
      </c>
      <c r="B154" s="3">
        <v>1</v>
      </c>
      <c r="E154" s="3" t="s">
        <v>281</v>
      </c>
      <c r="F154" s="3" t="s">
        <v>282</v>
      </c>
      <c r="G154" s="3" t="s">
        <v>283</v>
      </c>
      <c r="H154" s="3" t="s">
        <v>228</v>
      </c>
      <c r="I154" s="3">
        <v>2</v>
      </c>
      <c r="J154" s="3">
        <v>0</v>
      </c>
      <c r="K154" s="3">
        <v>2</v>
      </c>
      <c r="O154" s="3">
        <f t="shared" si="139"/>
        <v>10815.77</v>
      </c>
      <c r="P154" s="3">
        <f>ROUND((ROUND((AC154*I154),2)*BC154),2)</f>
        <v>10815.77</v>
      </c>
      <c r="Q154" s="3">
        <f t="shared" si="164"/>
        <v>0</v>
      </c>
      <c r="R154" s="3">
        <f t="shared" si="165"/>
        <v>0</v>
      </c>
      <c r="S154" s="3">
        <f t="shared" si="140"/>
        <v>0</v>
      </c>
      <c r="T154" s="3">
        <f t="shared" si="141"/>
        <v>0</v>
      </c>
      <c r="U154" s="3">
        <f t="shared" si="142"/>
        <v>0</v>
      </c>
      <c r="V154" s="3">
        <f t="shared" si="143"/>
        <v>0</v>
      </c>
      <c r="W154" s="3">
        <f t="shared" si="144"/>
        <v>0</v>
      </c>
      <c r="X154" s="3">
        <f t="shared" si="166"/>
        <v>0</v>
      </c>
      <c r="Y154" s="3">
        <f t="shared" si="167"/>
        <v>0</v>
      </c>
      <c r="AA154" s="3">
        <v>57248837</v>
      </c>
      <c r="AB154" s="3">
        <f t="shared" si="145"/>
        <v>1160.49</v>
      </c>
      <c r="AC154" s="3">
        <f t="shared" si="168"/>
        <v>1160.49</v>
      </c>
      <c r="AD154" s="3">
        <f t="shared" si="169"/>
        <v>0</v>
      </c>
      <c r="AE154" s="3">
        <f t="shared" si="170"/>
        <v>0</v>
      </c>
      <c r="AF154" s="3">
        <f t="shared" si="171"/>
        <v>0</v>
      </c>
      <c r="AG154" s="3">
        <f t="shared" si="146"/>
        <v>0</v>
      </c>
      <c r="AH154" s="3">
        <f t="shared" si="172"/>
        <v>0</v>
      </c>
      <c r="AI154" s="3">
        <f t="shared" si="173"/>
        <v>0</v>
      </c>
      <c r="AJ154" s="3">
        <f t="shared" si="147"/>
        <v>0</v>
      </c>
      <c r="AK154" s="3">
        <v>1160.49</v>
      </c>
      <c r="AL154" s="3">
        <v>1160.49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1</v>
      </c>
      <c r="AW154" s="3">
        <v>1</v>
      </c>
      <c r="AZ154" s="3">
        <v>1</v>
      </c>
      <c r="BA154" s="3">
        <v>1</v>
      </c>
      <c r="BB154" s="3">
        <v>1</v>
      </c>
      <c r="BC154" s="3">
        <v>4.66</v>
      </c>
      <c r="BD154" s="3" t="s">
        <v>3</v>
      </c>
      <c r="BE154" s="3" t="s">
        <v>3</v>
      </c>
      <c r="BF154" s="3" t="s">
        <v>3</v>
      </c>
      <c r="BG154" s="3" t="s">
        <v>3</v>
      </c>
      <c r="BH154" s="3">
        <v>3</v>
      </c>
      <c r="BI154" s="3">
        <v>3</v>
      </c>
      <c r="BJ154" s="3" t="s">
        <v>284</v>
      </c>
      <c r="BM154" s="3">
        <v>746</v>
      </c>
      <c r="BN154" s="3">
        <v>0</v>
      </c>
      <c r="BO154" s="3" t="s">
        <v>3</v>
      </c>
      <c r="BP154" s="3">
        <v>0</v>
      </c>
      <c r="BQ154" s="3">
        <v>130</v>
      </c>
      <c r="BR154" s="3">
        <v>0</v>
      </c>
      <c r="BS154" s="3">
        <v>1</v>
      </c>
      <c r="BT154" s="3">
        <v>1</v>
      </c>
      <c r="BU154" s="3">
        <v>1</v>
      </c>
      <c r="BV154" s="3">
        <v>1</v>
      </c>
      <c r="BW154" s="3">
        <v>1</v>
      </c>
      <c r="BX154" s="3">
        <v>1</v>
      </c>
      <c r="BY154" s="3" t="s">
        <v>3</v>
      </c>
      <c r="BZ154" s="3">
        <v>0</v>
      </c>
      <c r="CA154" s="3">
        <v>0</v>
      </c>
      <c r="CB154" s="3" t="s">
        <v>3</v>
      </c>
      <c r="CE154" s="3">
        <v>1566</v>
      </c>
      <c r="CF154" s="3">
        <v>0</v>
      </c>
      <c r="CG154" s="3">
        <v>0</v>
      </c>
      <c r="CM154" s="3">
        <v>0</v>
      </c>
      <c r="CN154" s="3" t="s">
        <v>3</v>
      </c>
      <c r="CO154" s="3">
        <v>0</v>
      </c>
      <c r="CP154" s="3">
        <f t="shared" si="148"/>
        <v>10815.77</v>
      </c>
      <c r="CQ154" s="3">
        <f>ROUND((ROUND((AC154*1),2)*BC154),2)</f>
        <v>5407.88</v>
      </c>
      <c r="CR154" s="3">
        <f t="shared" si="174"/>
        <v>0</v>
      </c>
      <c r="CS154" s="3">
        <f t="shared" si="175"/>
        <v>0</v>
      </c>
      <c r="CT154" s="3">
        <f t="shared" si="149"/>
        <v>0</v>
      </c>
      <c r="CU154" s="3">
        <f t="shared" si="150"/>
        <v>0</v>
      </c>
      <c r="CV154" s="3">
        <f t="shared" si="151"/>
        <v>0</v>
      </c>
      <c r="CW154" s="3">
        <f t="shared" si="152"/>
        <v>0</v>
      </c>
      <c r="CX154" s="3">
        <f t="shared" si="153"/>
        <v>0</v>
      </c>
      <c r="CY154" s="3">
        <f t="shared" si="176"/>
        <v>0</v>
      </c>
      <c r="CZ154" s="3">
        <f t="shared" si="177"/>
        <v>0</v>
      </c>
      <c r="DC154" s="3" t="s">
        <v>3</v>
      </c>
      <c r="DD154" s="3" t="s">
        <v>3</v>
      </c>
      <c r="DE154" s="3" t="s">
        <v>3</v>
      </c>
      <c r="DF154" s="3" t="s">
        <v>3</v>
      </c>
      <c r="DG154" s="3" t="s">
        <v>3</v>
      </c>
      <c r="DH154" s="3" t="s">
        <v>3</v>
      </c>
      <c r="DI154" s="3" t="s">
        <v>3</v>
      </c>
      <c r="DJ154" s="3" t="s">
        <v>3</v>
      </c>
      <c r="DK154" s="3" t="s">
        <v>3</v>
      </c>
      <c r="DL154" s="3" t="s">
        <v>3</v>
      </c>
      <c r="DM154" s="3" t="s">
        <v>3</v>
      </c>
      <c r="DN154" s="3">
        <v>0</v>
      </c>
      <c r="DO154" s="3">
        <v>0</v>
      </c>
      <c r="DP154" s="3">
        <v>1</v>
      </c>
      <c r="DQ154" s="3">
        <v>1</v>
      </c>
      <c r="DU154" s="3">
        <v>1010</v>
      </c>
      <c r="DV154" s="3" t="s">
        <v>228</v>
      </c>
      <c r="DW154" s="3" t="s">
        <v>228</v>
      </c>
      <c r="DX154" s="3">
        <v>1</v>
      </c>
      <c r="DZ154" s="3" t="s">
        <v>3</v>
      </c>
      <c r="EA154" s="3" t="s">
        <v>3</v>
      </c>
      <c r="EB154" s="3" t="s">
        <v>3</v>
      </c>
      <c r="EC154" s="3" t="s">
        <v>3</v>
      </c>
      <c r="EE154" s="3">
        <v>57248777</v>
      </c>
      <c r="EF154" s="3">
        <v>130</v>
      </c>
      <c r="EG154" s="3" t="s">
        <v>230</v>
      </c>
      <c r="EH154" s="3">
        <v>0</v>
      </c>
      <c r="EI154" s="3" t="s">
        <v>3</v>
      </c>
      <c r="EJ154" s="3">
        <v>3</v>
      </c>
      <c r="EK154" s="3">
        <v>746</v>
      </c>
      <c r="EL154" s="3" t="s">
        <v>231</v>
      </c>
      <c r="EM154" s="3" t="s">
        <v>232</v>
      </c>
      <c r="EO154" s="3" t="s">
        <v>3</v>
      </c>
      <c r="EQ154" s="3">
        <v>131072</v>
      </c>
      <c r="ER154" s="3">
        <v>1160.49</v>
      </c>
      <c r="ES154" s="3">
        <v>1160.49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FQ154" s="3">
        <v>0</v>
      </c>
      <c r="FR154" s="3">
        <f t="shared" si="178"/>
        <v>10815.77</v>
      </c>
      <c r="FS154" s="3">
        <v>0</v>
      </c>
      <c r="FX154" s="3">
        <v>0</v>
      </c>
      <c r="FY154" s="3">
        <v>0</v>
      </c>
      <c r="GA154" s="3" t="s">
        <v>3</v>
      </c>
      <c r="GD154" s="3">
        <v>1</v>
      </c>
      <c r="GF154" s="3">
        <v>-665896871</v>
      </c>
      <c r="GG154" s="3">
        <v>2</v>
      </c>
      <c r="GH154" s="3">
        <v>1</v>
      </c>
      <c r="GI154" s="3">
        <v>2</v>
      </c>
      <c r="GJ154" s="3">
        <v>0</v>
      </c>
      <c r="GK154" s="3">
        <v>0</v>
      </c>
      <c r="GL154" s="3">
        <f t="shared" si="154"/>
        <v>0</v>
      </c>
      <c r="GM154" s="3">
        <f t="shared" si="155"/>
        <v>10815.77</v>
      </c>
      <c r="GN154" s="3">
        <f t="shared" si="156"/>
        <v>0</v>
      </c>
      <c r="GO154" s="3">
        <f t="shared" si="157"/>
        <v>0</v>
      </c>
      <c r="GP154" s="3">
        <f t="shared" si="158"/>
        <v>0</v>
      </c>
      <c r="GR154" s="3">
        <v>0</v>
      </c>
      <c r="GS154" s="3">
        <v>3</v>
      </c>
      <c r="GT154" s="3">
        <v>0</v>
      </c>
      <c r="GU154" s="3" t="s">
        <v>3</v>
      </c>
      <c r="GV154" s="3">
        <f t="shared" si="159"/>
        <v>0</v>
      </c>
      <c r="GW154" s="3">
        <v>1</v>
      </c>
      <c r="GX154" s="3">
        <f t="shared" si="160"/>
        <v>0</v>
      </c>
      <c r="HA154" s="3">
        <v>0</v>
      </c>
      <c r="HB154" s="3">
        <v>0</v>
      </c>
      <c r="HC154" s="3">
        <f t="shared" si="161"/>
        <v>0</v>
      </c>
      <c r="HE154" s="3" t="s">
        <v>3</v>
      </c>
      <c r="HF154" s="3" t="s">
        <v>3</v>
      </c>
      <c r="HM154" s="3" t="s">
        <v>3</v>
      </c>
      <c r="HN154" s="3" t="s">
        <v>3</v>
      </c>
      <c r="HO154" s="3" t="s">
        <v>3</v>
      </c>
      <c r="HP154" s="3" t="s">
        <v>3</v>
      </c>
      <c r="HQ154" s="3" t="s">
        <v>3</v>
      </c>
      <c r="HS154" s="3">
        <v>0</v>
      </c>
      <c r="IK154" s="3">
        <v>0</v>
      </c>
    </row>
    <row r="155" spans="1:255" x14ac:dyDescent="0.2">
      <c r="A155" s="2">
        <v>17</v>
      </c>
      <c r="B155" s="2">
        <v>1</v>
      </c>
      <c r="C155" s="2"/>
      <c r="D155" s="2"/>
      <c r="E155" s="2" t="s">
        <v>285</v>
      </c>
      <c r="F155" s="2" t="s">
        <v>286</v>
      </c>
      <c r="G155" s="2" t="s">
        <v>287</v>
      </c>
      <c r="H155" s="2" t="s">
        <v>192</v>
      </c>
      <c r="I155" s="2">
        <v>1</v>
      </c>
      <c r="J155" s="2">
        <v>0</v>
      </c>
      <c r="K155" s="2">
        <v>1</v>
      </c>
      <c r="L155" s="2"/>
      <c r="M155" s="2"/>
      <c r="N155" s="2"/>
      <c r="O155" s="2">
        <f t="shared" si="139"/>
        <v>285.56</v>
      </c>
      <c r="P155" s="2">
        <f t="shared" ref="P155:P180" si="179">ROUND((ROUND((AC155*AW155*I155),2)*BC155),2)</f>
        <v>285.56</v>
      </c>
      <c r="Q155" s="2">
        <f t="shared" si="164"/>
        <v>0</v>
      </c>
      <c r="R155" s="2">
        <f t="shared" si="165"/>
        <v>0</v>
      </c>
      <c r="S155" s="2">
        <f t="shared" si="140"/>
        <v>0</v>
      </c>
      <c r="T155" s="2">
        <f t="shared" si="141"/>
        <v>0</v>
      </c>
      <c r="U155" s="2">
        <f t="shared" si="142"/>
        <v>0</v>
      </c>
      <c r="V155" s="2">
        <f t="shared" si="143"/>
        <v>0</v>
      </c>
      <c r="W155" s="2">
        <f t="shared" si="144"/>
        <v>0</v>
      </c>
      <c r="X155" s="2">
        <f t="shared" si="166"/>
        <v>0</v>
      </c>
      <c r="Y155" s="2">
        <f t="shared" si="167"/>
        <v>0</v>
      </c>
      <c r="Z155" s="2"/>
      <c r="AA155" s="2">
        <v>57248835</v>
      </c>
      <c r="AB155" s="2">
        <f t="shared" si="145"/>
        <v>285.56</v>
      </c>
      <c r="AC155" s="2">
        <f t="shared" si="168"/>
        <v>285.56</v>
      </c>
      <c r="AD155" s="2">
        <f t="shared" si="169"/>
        <v>0</v>
      </c>
      <c r="AE155" s="2">
        <f t="shared" si="170"/>
        <v>0</v>
      </c>
      <c r="AF155" s="2">
        <f t="shared" si="171"/>
        <v>0</v>
      </c>
      <c r="AG155" s="2">
        <f t="shared" si="146"/>
        <v>0</v>
      </c>
      <c r="AH155" s="2">
        <f t="shared" si="172"/>
        <v>0</v>
      </c>
      <c r="AI155" s="2">
        <f t="shared" si="173"/>
        <v>0</v>
      </c>
      <c r="AJ155" s="2">
        <f t="shared" si="147"/>
        <v>0</v>
      </c>
      <c r="AK155" s="2">
        <v>285.56</v>
      </c>
      <c r="AL155" s="2">
        <v>285.56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1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3</v>
      </c>
      <c r="BI155" s="2">
        <v>3</v>
      </c>
      <c r="BJ155" s="2" t="s">
        <v>286</v>
      </c>
      <c r="BK155" s="2"/>
      <c r="BL155" s="2"/>
      <c r="BM155" s="2">
        <v>400007</v>
      </c>
      <c r="BN155" s="2">
        <v>0</v>
      </c>
      <c r="BO155" s="2" t="s">
        <v>3</v>
      </c>
      <c r="BP155" s="2">
        <v>0</v>
      </c>
      <c r="BQ155" s="2">
        <v>214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0</v>
      </c>
      <c r="CA155" s="2">
        <v>0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3</v>
      </c>
      <c r="CO155" s="2">
        <v>0</v>
      </c>
      <c r="CP155" s="2">
        <f t="shared" si="148"/>
        <v>285.56</v>
      </c>
      <c r="CQ155" s="2">
        <f t="shared" ref="CQ155:CQ180" si="180">ROUND((ROUND((AC155*AW155*1),2)*BC155),2)</f>
        <v>285.56</v>
      </c>
      <c r="CR155" s="2">
        <f t="shared" si="174"/>
        <v>0</v>
      </c>
      <c r="CS155" s="2">
        <f t="shared" si="175"/>
        <v>0</v>
      </c>
      <c r="CT155" s="2">
        <f t="shared" si="149"/>
        <v>0</v>
      </c>
      <c r="CU155" s="2">
        <f t="shared" si="150"/>
        <v>0</v>
      </c>
      <c r="CV155" s="2">
        <f t="shared" si="151"/>
        <v>0</v>
      </c>
      <c r="CW155" s="2">
        <f t="shared" si="152"/>
        <v>0</v>
      </c>
      <c r="CX155" s="2">
        <f t="shared" si="153"/>
        <v>0</v>
      </c>
      <c r="CY155" s="2">
        <f t="shared" si="176"/>
        <v>0</v>
      </c>
      <c r="CZ155" s="2">
        <f t="shared" si="177"/>
        <v>0</v>
      </c>
      <c r="DA155" s="2"/>
      <c r="DB155" s="2"/>
      <c r="DC155" s="2" t="s">
        <v>3</v>
      </c>
      <c r="DD155" s="2" t="s">
        <v>3</v>
      </c>
      <c r="DE155" s="2" t="s">
        <v>3</v>
      </c>
      <c r="DF155" s="2" t="s">
        <v>3</v>
      </c>
      <c r="DG155" s="2" t="s">
        <v>3</v>
      </c>
      <c r="DH155" s="2" t="s">
        <v>3</v>
      </c>
      <c r="DI155" s="2" t="s">
        <v>3</v>
      </c>
      <c r="DJ155" s="2" t="s">
        <v>3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192</v>
      </c>
      <c r="DW155" s="2" t="s">
        <v>192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57248792</v>
      </c>
      <c r="EF155" s="2">
        <v>214</v>
      </c>
      <c r="EG155" s="2" t="s">
        <v>193</v>
      </c>
      <c r="EH155" s="2">
        <v>0</v>
      </c>
      <c r="EI155" s="2" t="s">
        <v>3</v>
      </c>
      <c r="EJ155" s="2">
        <v>3</v>
      </c>
      <c r="EK155" s="2">
        <v>400007</v>
      </c>
      <c r="EL155" s="2" t="s">
        <v>193</v>
      </c>
      <c r="EM155" s="2" t="s">
        <v>194</v>
      </c>
      <c r="EN155" s="2"/>
      <c r="EO155" s="2" t="s">
        <v>3</v>
      </c>
      <c r="EP155" s="2"/>
      <c r="EQ155" s="2">
        <v>131088</v>
      </c>
      <c r="ER155" s="2">
        <v>0</v>
      </c>
      <c r="ES155" s="2">
        <v>285.56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f t="shared" si="178"/>
        <v>285.56</v>
      </c>
      <c r="FS155" s="2">
        <v>0</v>
      </c>
      <c r="FT155" s="2"/>
      <c r="FU155" s="2"/>
      <c r="FV155" s="2"/>
      <c r="FW155" s="2"/>
      <c r="FX155" s="2">
        <v>0</v>
      </c>
      <c r="FY155" s="2">
        <v>0</v>
      </c>
      <c r="FZ155" s="2"/>
      <c r="GA155" s="2" t="s">
        <v>288</v>
      </c>
      <c r="GB155" s="2"/>
      <c r="GC155" s="2"/>
      <c r="GD155" s="2">
        <v>1</v>
      </c>
      <c r="GE155" s="2"/>
      <c r="GF155" s="2">
        <v>628762815</v>
      </c>
      <c r="GG155" s="2">
        <v>2</v>
      </c>
      <c r="GH155" s="2">
        <v>4</v>
      </c>
      <c r="GI155" s="2">
        <v>-2</v>
      </c>
      <c r="GJ155" s="2">
        <v>0</v>
      </c>
      <c r="GK155" s="2">
        <v>0</v>
      </c>
      <c r="GL155" s="2">
        <f t="shared" si="154"/>
        <v>0</v>
      </c>
      <c r="GM155" s="2">
        <f t="shared" si="155"/>
        <v>285.56</v>
      </c>
      <c r="GN155" s="2">
        <f t="shared" si="156"/>
        <v>0</v>
      </c>
      <c r="GO155" s="2">
        <f t="shared" si="157"/>
        <v>0</v>
      </c>
      <c r="GP155" s="2">
        <f t="shared" si="158"/>
        <v>0</v>
      </c>
      <c r="GQ155" s="2"/>
      <c r="GR155" s="2">
        <v>1</v>
      </c>
      <c r="GS155" s="2">
        <v>2</v>
      </c>
      <c r="GT155" s="2">
        <v>0</v>
      </c>
      <c r="GU155" s="2" t="s">
        <v>3</v>
      </c>
      <c r="GV155" s="2">
        <f t="shared" si="159"/>
        <v>0</v>
      </c>
      <c r="GW155" s="2">
        <v>1</v>
      </c>
      <c r="GX155" s="2">
        <f t="shared" si="160"/>
        <v>0</v>
      </c>
      <c r="GY155" s="2"/>
      <c r="GZ155" s="2"/>
      <c r="HA155" s="2">
        <v>0</v>
      </c>
      <c r="HB155" s="2">
        <v>0</v>
      </c>
      <c r="HC155" s="2">
        <f t="shared" si="161"/>
        <v>0</v>
      </c>
      <c r="HD155" s="2"/>
      <c r="HE155" s="2" t="s">
        <v>41</v>
      </c>
      <c r="HF155" s="2" t="s">
        <v>196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3">
        <v>17</v>
      </c>
      <c r="B156" s="3">
        <v>1</v>
      </c>
      <c r="E156" s="3" t="s">
        <v>285</v>
      </c>
      <c r="F156" s="3" t="s">
        <v>286</v>
      </c>
      <c r="G156" s="3" t="s">
        <v>287</v>
      </c>
      <c r="H156" s="3" t="s">
        <v>192</v>
      </c>
      <c r="I156" s="3">
        <v>1</v>
      </c>
      <c r="J156" s="3">
        <v>0</v>
      </c>
      <c r="K156" s="3">
        <v>1</v>
      </c>
      <c r="O156" s="3">
        <f t="shared" si="139"/>
        <v>2161.69</v>
      </c>
      <c r="P156" s="3">
        <f t="shared" si="179"/>
        <v>2161.69</v>
      </c>
      <c r="Q156" s="3">
        <f t="shared" si="164"/>
        <v>0</v>
      </c>
      <c r="R156" s="3">
        <f t="shared" si="165"/>
        <v>0</v>
      </c>
      <c r="S156" s="3">
        <f t="shared" si="140"/>
        <v>0</v>
      </c>
      <c r="T156" s="3">
        <f t="shared" si="141"/>
        <v>0</v>
      </c>
      <c r="U156" s="3">
        <f t="shared" si="142"/>
        <v>0</v>
      </c>
      <c r="V156" s="3">
        <f t="shared" si="143"/>
        <v>0</v>
      </c>
      <c r="W156" s="3">
        <f t="shared" si="144"/>
        <v>0</v>
      </c>
      <c r="X156" s="3">
        <f t="shared" si="166"/>
        <v>0</v>
      </c>
      <c r="Y156" s="3">
        <f t="shared" si="167"/>
        <v>0</v>
      </c>
      <c r="AA156" s="3">
        <v>57248837</v>
      </c>
      <c r="AB156" s="3">
        <f t="shared" si="145"/>
        <v>285.56</v>
      </c>
      <c r="AC156" s="3">
        <f t="shared" si="168"/>
        <v>285.56</v>
      </c>
      <c r="AD156" s="3">
        <f t="shared" si="169"/>
        <v>0</v>
      </c>
      <c r="AE156" s="3">
        <f t="shared" si="170"/>
        <v>0</v>
      </c>
      <c r="AF156" s="3">
        <f t="shared" si="171"/>
        <v>0</v>
      </c>
      <c r="AG156" s="3">
        <f t="shared" si="146"/>
        <v>0</v>
      </c>
      <c r="AH156" s="3">
        <f t="shared" si="172"/>
        <v>0</v>
      </c>
      <c r="AI156" s="3">
        <f t="shared" si="173"/>
        <v>0</v>
      </c>
      <c r="AJ156" s="3">
        <f t="shared" si="147"/>
        <v>0</v>
      </c>
      <c r="AK156" s="3">
        <v>285.56</v>
      </c>
      <c r="AL156" s="3">
        <v>285.56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1</v>
      </c>
      <c r="AW156" s="3">
        <v>1</v>
      </c>
      <c r="AZ156" s="3">
        <v>1</v>
      </c>
      <c r="BA156" s="3">
        <v>1</v>
      </c>
      <c r="BB156" s="3">
        <v>1</v>
      </c>
      <c r="BC156" s="3">
        <v>7.57</v>
      </c>
      <c r="BD156" s="3" t="s">
        <v>3</v>
      </c>
      <c r="BE156" s="3" t="s">
        <v>3</v>
      </c>
      <c r="BF156" s="3" t="s">
        <v>3</v>
      </c>
      <c r="BG156" s="3" t="s">
        <v>3</v>
      </c>
      <c r="BH156" s="3">
        <v>3</v>
      </c>
      <c r="BI156" s="3">
        <v>3</v>
      </c>
      <c r="BJ156" s="3" t="s">
        <v>286</v>
      </c>
      <c r="BM156" s="3">
        <v>400007</v>
      </c>
      <c r="BN156" s="3">
        <v>0</v>
      </c>
      <c r="BO156" s="3" t="s">
        <v>3</v>
      </c>
      <c r="BP156" s="3">
        <v>0</v>
      </c>
      <c r="BQ156" s="3">
        <v>214</v>
      </c>
      <c r="BR156" s="3">
        <v>0</v>
      </c>
      <c r="BS156" s="3">
        <v>1</v>
      </c>
      <c r="BT156" s="3">
        <v>1</v>
      </c>
      <c r="BU156" s="3">
        <v>1</v>
      </c>
      <c r="BV156" s="3">
        <v>1</v>
      </c>
      <c r="BW156" s="3">
        <v>1</v>
      </c>
      <c r="BX156" s="3">
        <v>1</v>
      </c>
      <c r="BY156" s="3" t="s">
        <v>3</v>
      </c>
      <c r="BZ156" s="3">
        <v>0</v>
      </c>
      <c r="CA156" s="3">
        <v>0</v>
      </c>
      <c r="CB156" s="3" t="s">
        <v>3</v>
      </c>
      <c r="CE156" s="3">
        <v>1566</v>
      </c>
      <c r="CF156" s="3">
        <v>0</v>
      </c>
      <c r="CG156" s="3">
        <v>0</v>
      </c>
      <c r="CM156" s="3">
        <v>0</v>
      </c>
      <c r="CN156" s="3" t="s">
        <v>3</v>
      </c>
      <c r="CO156" s="3">
        <v>0</v>
      </c>
      <c r="CP156" s="3">
        <f t="shared" si="148"/>
        <v>2161.69</v>
      </c>
      <c r="CQ156" s="3">
        <f t="shared" si="180"/>
        <v>2161.69</v>
      </c>
      <c r="CR156" s="3">
        <f t="shared" si="174"/>
        <v>0</v>
      </c>
      <c r="CS156" s="3">
        <f t="shared" si="175"/>
        <v>0</v>
      </c>
      <c r="CT156" s="3">
        <f t="shared" si="149"/>
        <v>0</v>
      </c>
      <c r="CU156" s="3">
        <f t="shared" si="150"/>
        <v>0</v>
      </c>
      <c r="CV156" s="3">
        <f t="shared" si="151"/>
        <v>0</v>
      </c>
      <c r="CW156" s="3">
        <f t="shared" si="152"/>
        <v>0</v>
      </c>
      <c r="CX156" s="3">
        <f t="shared" si="153"/>
        <v>0</v>
      </c>
      <c r="CY156" s="3">
        <f t="shared" si="176"/>
        <v>0</v>
      </c>
      <c r="CZ156" s="3">
        <f t="shared" si="177"/>
        <v>0</v>
      </c>
      <c r="DC156" s="3" t="s">
        <v>3</v>
      </c>
      <c r="DD156" s="3" t="s">
        <v>3</v>
      </c>
      <c r="DE156" s="3" t="s">
        <v>3</v>
      </c>
      <c r="DF156" s="3" t="s">
        <v>3</v>
      </c>
      <c r="DG156" s="3" t="s">
        <v>3</v>
      </c>
      <c r="DH156" s="3" t="s">
        <v>3</v>
      </c>
      <c r="DI156" s="3" t="s">
        <v>3</v>
      </c>
      <c r="DJ156" s="3" t="s">
        <v>3</v>
      </c>
      <c r="DK156" s="3" t="s">
        <v>3</v>
      </c>
      <c r="DL156" s="3" t="s">
        <v>3</v>
      </c>
      <c r="DM156" s="3" t="s">
        <v>3</v>
      </c>
      <c r="DN156" s="3">
        <v>0</v>
      </c>
      <c r="DO156" s="3">
        <v>0</v>
      </c>
      <c r="DP156" s="3">
        <v>1</v>
      </c>
      <c r="DQ156" s="3">
        <v>1</v>
      </c>
      <c r="DU156" s="3">
        <v>1013</v>
      </c>
      <c r="DV156" s="3" t="s">
        <v>192</v>
      </c>
      <c r="DW156" s="3" t="s">
        <v>192</v>
      </c>
      <c r="DX156" s="3">
        <v>1</v>
      </c>
      <c r="DZ156" s="3" t="s">
        <v>3</v>
      </c>
      <c r="EA156" s="3" t="s">
        <v>3</v>
      </c>
      <c r="EB156" s="3" t="s">
        <v>3</v>
      </c>
      <c r="EC156" s="3" t="s">
        <v>3</v>
      </c>
      <c r="EE156" s="3">
        <v>57248792</v>
      </c>
      <c r="EF156" s="3">
        <v>214</v>
      </c>
      <c r="EG156" s="3" t="s">
        <v>193</v>
      </c>
      <c r="EH156" s="3">
        <v>0</v>
      </c>
      <c r="EI156" s="3" t="s">
        <v>3</v>
      </c>
      <c r="EJ156" s="3">
        <v>3</v>
      </c>
      <c r="EK156" s="3">
        <v>400007</v>
      </c>
      <c r="EL156" s="3" t="s">
        <v>193</v>
      </c>
      <c r="EM156" s="3" t="s">
        <v>194</v>
      </c>
      <c r="EO156" s="3" t="s">
        <v>3</v>
      </c>
      <c r="EQ156" s="3">
        <v>131088</v>
      </c>
      <c r="ER156" s="3">
        <v>0</v>
      </c>
      <c r="ES156" s="3">
        <v>285.56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5</v>
      </c>
      <c r="FC156" s="3">
        <v>1</v>
      </c>
      <c r="FD156" s="3">
        <v>18</v>
      </c>
      <c r="FF156" s="3">
        <v>2530</v>
      </c>
      <c r="FQ156" s="3">
        <v>0</v>
      </c>
      <c r="FR156" s="3">
        <f t="shared" si="178"/>
        <v>2161.69</v>
      </c>
      <c r="FS156" s="3">
        <v>0</v>
      </c>
      <c r="FX156" s="3">
        <v>0</v>
      </c>
      <c r="FY156" s="3">
        <v>0</v>
      </c>
      <c r="GA156" s="3" t="s">
        <v>288</v>
      </c>
      <c r="GD156" s="3">
        <v>1</v>
      </c>
      <c r="GF156" s="3">
        <v>628762815</v>
      </c>
      <c r="GG156" s="3">
        <v>2</v>
      </c>
      <c r="GH156" s="3">
        <v>3</v>
      </c>
      <c r="GI156" s="3">
        <v>5</v>
      </c>
      <c r="GJ156" s="3">
        <v>0</v>
      </c>
      <c r="GK156" s="3">
        <v>0</v>
      </c>
      <c r="GL156" s="3">
        <f t="shared" si="154"/>
        <v>0</v>
      </c>
      <c r="GM156" s="3">
        <f t="shared" si="155"/>
        <v>2161.69</v>
      </c>
      <c r="GN156" s="3">
        <f t="shared" si="156"/>
        <v>0</v>
      </c>
      <c r="GO156" s="3">
        <f t="shared" si="157"/>
        <v>0</v>
      </c>
      <c r="GP156" s="3">
        <f t="shared" si="158"/>
        <v>0</v>
      </c>
      <c r="GR156" s="3">
        <v>1</v>
      </c>
      <c r="GS156" s="3">
        <v>1</v>
      </c>
      <c r="GT156" s="3">
        <v>0</v>
      </c>
      <c r="GU156" s="3" t="s">
        <v>3</v>
      </c>
      <c r="GV156" s="3">
        <f t="shared" si="159"/>
        <v>0</v>
      </c>
      <c r="GW156" s="3">
        <v>1</v>
      </c>
      <c r="GX156" s="3">
        <f t="shared" si="160"/>
        <v>0</v>
      </c>
      <c r="HA156" s="3">
        <v>0</v>
      </c>
      <c r="HB156" s="3">
        <v>0</v>
      </c>
      <c r="HC156" s="3">
        <f t="shared" si="161"/>
        <v>0</v>
      </c>
      <c r="HE156" s="3" t="s">
        <v>41</v>
      </c>
      <c r="HF156" s="3" t="s">
        <v>196</v>
      </c>
      <c r="HM156" s="3" t="s">
        <v>3</v>
      </c>
      <c r="HN156" s="3" t="s">
        <v>3</v>
      </c>
      <c r="HO156" s="3" t="s">
        <v>3</v>
      </c>
      <c r="HP156" s="3" t="s">
        <v>3</v>
      </c>
      <c r="HQ156" s="3" t="s">
        <v>3</v>
      </c>
      <c r="HS156" s="3">
        <v>0</v>
      </c>
      <c r="IK156" s="3">
        <v>0</v>
      </c>
    </row>
    <row r="157" spans="1:255" x14ac:dyDescent="0.2">
      <c r="A157" s="2">
        <v>17</v>
      </c>
      <c r="B157" s="2">
        <v>1</v>
      </c>
      <c r="C157" s="2">
        <f>ROW(SmtRes!A206)</f>
        <v>206</v>
      </c>
      <c r="D157" s="2">
        <f>ROW(EtalonRes!A270)</f>
        <v>270</v>
      </c>
      <c r="E157" s="2" t="s">
        <v>289</v>
      </c>
      <c r="F157" s="2" t="s">
        <v>80</v>
      </c>
      <c r="G157" s="2" t="s">
        <v>290</v>
      </c>
      <c r="H157" s="2" t="s">
        <v>82</v>
      </c>
      <c r="I157" s="2">
        <f>ROUND(4/10,9)</f>
        <v>0.4</v>
      </c>
      <c r="J157" s="2">
        <v>0</v>
      </c>
      <c r="K157" s="2">
        <f>ROUND(4/10,9)</f>
        <v>0.4</v>
      </c>
      <c r="L157" s="2"/>
      <c r="M157" s="2"/>
      <c r="N157" s="2"/>
      <c r="O157" s="2">
        <f t="shared" si="139"/>
        <v>392.86</v>
      </c>
      <c r="P157" s="2">
        <f t="shared" si="179"/>
        <v>195.15</v>
      </c>
      <c r="Q157" s="2">
        <f>(ROUND((ROUND(((((ET157*1.25)*1.2))*AV157*I157),2)*BB157),2)+ROUND((ROUND(((AE157-(((EU157*1.25)*1.2)))*AV157*I157),2)*BS157),2))</f>
        <v>74.17</v>
      </c>
      <c r="R157" s="2">
        <f>(ROUND((ROUND(((((EU157*1.25)*1.2))*AV157*I157),2)*BS157),2)+ROUND((ROUND(((AE157-(((EU157*1.25)*1.2)))*AV157*I157),2)*BS157),2))</f>
        <v>11.19</v>
      </c>
      <c r="S157" s="2">
        <f t="shared" si="140"/>
        <v>123.54</v>
      </c>
      <c r="T157" s="2">
        <f t="shared" si="141"/>
        <v>0</v>
      </c>
      <c r="U157" s="2">
        <f t="shared" si="142"/>
        <v>11.028441119999998</v>
      </c>
      <c r="V157" s="2">
        <f t="shared" si="143"/>
        <v>0</v>
      </c>
      <c r="W157" s="2">
        <f t="shared" si="144"/>
        <v>0</v>
      </c>
      <c r="X157" s="2">
        <f>(ROUND((((S157+ROUND((ROUND(((((EU157*1.25)*1.2))*AV157*I157),2)*BS157),2))*AT157)/100),2)+ROUND(((ROUND((ROUND(((AE157-(((EU157*1.25)*1.2)))*AV157*I157),2)*BS157),2)*AT157)/100),2))</f>
        <v>125.3</v>
      </c>
      <c r="Y157" s="2">
        <f>(ROUND((((S157+ROUND((ROUND(((((EU157*1.25)*1.2))*AV157*I157),2)*BS157),2))*AU157)/100),2)+ROUND(((ROUND((ROUND(((AE157-(((EU157*1.25)*1.2)))*AV157*I157),2)*BS157),2)*AU157)/100),2))</f>
        <v>83.53</v>
      </c>
      <c r="Z157" s="2"/>
      <c r="AA157" s="2">
        <v>57248835</v>
      </c>
      <c r="AB157" s="2">
        <f t="shared" si="145"/>
        <v>942.60320000000002</v>
      </c>
      <c r="AC157" s="2">
        <f>ROUND((((ES157*1)*1)),6)</f>
        <v>487.88</v>
      </c>
      <c r="AD157" s="2">
        <f>ROUND((((((ET157*1.25)*1.2))-(((EU157*1.25)*1.2)))+AE157),6)</f>
        <v>170.595</v>
      </c>
      <c r="AE157" s="2">
        <f>ROUND((((EU157*1.25)*1.2)),6)</f>
        <v>25.74</v>
      </c>
      <c r="AF157" s="2">
        <f>ROUND((((EV157*1.15)*1.2)),6)</f>
        <v>284.12819999999999</v>
      </c>
      <c r="AG157" s="2">
        <f t="shared" si="146"/>
        <v>0</v>
      </c>
      <c r="AH157" s="2">
        <f>(((EW157*1.15)*1.2))</f>
        <v>25.364399999999996</v>
      </c>
      <c r="AI157" s="2">
        <f>(((EX157*1.25)*1.2))</f>
        <v>0</v>
      </c>
      <c r="AJ157" s="2">
        <f t="shared" si="147"/>
        <v>0</v>
      </c>
      <c r="AK157" s="2">
        <v>807.5</v>
      </c>
      <c r="AL157" s="2">
        <v>487.88</v>
      </c>
      <c r="AM157" s="2">
        <v>113.73</v>
      </c>
      <c r="AN157" s="2">
        <v>17.16</v>
      </c>
      <c r="AO157" s="2">
        <v>205.89</v>
      </c>
      <c r="AP157" s="2">
        <v>0</v>
      </c>
      <c r="AQ157" s="2">
        <v>18.38</v>
      </c>
      <c r="AR157" s="2">
        <v>0</v>
      </c>
      <c r="AS157" s="2">
        <v>0</v>
      </c>
      <c r="AT157" s="2">
        <v>93</v>
      </c>
      <c r="AU157" s="2">
        <v>62</v>
      </c>
      <c r="AV157" s="2">
        <v>1.087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0</v>
      </c>
      <c r="BI157" s="2">
        <v>1</v>
      </c>
      <c r="BJ157" s="2" t="s">
        <v>83</v>
      </c>
      <c r="BK157" s="2"/>
      <c r="BL157" s="2"/>
      <c r="BM157" s="2">
        <v>13</v>
      </c>
      <c r="BN157" s="2">
        <v>0</v>
      </c>
      <c r="BO157" s="2" t="s">
        <v>80</v>
      </c>
      <c r="BP157" s="2">
        <v>1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93</v>
      </c>
      <c r="CA157" s="2">
        <v>62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824</v>
      </c>
      <c r="CO157" s="2">
        <v>0</v>
      </c>
      <c r="CP157" s="2">
        <f t="shared" si="148"/>
        <v>392.86</v>
      </c>
      <c r="CQ157" s="2">
        <f t="shared" si="180"/>
        <v>487.88</v>
      </c>
      <c r="CR157" s="2">
        <f>(ROUND((ROUND(((((ET157*1.25)*1.2))*AV157*1),2)*BB157),2)+ROUND((ROUND(((AE157-(((EU157*1.25)*1.2)))*AV157*1),2)*BS157),2))</f>
        <v>185.44</v>
      </c>
      <c r="CS157" s="2">
        <f>(ROUND((ROUND(((((EU157*1.25)*1.2))*AV157*1),2)*BS157),2)+ROUND((ROUND(((AE157-(((EU157*1.25)*1.2)))*AV157*1),2)*BS157),2))</f>
        <v>27.98</v>
      </c>
      <c r="CT157" s="2">
        <f t="shared" si="149"/>
        <v>308.85000000000002</v>
      </c>
      <c r="CU157" s="2">
        <f t="shared" si="150"/>
        <v>0</v>
      </c>
      <c r="CV157" s="2">
        <f t="shared" si="151"/>
        <v>27.571102799999995</v>
      </c>
      <c r="CW157" s="2">
        <f t="shared" si="152"/>
        <v>0</v>
      </c>
      <c r="CX157" s="2">
        <f t="shared" si="153"/>
        <v>0</v>
      </c>
      <c r="CY157" s="2">
        <f>(ROUND((((S157+ROUND((ROUND(((((EU157*1.25)*1.2))*AV157*1),2)*BS157),2))*AT157)/100),2)+ROUND(((ROUND((ROUND(((AE157-(((EU157*1.25)*1.2)))*AV157*1),2)*BS157),2)*AT157)/100),2))</f>
        <v>140.91</v>
      </c>
      <c r="CZ157" s="2">
        <f>(ROUND((((S157+ROUND((ROUND(((((EU157*1.25)*1.2))*AV157*1),2)*BS157),2))*AU157)/100),2)+ROUND(((ROUND((ROUND(((AE157-(((EU157*1.25)*1.2)))*AV157*1),2)*BS157),2)*AU157)/100),2))</f>
        <v>93.94</v>
      </c>
      <c r="DA157" s="2"/>
      <c r="DB157" s="2">
        <v>87</v>
      </c>
      <c r="DC157" s="2" t="s">
        <v>3</v>
      </c>
      <c r="DD157" s="2" t="s">
        <v>291</v>
      </c>
      <c r="DE157" s="2" t="s">
        <v>292</v>
      </c>
      <c r="DF157" s="2" t="s">
        <v>292</v>
      </c>
      <c r="DG157" s="2" t="s">
        <v>293</v>
      </c>
      <c r="DH157" s="2" t="s">
        <v>3</v>
      </c>
      <c r="DI157" s="2" t="s">
        <v>293</v>
      </c>
      <c r="DJ157" s="2" t="s">
        <v>292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1010</v>
      </c>
      <c r="DV157" s="2" t="s">
        <v>82</v>
      </c>
      <c r="DW157" s="2" t="s">
        <v>82</v>
      </c>
      <c r="DX157" s="2">
        <v>10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57248597</v>
      </c>
      <c r="EF157" s="2">
        <v>30</v>
      </c>
      <c r="EG157" s="2" t="s">
        <v>86</v>
      </c>
      <c r="EH157" s="2">
        <v>0</v>
      </c>
      <c r="EI157" s="2" t="s">
        <v>3</v>
      </c>
      <c r="EJ157" s="2">
        <v>1</v>
      </c>
      <c r="EK157" s="2">
        <v>13</v>
      </c>
      <c r="EL157" s="2" t="s">
        <v>87</v>
      </c>
      <c r="EM157" s="2" t="s">
        <v>88</v>
      </c>
      <c r="EN157" s="2"/>
      <c r="EO157" s="2" t="s">
        <v>294</v>
      </c>
      <c r="EP157" s="2"/>
      <c r="EQ157" s="2">
        <v>131072</v>
      </c>
      <c r="ER157" s="2">
        <v>807.5</v>
      </c>
      <c r="ES157" s="2">
        <v>487.88</v>
      </c>
      <c r="ET157" s="2">
        <v>113.73</v>
      </c>
      <c r="EU157" s="2">
        <v>17.16</v>
      </c>
      <c r="EV157" s="2">
        <v>205.89</v>
      </c>
      <c r="EW157" s="2">
        <v>18.38</v>
      </c>
      <c r="EX157" s="2">
        <v>0</v>
      </c>
      <c r="EY157" s="2">
        <v>0</v>
      </c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93</v>
      </c>
      <c r="FY157" s="2">
        <v>62</v>
      </c>
      <c r="FZ157" s="2"/>
      <c r="GA157" s="2" t="s">
        <v>3</v>
      </c>
      <c r="GB157" s="2"/>
      <c r="GC157" s="2"/>
      <c r="GD157" s="2">
        <v>1</v>
      </c>
      <c r="GE157" s="2"/>
      <c r="GF157" s="2">
        <v>302129174</v>
      </c>
      <c r="GG157" s="2">
        <v>2</v>
      </c>
      <c r="GH157" s="2">
        <v>1</v>
      </c>
      <c r="GI157" s="2">
        <v>2</v>
      </c>
      <c r="GJ157" s="2">
        <v>0</v>
      </c>
      <c r="GK157" s="2">
        <v>0</v>
      </c>
      <c r="GL157" s="2">
        <f t="shared" si="154"/>
        <v>0</v>
      </c>
      <c r="GM157" s="2">
        <f t="shared" si="155"/>
        <v>601.69000000000005</v>
      </c>
      <c r="GN157" s="2">
        <f t="shared" si="156"/>
        <v>601.69000000000005</v>
      </c>
      <c r="GO157" s="2">
        <f t="shared" si="157"/>
        <v>0</v>
      </c>
      <c r="GP157" s="2">
        <f t="shared" si="158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159"/>
        <v>0</v>
      </c>
      <c r="GW157" s="2">
        <v>1</v>
      </c>
      <c r="GX157" s="2">
        <f t="shared" si="160"/>
        <v>0</v>
      </c>
      <c r="GY157" s="2"/>
      <c r="GZ157" s="2"/>
      <c r="HA157" s="2">
        <v>0</v>
      </c>
      <c r="HB157" s="2">
        <v>0</v>
      </c>
      <c r="HC157" s="2">
        <f t="shared" si="161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3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3">
        <v>17</v>
      </c>
      <c r="B158" s="3">
        <v>1</v>
      </c>
      <c r="C158" s="3">
        <f>ROW(SmtRes!A214)</f>
        <v>214</v>
      </c>
      <c r="D158" s="3">
        <f>ROW(EtalonRes!A278)</f>
        <v>278</v>
      </c>
      <c r="E158" s="3" t="s">
        <v>289</v>
      </c>
      <c r="F158" s="3" t="s">
        <v>80</v>
      </c>
      <c r="G158" s="3" t="s">
        <v>290</v>
      </c>
      <c r="H158" s="3" t="s">
        <v>82</v>
      </c>
      <c r="I158" s="3">
        <f>ROUND(4/10,9)</f>
        <v>0.4</v>
      </c>
      <c r="J158" s="3">
        <v>0</v>
      </c>
      <c r="K158" s="3">
        <f>ROUND(4/10,9)</f>
        <v>0.4</v>
      </c>
      <c r="O158" s="3">
        <f t="shared" si="139"/>
        <v>9472.81</v>
      </c>
      <c r="P158" s="3">
        <f t="shared" si="179"/>
        <v>1248.96</v>
      </c>
      <c r="Q158" s="3">
        <f>(ROUND((ROUND(((((ET158*1.25)*1.2))*AV158*I158),2)*BB158),2)+ROUND((ROUND(((AE158-(((EU158*1.25)*1.2)))*AV158*I158),2)*BS158),2))</f>
        <v>1262.3699999999999</v>
      </c>
      <c r="R158" s="3">
        <f>(ROUND((ROUND(((((EU158*1.25)*1.2))*AV158*I158),2)*BS158),2)+ROUND((ROUND(((AE158-(((EU158*1.25)*1.2)))*AV158*I158),2)*BS158),2))</f>
        <v>630.55999999999995</v>
      </c>
      <c r="S158" s="3">
        <f t="shared" si="140"/>
        <v>6961.48</v>
      </c>
      <c r="T158" s="3">
        <f t="shared" si="141"/>
        <v>0</v>
      </c>
      <c r="U158" s="3">
        <f t="shared" si="142"/>
        <v>11.028441119999998</v>
      </c>
      <c r="V158" s="3">
        <f t="shared" si="143"/>
        <v>0</v>
      </c>
      <c r="W158" s="3">
        <f t="shared" si="144"/>
        <v>0</v>
      </c>
      <c r="X158" s="3">
        <f>(ROUND((((S158+ROUND((ROUND(((((EU158*1.25)*1.2))*AV158*I158),2)*BS158),2))*AT158)/100),2)+ROUND(((ROUND((ROUND(((AE158-(((EU158*1.25)*1.2)))*AV158*I158),2)*BS158),2)*AT158)/100),2))</f>
        <v>7060.6</v>
      </c>
      <c r="Y158" s="3">
        <f>(ROUND((((S158+ROUND((ROUND(((((EU158*1.25)*1.2))*AV158*I158),2)*BS158),2))*AU158)/100),2)+ROUND(((ROUND((ROUND(((AE158-(((EU158*1.25)*1.2)))*AV158*I158),2)*BS158),2)*AU158)/100),2))</f>
        <v>4707.0600000000004</v>
      </c>
      <c r="AA158" s="3">
        <v>57248837</v>
      </c>
      <c r="AB158" s="3">
        <f t="shared" si="145"/>
        <v>942.60320000000002</v>
      </c>
      <c r="AC158" s="3">
        <f>ROUND((((ES158*1)*1)),6)</f>
        <v>487.88</v>
      </c>
      <c r="AD158" s="3">
        <f>ROUND((((((ET158*1.25)*1.2))-(((EU158*1.25)*1.2)))+AE158),6)</f>
        <v>170.595</v>
      </c>
      <c r="AE158" s="3">
        <f>ROUND((((EU158*1.25)*1.2)),6)</f>
        <v>25.74</v>
      </c>
      <c r="AF158" s="3">
        <f>ROUND((((EV158*1.15)*1.2)),6)</f>
        <v>284.12819999999999</v>
      </c>
      <c r="AG158" s="3">
        <f t="shared" si="146"/>
        <v>0</v>
      </c>
      <c r="AH158" s="3">
        <f>(((EW158*1.15)*1.2))</f>
        <v>25.364399999999996</v>
      </c>
      <c r="AI158" s="3">
        <f>(((EX158*1.25)*1.2))</f>
        <v>0</v>
      </c>
      <c r="AJ158" s="3">
        <f t="shared" si="147"/>
        <v>0</v>
      </c>
      <c r="AK158" s="3">
        <v>807.5</v>
      </c>
      <c r="AL158" s="3">
        <v>487.88</v>
      </c>
      <c r="AM158" s="3">
        <v>113.73</v>
      </c>
      <c r="AN158" s="3">
        <v>17.16</v>
      </c>
      <c r="AO158" s="3">
        <v>205.89</v>
      </c>
      <c r="AP158" s="3">
        <v>0</v>
      </c>
      <c r="AQ158" s="3">
        <v>18.38</v>
      </c>
      <c r="AR158" s="3">
        <v>0</v>
      </c>
      <c r="AS158" s="3">
        <v>0</v>
      </c>
      <c r="AT158" s="3">
        <v>93</v>
      </c>
      <c r="AU158" s="3">
        <v>62</v>
      </c>
      <c r="AV158" s="3">
        <v>1.087</v>
      </c>
      <c r="AW158" s="3">
        <v>1</v>
      </c>
      <c r="AZ158" s="3">
        <v>1</v>
      </c>
      <c r="BA158" s="3">
        <v>56.35</v>
      </c>
      <c r="BB158" s="3">
        <v>17.02</v>
      </c>
      <c r="BC158" s="3">
        <v>6.4</v>
      </c>
      <c r="BD158" s="3" t="s">
        <v>3</v>
      </c>
      <c r="BE158" s="3" t="s">
        <v>3</v>
      </c>
      <c r="BF158" s="3" t="s">
        <v>3</v>
      </c>
      <c r="BG158" s="3" t="s">
        <v>3</v>
      </c>
      <c r="BH158" s="3">
        <v>0</v>
      </c>
      <c r="BI158" s="3">
        <v>1</v>
      </c>
      <c r="BJ158" s="3" t="s">
        <v>83</v>
      </c>
      <c r="BM158" s="3">
        <v>13</v>
      </c>
      <c r="BN158" s="3">
        <v>0</v>
      </c>
      <c r="BO158" s="3" t="s">
        <v>80</v>
      </c>
      <c r="BP158" s="3">
        <v>1</v>
      </c>
      <c r="BQ158" s="3">
        <v>30</v>
      </c>
      <c r="BR158" s="3">
        <v>0</v>
      </c>
      <c r="BS158" s="3">
        <v>56.35</v>
      </c>
      <c r="BT158" s="3">
        <v>1</v>
      </c>
      <c r="BU158" s="3">
        <v>1</v>
      </c>
      <c r="BV158" s="3">
        <v>1</v>
      </c>
      <c r="BW158" s="3">
        <v>1</v>
      </c>
      <c r="BX158" s="3">
        <v>1</v>
      </c>
      <c r="BY158" s="3" t="s">
        <v>3</v>
      </c>
      <c r="BZ158" s="3">
        <v>93</v>
      </c>
      <c r="CA158" s="3">
        <v>62</v>
      </c>
      <c r="CB158" s="3" t="s">
        <v>3</v>
      </c>
      <c r="CE158" s="3">
        <v>1566</v>
      </c>
      <c r="CF158" s="3">
        <v>0</v>
      </c>
      <c r="CG158" s="3">
        <v>0</v>
      </c>
      <c r="CM158" s="3">
        <v>0</v>
      </c>
      <c r="CN158" s="3" t="s">
        <v>824</v>
      </c>
      <c r="CO158" s="3">
        <v>0</v>
      </c>
      <c r="CP158" s="3">
        <f t="shared" si="148"/>
        <v>9472.81</v>
      </c>
      <c r="CQ158" s="3">
        <f t="shared" si="180"/>
        <v>3122.43</v>
      </c>
      <c r="CR158" s="3">
        <f>(ROUND((ROUND(((((ET158*1.25)*1.2))*AV158*1),2)*BB158),2)+ROUND((ROUND(((AE158-(((EU158*1.25)*1.2)))*AV158*1),2)*BS158),2))</f>
        <v>3156.19</v>
      </c>
      <c r="CS158" s="3">
        <f>(ROUND((ROUND(((((EU158*1.25)*1.2))*AV158*1),2)*BS158),2)+ROUND((ROUND(((AE158-(((EU158*1.25)*1.2)))*AV158*1),2)*BS158),2))</f>
        <v>1576.67</v>
      </c>
      <c r="CT158" s="3">
        <f t="shared" si="149"/>
        <v>17403.7</v>
      </c>
      <c r="CU158" s="3">
        <f t="shared" si="150"/>
        <v>0</v>
      </c>
      <c r="CV158" s="3">
        <f t="shared" si="151"/>
        <v>27.571102799999995</v>
      </c>
      <c r="CW158" s="3">
        <f t="shared" si="152"/>
        <v>0</v>
      </c>
      <c r="CX158" s="3">
        <f t="shared" si="153"/>
        <v>0</v>
      </c>
      <c r="CY158" s="3">
        <f>(ROUND((((S158+ROUND((ROUND(((((EU158*1.25)*1.2))*AV158*1),2)*BS158),2))*AT158)/100),2)+ROUND(((ROUND((ROUND(((AE158-(((EU158*1.25)*1.2)))*AV158*1),2)*BS158),2)*AT158)/100),2))</f>
        <v>7940.48</v>
      </c>
      <c r="CZ158" s="3">
        <f>(ROUND((((S158+ROUND((ROUND(((((EU158*1.25)*1.2))*AV158*1),2)*BS158),2))*AU158)/100),2)+ROUND(((ROUND((ROUND(((AE158-(((EU158*1.25)*1.2)))*AV158*1),2)*BS158),2)*AU158)/100),2))</f>
        <v>5293.65</v>
      </c>
      <c r="DB158" s="3">
        <v>89</v>
      </c>
      <c r="DC158" s="3" t="s">
        <v>3</v>
      </c>
      <c r="DD158" s="3" t="s">
        <v>291</v>
      </c>
      <c r="DE158" s="3" t="s">
        <v>292</v>
      </c>
      <c r="DF158" s="3" t="s">
        <v>292</v>
      </c>
      <c r="DG158" s="3" t="s">
        <v>293</v>
      </c>
      <c r="DH158" s="3" t="s">
        <v>3</v>
      </c>
      <c r="DI158" s="3" t="s">
        <v>293</v>
      </c>
      <c r="DJ158" s="3" t="s">
        <v>292</v>
      </c>
      <c r="DK158" s="3" t="s">
        <v>3</v>
      </c>
      <c r="DL158" s="3" t="s">
        <v>3</v>
      </c>
      <c r="DM158" s="3" t="s">
        <v>3</v>
      </c>
      <c r="DN158" s="3">
        <v>0</v>
      </c>
      <c r="DO158" s="3">
        <v>0</v>
      </c>
      <c r="DP158" s="3">
        <v>1</v>
      </c>
      <c r="DQ158" s="3">
        <v>1</v>
      </c>
      <c r="DU158" s="3">
        <v>1010</v>
      </c>
      <c r="DV158" s="3" t="s">
        <v>82</v>
      </c>
      <c r="DW158" s="3" t="s">
        <v>82</v>
      </c>
      <c r="DX158" s="3">
        <v>10</v>
      </c>
      <c r="DZ158" s="3" t="s">
        <v>3</v>
      </c>
      <c r="EA158" s="3" t="s">
        <v>3</v>
      </c>
      <c r="EB158" s="3" t="s">
        <v>3</v>
      </c>
      <c r="EC158" s="3" t="s">
        <v>3</v>
      </c>
      <c r="EE158" s="3">
        <v>57248597</v>
      </c>
      <c r="EF158" s="3">
        <v>30</v>
      </c>
      <c r="EG158" s="3" t="s">
        <v>86</v>
      </c>
      <c r="EH158" s="3">
        <v>0</v>
      </c>
      <c r="EI158" s="3" t="s">
        <v>3</v>
      </c>
      <c r="EJ158" s="3">
        <v>1</v>
      </c>
      <c r="EK158" s="3">
        <v>13</v>
      </c>
      <c r="EL158" s="3" t="s">
        <v>87</v>
      </c>
      <c r="EM158" s="3" t="s">
        <v>88</v>
      </c>
      <c r="EO158" s="3" t="s">
        <v>294</v>
      </c>
      <c r="EQ158" s="3">
        <v>131072</v>
      </c>
      <c r="ER158" s="3">
        <v>807.5</v>
      </c>
      <c r="ES158" s="3">
        <v>487.88</v>
      </c>
      <c r="ET158" s="3">
        <v>113.73</v>
      </c>
      <c r="EU158" s="3">
        <v>17.16</v>
      </c>
      <c r="EV158" s="3">
        <v>205.89</v>
      </c>
      <c r="EW158" s="3">
        <v>18.38</v>
      </c>
      <c r="EX158" s="3">
        <v>0</v>
      </c>
      <c r="EY158" s="3">
        <v>0</v>
      </c>
      <c r="FQ158" s="3">
        <v>0</v>
      </c>
      <c r="FR158" s="3">
        <v>0</v>
      </c>
      <c r="FS158" s="3">
        <v>0</v>
      </c>
      <c r="FX158" s="3">
        <v>93</v>
      </c>
      <c r="FY158" s="3">
        <v>62</v>
      </c>
      <c r="GA158" s="3" t="s">
        <v>3</v>
      </c>
      <c r="GD158" s="3">
        <v>1</v>
      </c>
      <c r="GF158" s="3">
        <v>302129174</v>
      </c>
      <c r="GG158" s="3">
        <v>2</v>
      </c>
      <c r="GH158" s="3">
        <v>1</v>
      </c>
      <c r="GI158" s="3">
        <v>2</v>
      </c>
      <c r="GJ158" s="3">
        <v>0</v>
      </c>
      <c r="GK158" s="3">
        <v>0</v>
      </c>
      <c r="GL158" s="3">
        <f t="shared" si="154"/>
        <v>0</v>
      </c>
      <c r="GM158" s="3">
        <f t="shared" si="155"/>
        <v>21240.47</v>
      </c>
      <c r="GN158" s="3">
        <f t="shared" si="156"/>
        <v>21240.47</v>
      </c>
      <c r="GO158" s="3">
        <f t="shared" si="157"/>
        <v>0</v>
      </c>
      <c r="GP158" s="3">
        <f t="shared" si="158"/>
        <v>0</v>
      </c>
      <c r="GR158" s="3">
        <v>0</v>
      </c>
      <c r="GS158" s="3">
        <v>3</v>
      </c>
      <c r="GT158" s="3">
        <v>0</v>
      </c>
      <c r="GU158" s="3" t="s">
        <v>3</v>
      </c>
      <c r="GV158" s="3">
        <f t="shared" si="159"/>
        <v>0</v>
      </c>
      <c r="GW158" s="3">
        <v>1</v>
      </c>
      <c r="GX158" s="3">
        <f t="shared" si="160"/>
        <v>0</v>
      </c>
      <c r="HA158" s="3">
        <v>0</v>
      </c>
      <c r="HB158" s="3">
        <v>0</v>
      </c>
      <c r="HC158" s="3">
        <f t="shared" si="161"/>
        <v>0</v>
      </c>
      <c r="HE158" s="3" t="s">
        <v>3</v>
      </c>
      <c r="HF158" s="3" t="s">
        <v>3</v>
      </c>
      <c r="HM158" s="3" t="s">
        <v>3</v>
      </c>
      <c r="HN158" s="3" t="s">
        <v>3</v>
      </c>
      <c r="HO158" s="3" t="s">
        <v>3</v>
      </c>
      <c r="HP158" s="3" t="s">
        <v>3</v>
      </c>
      <c r="HQ158" s="3" t="s">
        <v>3</v>
      </c>
      <c r="HS158" s="3">
        <v>0</v>
      </c>
      <c r="IK158" s="3">
        <v>0</v>
      </c>
    </row>
    <row r="159" spans="1:255" x14ac:dyDescent="0.2">
      <c r="A159" s="2">
        <v>18</v>
      </c>
      <c r="B159" s="2">
        <v>1</v>
      </c>
      <c r="C159" s="2">
        <v>204</v>
      </c>
      <c r="D159" s="2"/>
      <c r="E159" s="2" t="s">
        <v>295</v>
      </c>
      <c r="F159" s="2" t="s">
        <v>296</v>
      </c>
      <c r="G159" s="2" t="s">
        <v>297</v>
      </c>
      <c r="H159" s="2" t="s">
        <v>298</v>
      </c>
      <c r="I159" s="2">
        <f>I157*J159</f>
        <v>0.45079999999999992</v>
      </c>
      <c r="J159" s="2">
        <v>1.1269999999999998</v>
      </c>
      <c r="K159" s="2">
        <v>1.127</v>
      </c>
      <c r="L159" s="2"/>
      <c r="M159" s="2"/>
      <c r="N159" s="2"/>
      <c r="O159" s="2">
        <f t="shared" si="139"/>
        <v>20502.97</v>
      </c>
      <c r="P159" s="2">
        <f t="shared" si="179"/>
        <v>20502.97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40"/>
        <v>0</v>
      </c>
      <c r="T159" s="2">
        <f t="shared" si="141"/>
        <v>0</v>
      </c>
      <c r="U159" s="2">
        <f t="shared" si="142"/>
        <v>0</v>
      </c>
      <c r="V159" s="2">
        <f t="shared" si="143"/>
        <v>0</v>
      </c>
      <c r="W159" s="2">
        <f t="shared" si="144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57248835</v>
      </c>
      <c r="AB159" s="2">
        <f t="shared" si="145"/>
        <v>45481.31</v>
      </c>
      <c r="AC159" s="2">
        <f>ROUND((ES159),6)</f>
        <v>45481.31</v>
      </c>
      <c r="AD159" s="2">
        <f>ROUND((((ET159)-(EU159))+AE159),6)</f>
        <v>0</v>
      </c>
      <c r="AE159" s="2">
        <f>ROUND((EU159),6)</f>
        <v>0</v>
      </c>
      <c r="AF159" s="2">
        <f>ROUND((EV159),6)</f>
        <v>0</v>
      </c>
      <c r="AG159" s="2">
        <f t="shared" si="146"/>
        <v>0</v>
      </c>
      <c r="AH159" s="2">
        <f>(EW159)</f>
        <v>0</v>
      </c>
      <c r="AI159" s="2">
        <f>(EX159)</f>
        <v>0</v>
      </c>
      <c r="AJ159" s="2">
        <f t="shared" si="147"/>
        <v>0</v>
      </c>
      <c r="AK159" s="2">
        <v>45481.31</v>
      </c>
      <c r="AL159" s="2">
        <v>45481.31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93</v>
      </c>
      <c r="AU159" s="2">
        <v>62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299</v>
      </c>
      <c r="BK159" s="2"/>
      <c r="BL159" s="2"/>
      <c r="BM159" s="2">
        <v>13</v>
      </c>
      <c r="BN159" s="2">
        <v>0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93</v>
      </c>
      <c r="CA159" s="2">
        <v>62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825</v>
      </c>
      <c r="CO159" s="2">
        <v>0</v>
      </c>
      <c r="CP159" s="2">
        <f t="shared" si="148"/>
        <v>20502.97</v>
      </c>
      <c r="CQ159" s="2">
        <f t="shared" si="180"/>
        <v>45481.31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49"/>
        <v>0</v>
      </c>
      <c r="CU159" s="2">
        <f t="shared" si="150"/>
        <v>0</v>
      </c>
      <c r="CV159" s="2">
        <f t="shared" si="151"/>
        <v>0</v>
      </c>
      <c r="CW159" s="2">
        <f t="shared" si="152"/>
        <v>0</v>
      </c>
      <c r="CX159" s="2">
        <f t="shared" si="153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1009</v>
      </c>
      <c r="DV159" s="2" t="s">
        <v>298</v>
      </c>
      <c r="DW159" s="2" t="s">
        <v>298</v>
      </c>
      <c r="DX159" s="2">
        <v>1000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57248597</v>
      </c>
      <c r="EF159" s="2">
        <v>30</v>
      </c>
      <c r="EG159" s="2" t="s">
        <v>86</v>
      </c>
      <c r="EH159" s="2">
        <v>0</v>
      </c>
      <c r="EI159" s="2" t="s">
        <v>3</v>
      </c>
      <c r="EJ159" s="2">
        <v>1</v>
      </c>
      <c r="EK159" s="2">
        <v>13</v>
      </c>
      <c r="EL159" s="2" t="s">
        <v>87</v>
      </c>
      <c r="EM159" s="2" t="s">
        <v>88</v>
      </c>
      <c r="EN159" s="2"/>
      <c r="EO159" s="2" t="s">
        <v>300</v>
      </c>
      <c r="EP159" s="2"/>
      <c r="EQ159" s="2">
        <v>0</v>
      </c>
      <c r="ER159" s="2">
        <v>45481.31</v>
      </c>
      <c r="ES159" s="2">
        <v>45481.31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93</v>
      </c>
      <c r="FY159" s="2">
        <v>62</v>
      </c>
      <c r="FZ159" s="2"/>
      <c r="GA159" s="2" t="s">
        <v>3</v>
      </c>
      <c r="GB159" s="2"/>
      <c r="GC159" s="2"/>
      <c r="GD159" s="2">
        <v>1</v>
      </c>
      <c r="GE159" s="2"/>
      <c r="GF159" s="2">
        <v>-1373885699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54"/>
        <v>0</v>
      </c>
      <c r="GM159" s="2">
        <f t="shared" si="155"/>
        <v>20502.97</v>
      </c>
      <c r="GN159" s="2">
        <f t="shared" si="156"/>
        <v>20502.97</v>
      </c>
      <c r="GO159" s="2">
        <f t="shared" si="157"/>
        <v>0</v>
      </c>
      <c r="GP159" s="2">
        <f t="shared" si="158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159"/>
        <v>0</v>
      </c>
      <c r="GW159" s="2">
        <v>1</v>
      </c>
      <c r="GX159" s="2">
        <f t="shared" si="160"/>
        <v>0</v>
      </c>
      <c r="GY159" s="2"/>
      <c r="GZ159" s="2"/>
      <c r="HA159" s="2">
        <v>0</v>
      </c>
      <c r="HB159" s="2">
        <v>0</v>
      </c>
      <c r="HC159" s="2">
        <f t="shared" si="161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3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3">
        <v>18</v>
      </c>
      <c r="B160" s="3">
        <v>1</v>
      </c>
      <c r="C160" s="3">
        <v>212</v>
      </c>
      <c r="E160" s="3" t="s">
        <v>295</v>
      </c>
      <c r="F160" s="3" t="s">
        <v>296</v>
      </c>
      <c r="G160" s="3" t="s">
        <v>297</v>
      </c>
      <c r="H160" s="3" t="s">
        <v>298</v>
      </c>
      <c r="I160" s="3">
        <f>I158*J160</f>
        <v>0.45079999999999992</v>
      </c>
      <c r="J160" s="3">
        <v>1.1269999999999998</v>
      </c>
      <c r="K160" s="3">
        <v>1.127</v>
      </c>
      <c r="O160" s="3">
        <f t="shared" si="139"/>
        <v>52077.54</v>
      </c>
      <c r="P160" s="3">
        <f t="shared" si="179"/>
        <v>52077.54</v>
      </c>
      <c r="Q160" s="3">
        <f>(ROUND((ROUND(((ET160)*AV160*I160),2)*BB160),2)+ROUND((ROUND(((AE160-(EU160))*AV160*I160),2)*BS160),2))</f>
        <v>0</v>
      </c>
      <c r="R160" s="3">
        <f>(ROUND((ROUND(((EU160)*AV160*I160),2)*BS160),2)+ROUND((ROUND(((AE160-(EU160))*AV160*I160),2)*BS160),2))</f>
        <v>0</v>
      </c>
      <c r="S160" s="3">
        <f t="shared" si="140"/>
        <v>0</v>
      </c>
      <c r="T160" s="3">
        <f t="shared" si="141"/>
        <v>0</v>
      </c>
      <c r="U160" s="3">
        <f t="shared" si="142"/>
        <v>0</v>
      </c>
      <c r="V160" s="3">
        <f t="shared" si="143"/>
        <v>0</v>
      </c>
      <c r="W160" s="3">
        <f t="shared" si="144"/>
        <v>0</v>
      </c>
      <c r="X160" s="3">
        <f>(ROUND((((S160+ROUND((ROUND(((EU160)*AV160*I160),2)*BS160),2))*AT160)/100),2)+ROUND(((ROUND((ROUND(((AE160-(EU160))*AV160*I160),2)*BS160),2)*AT160)/100),2))</f>
        <v>0</v>
      </c>
      <c r="Y160" s="3">
        <f>(ROUND((((S160+ROUND((ROUND(((EU160)*AV160*I160),2)*BS160),2))*AU160)/100),2)+ROUND(((ROUND((ROUND(((AE160-(EU160))*AV160*I160),2)*BS160),2)*AU160)/100),2))</f>
        <v>0</v>
      </c>
      <c r="AA160" s="3">
        <v>57248837</v>
      </c>
      <c r="AB160" s="3">
        <f t="shared" si="145"/>
        <v>45481.31</v>
      </c>
      <c r="AC160" s="3">
        <f>ROUND((ES160),6)</f>
        <v>45481.31</v>
      </c>
      <c r="AD160" s="3">
        <f>ROUND((((ET160)-(EU160))+AE160),6)</f>
        <v>0</v>
      </c>
      <c r="AE160" s="3">
        <f>ROUND((EU160),6)</f>
        <v>0</v>
      </c>
      <c r="AF160" s="3">
        <f>ROUND((EV160),6)</f>
        <v>0</v>
      </c>
      <c r="AG160" s="3">
        <f t="shared" si="146"/>
        <v>0</v>
      </c>
      <c r="AH160" s="3">
        <f>(EW160)</f>
        <v>0</v>
      </c>
      <c r="AI160" s="3">
        <f>(EX160)</f>
        <v>0</v>
      </c>
      <c r="AJ160" s="3">
        <f t="shared" si="147"/>
        <v>0</v>
      </c>
      <c r="AK160" s="3">
        <v>45481.31</v>
      </c>
      <c r="AL160" s="3">
        <v>45481.31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93</v>
      </c>
      <c r="AU160" s="3">
        <v>62</v>
      </c>
      <c r="AV160" s="3">
        <v>1</v>
      </c>
      <c r="AW160" s="3">
        <v>1</v>
      </c>
      <c r="AZ160" s="3">
        <v>1</v>
      </c>
      <c r="BA160" s="3">
        <v>1</v>
      </c>
      <c r="BB160" s="3">
        <v>1</v>
      </c>
      <c r="BC160" s="3">
        <v>2.54</v>
      </c>
      <c r="BD160" s="3" t="s">
        <v>3</v>
      </c>
      <c r="BE160" s="3" t="s">
        <v>3</v>
      </c>
      <c r="BF160" s="3" t="s">
        <v>3</v>
      </c>
      <c r="BG160" s="3" t="s">
        <v>3</v>
      </c>
      <c r="BH160" s="3">
        <v>3</v>
      </c>
      <c r="BI160" s="3">
        <v>1</v>
      </c>
      <c r="BJ160" s="3" t="s">
        <v>299</v>
      </c>
      <c r="BM160" s="3">
        <v>13</v>
      </c>
      <c r="BN160" s="3">
        <v>0</v>
      </c>
      <c r="BO160" s="3" t="s">
        <v>296</v>
      </c>
      <c r="BP160" s="3">
        <v>1</v>
      </c>
      <c r="BQ160" s="3">
        <v>30</v>
      </c>
      <c r="BR160" s="3">
        <v>0</v>
      </c>
      <c r="BS160" s="3">
        <v>1</v>
      </c>
      <c r="BT160" s="3">
        <v>1</v>
      </c>
      <c r="BU160" s="3">
        <v>1</v>
      </c>
      <c r="BV160" s="3">
        <v>1</v>
      </c>
      <c r="BW160" s="3">
        <v>1</v>
      </c>
      <c r="BX160" s="3">
        <v>1</v>
      </c>
      <c r="BY160" s="3" t="s">
        <v>3</v>
      </c>
      <c r="BZ160" s="3">
        <v>93</v>
      </c>
      <c r="CA160" s="3">
        <v>62</v>
      </c>
      <c r="CB160" s="3" t="s">
        <v>3</v>
      </c>
      <c r="CE160" s="3">
        <v>1566</v>
      </c>
      <c r="CF160" s="3">
        <v>0</v>
      </c>
      <c r="CG160" s="3">
        <v>0</v>
      </c>
      <c r="CM160" s="3">
        <v>0</v>
      </c>
      <c r="CN160" s="3" t="s">
        <v>825</v>
      </c>
      <c r="CO160" s="3">
        <v>0</v>
      </c>
      <c r="CP160" s="3">
        <f t="shared" si="148"/>
        <v>52077.54</v>
      </c>
      <c r="CQ160" s="3">
        <f t="shared" si="180"/>
        <v>115522.53</v>
      </c>
      <c r="CR160" s="3">
        <f>(ROUND((ROUND(((ET160)*AV160*1),2)*BB160),2)+ROUND((ROUND(((AE160-(EU160))*AV160*1),2)*BS160),2))</f>
        <v>0</v>
      </c>
      <c r="CS160" s="3">
        <f>(ROUND((ROUND(((EU160)*AV160*1),2)*BS160),2)+ROUND((ROUND(((AE160-(EU160))*AV160*1),2)*BS160),2))</f>
        <v>0</v>
      </c>
      <c r="CT160" s="3">
        <f t="shared" si="149"/>
        <v>0</v>
      </c>
      <c r="CU160" s="3">
        <f t="shared" si="150"/>
        <v>0</v>
      </c>
      <c r="CV160" s="3">
        <f t="shared" si="151"/>
        <v>0</v>
      </c>
      <c r="CW160" s="3">
        <f t="shared" si="152"/>
        <v>0</v>
      </c>
      <c r="CX160" s="3">
        <f t="shared" si="153"/>
        <v>0</v>
      </c>
      <c r="CY160" s="3">
        <f>(ROUND((((S160+ROUND((ROUND(((EU160)*AV160*1),2)*BS160),2))*AT160)/100),2)+ROUND(((ROUND((ROUND(((AE160-(EU160))*AV160*1),2)*BS160),2)*AT160)/100),2))</f>
        <v>0</v>
      </c>
      <c r="CZ160" s="3">
        <f>(ROUND((((S160+ROUND((ROUND(((EU160)*AV160*1),2)*BS160),2))*AU160)/100),2)+ROUND(((ROUND((ROUND(((AE160-(EU160))*AV160*1),2)*BS160),2)*AU160)/100),2))</f>
        <v>0</v>
      </c>
      <c r="DC160" s="3" t="s">
        <v>3</v>
      </c>
      <c r="DD160" s="3" t="s">
        <v>3</v>
      </c>
      <c r="DE160" s="3" t="s">
        <v>3</v>
      </c>
      <c r="DF160" s="3" t="s">
        <v>3</v>
      </c>
      <c r="DG160" s="3" t="s">
        <v>3</v>
      </c>
      <c r="DH160" s="3" t="s">
        <v>3</v>
      </c>
      <c r="DI160" s="3" t="s">
        <v>3</v>
      </c>
      <c r="DJ160" s="3" t="s">
        <v>3</v>
      </c>
      <c r="DK160" s="3" t="s">
        <v>3</v>
      </c>
      <c r="DL160" s="3" t="s">
        <v>3</v>
      </c>
      <c r="DM160" s="3" t="s">
        <v>3</v>
      </c>
      <c r="DN160" s="3">
        <v>0</v>
      </c>
      <c r="DO160" s="3">
        <v>0</v>
      </c>
      <c r="DP160" s="3">
        <v>1</v>
      </c>
      <c r="DQ160" s="3">
        <v>1</v>
      </c>
      <c r="DU160" s="3">
        <v>1009</v>
      </c>
      <c r="DV160" s="3" t="s">
        <v>298</v>
      </c>
      <c r="DW160" s="3" t="s">
        <v>298</v>
      </c>
      <c r="DX160" s="3">
        <v>1000</v>
      </c>
      <c r="DZ160" s="3" t="s">
        <v>3</v>
      </c>
      <c r="EA160" s="3" t="s">
        <v>3</v>
      </c>
      <c r="EB160" s="3" t="s">
        <v>3</v>
      </c>
      <c r="EC160" s="3" t="s">
        <v>3</v>
      </c>
      <c r="EE160" s="3">
        <v>57248597</v>
      </c>
      <c r="EF160" s="3">
        <v>30</v>
      </c>
      <c r="EG160" s="3" t="s">
        <v>86</v>
      </c>
      <c r="EH160" s="3">
        <v>0</v>
      </c>
      <c r="EI160" s="3" t="s">
        <v>3</v>
      </c>
      <c r="EJ160" s="3">
        <v>1</v>
      </c>
      <c r="EK160" s="3">
        <v>13</v>
      </c>
      <c r="EL160" s="3" t="s">
        <v>87</v>
      </c>
      <c r="EM160" s="3" t="s">
        <v>88</v>
      </c>
      <c r="EO160" s="3" t="s">
        <v>300</v>
      </c>
      <c r="EQ160" s="3">
        <v>0</v>
      </c>
      <c r="ER160" s="3">
        <v>45481.31</v>
      </c>
      <c r="ES160" s="3">
        <v>45481.31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FQ160" s="3">
        <v>0</v>
      </c>
      <c r="FR160" s="3">
        <v>0</v>
      </c>
      <c r="FS160" s="3">
        <v>0</v>
      </c>
      <c r="FX160" s="3">
        <v>93</v>
      </c>
      <c r="FY160" s="3">
        <v>62</v>
      </c>
      <c r="GA160" s="3" t="s">
        <v>3</v>
      </c>
      <c r="GD160" s="3">
        <v>1</v>
      </c>
      <c r="GF160" s="3">
        <v>-1373885699</v>
      </c>
      <c r="GG160" s="3">
        <v>2</v>
      </c>
      <c r="GH160" s="3">
        <v>1</v>
      </c>
      <c r="GI160" s="3">
        <v>2</v>
      </c>
      <c r="GJ160" s="3">
        <v>0</v>
      </c>
      <c r="GK160" s="3">
        <v>0</v>
      </c>
      <c r="GL160" s="3">
        <f t="shared" si="154"/>
        <v>0</v>
      </c>
      <c r="GM160" s="3">
        <f t="shared" si="155"/>
        <v>52077.54</v>
      </c>
      <c r="GN160" s="3">
        <f t="shared" si="156"/>
        <v>52077.54</v>
      </c>
      <c r="GO160" s="3">
        <f t="shared" si="157"/>
        <v>0</v>
      </c>
      <c r="GP160" s="3">
        <f t="shared" si="158"/>
        <v>0</v>
      </c>
      <c r="GR160" s="3">
        <v>0</v>
      </c>
      <c r="GS160" s="3">
        <v>3</v>
      </c>
      <c r="GT160" s="3">
        <v>0</v>
      </c>
      <c r="GU160" s="3" t="s">
        <v>3</v>
      </c>
      <c r="GV160" s="3">
        <f t="shared" si="159"/>
        <v>0</v>
      </c>
      <c r="GW160" s="3">
        <v>1</v>
      </c>
      <c r="GX160" s="3">
        <f t="shared" si="160"/>
        <v>0</v>
      </c>
      <c r="HA160" s="3">
        <v>0</v>
      </c>
      <c r="HB160" s="3">
        <v>0</v>
      </c>
      <c r="HC160" s="3">
        <f t="shared" si="161"/>
        <v>0</v>
      </c>
      <c r="HE160" s="3" t="s">
        <v>3</v>
      </c>
      <c r="HF160" s="3" t="s">
        <v>3</v>
      </c>
      <c r="HM160" s="3" t="s">
        <v>3</v>
      </c>
      <c r="HN160" s="3" t="s">
        <v>3</v>
      </c>
      <c r="HO160" s="3" t="s">
        <v>3</v>
      </c>
      <c r="HP160" s="3" t="s">
        <v>3</v>
      </c>
      <c r="HQ160" s="3" t="s">
        <v>3</v>
      </c>
      <c r="HS160" s="3">
        <v>0</v>
      </c>
      <c r="IK160" s="3">
        <v>0</v>
      </c>
    </row>
    <row r="161" spans="1:255" x14ac:dyDescent="0.2">
      <c r="A161" s="2">
        <v>17</v>
      </c>
      <c r="B161" s="2">
        <v>1</v>
      </c>
      <c r="C161" s="2">
        <f>ROW(SmtRes!A216)</f>
        <v>216</v>
      </c>
      <c r="D161" s="2">
        <f>ROW(EtalonRes!A280)</f>
        <v>280</v>
      </c>
      <c r="E161" s="2" t="s">
        <v>3</v>
      </c>
      <c r="F161" s="2" t="s">
        <v>91</v>
      </c>
      <c r="G161" s="2" t="s">
        <v>301</v>
      </c>
      <c r="H161" s="2" t="s">
        <v>93</v>
      </c>
      <c r="I161" s="2">
        <f>ROUND(4*2,9)</f>
        <v>8</v>
      </c>
      <c r="J161" s="2">
        <v>0</v>
      </c>
      <c r="K161" s="2">
        <f>ROUND(4*2,9)</f>
        <v>8</v>
      </c>
      <c r="L161" s="2"/>
      <c r="M161" s="2"/>
      <c r="N161" s="2"/>
      <c r="O161" s="2">
        <f t="shared" si="139"/>
        <v>7.84</v>
      </c>
      <c r="P161" s="2">
        <f t="shared" si="179"/>
        <v>0</v>
      </c>
      <c r="Q161" s="2">
        <f>(ROUND((ROUND((((ET161*1.2))*AV161*I161),2)*BB161),2)+ROUND((ROUND(((AE161-((EU161*1.2)))*AV161*I161),2)*BS161),2))</f>
        <v>0</v>
      </c>
      <c r="R161" s="2">
        <f>(ROUND((ROUND((((EU161*1.2))*AV161*I161),2)*BS161),2)+ROUND((ROUND(((AE161-((EU161*1.2)))*AV161*I161),2)*BS161),2))</f>
        <v>0</v>
      </c>
      <c r="S161" s="2">
        <f t="shared" si="140"/>
        <v>7.84</v>
      </c>
      <c r="T161" s="2">
        <f t="shared" si="141"/>
        <v>0</v>
      </c>
      <c r="U161" s="2">
        <f t="shared" si="142"/>
        <v>0.70358399999999999</v>
      </c>
      <c r="V161" s="2">
        <f t="shared" si="143"/>
        <v>0</v>
      </c>
      <c r="W161" s="2">
        <f t="shared" si="144"/>
        <v>0</v>
      </c>
      <c r="X161" s="2">
        <f>(ROUND((((S161+ROUND((ROUND((((EU161*1.2))*AV161*I161),2)*BS161),2))*AT161)/100),2)+ROUND(((ROUND((ROUND(((AE161-((EU161*1.2)))*AV161*I161),2)*BS161),2)*AT161)/100),2))</f>
        <v>7.06</v>
      </c>
      <c r="Y161" s="2">
        <f>(ROUND((((S161+ROUND((ROUND((((EU161*1.2))*AV161*I161),2)*BS161),2))*AU161)/100),2)+ROUND(((ROUND((ROUND(((AE161-((EU161*1.2)))*AV161*I161),2)*BS161),2)*AU161)/100),2))</f>
        <v>3.61</v>
      </c>
      <c r="Z161" s="2"/>
      <c r="AA161" s="2">
        <v>-1</v>
      </c>
      <c r="AB161" s="2">
        <f t="shared" si="145"/>
        <v>0.93600000000000005</v>
      </c>
      <c r="AC161" s="2">
        <f>ROUND(((ES161*1)),6)</f>
        <v>0</v>
      </c>
      <c r="AD161" s="2">
        <f>ROUND(((((ET161*1.2))-((EU161*1.2)))+AE161),6)</f>
        <v>0</v>
      </c>
      <c r="AE161" s="2">
        <f>ROUND(((EU161*1.2)),6)</f>
        <v>0</v>
      </c>
      <c r="AF161" s="2">
        <f>ROUND(((EV161*1.2)),6)</f>
        <v>0.93600000000000005</v>
      </c>
      <c r="AG161" s="2">
        <f t="shared" si="146"/>
        <v>0</v>
      </c>
      <c r="AH161" s="2">
        <f>((EW161*1.2))</f>
        <v>8.4000000000000005E-2</v>
      </c>
      <c r="AI161" s="2">
        <f>((EX161*1.2))</f>
        <v>0</v>
      </c>
      <c r="AJ161" s="2">
        <f t="shared" si="147"/>
        <v>0</v>
      </c>
      <c r="AK161" s="2">
        <v>0.78</v>
      </c>
      <c r="AL161" s="2">
        <v>0</v>
      </c>
      <c r="AM161" s="2">
        <v>0</v>
      </c>
      <c r="AN161" s="2">
        <v>0</v>
      </c>
      <c r="AO161" s="2">
        <v>0.78</v>
      </c>
      <c r="AP161" s="2">
        <v>0</v>
      </c>
      <c r="AQ161" s="2">
        <v>7.0000000000000007E-2</v>
      </c>
      <c r="AR161" s="2">
        <v>0</v>
      </c>
      <c r="AS161" s="2">
        <v>0</v>
      </c>
      <c r="AT161" s="2">
        <v>90</v>
      </c>
      <c r="AU161" s="2">
        <v>46</v>
      </c>
      <c r="AV161" s="2">
        <v>1.0469999999999999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2</v>
      </c>
      <c r="BJ161" s="2" t="s">
        <v>94</v>
      </c>
      <c r="BK161" s="2"/>
      <c r="BL161" s="2"/>
      <c r="BM161" s="2">
        <v>68</v>
      </c>
      <c r="BN161" s="2">
        <v>0</v>
      </c>
      <c r="BO161" s="2" t="s">
        <v>91</v>
      </c>
      <c r="BP161" s="2">
        <v>1</v>
      </c>
      <c r="BQ161" s="2">
        <v>40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90</v>
      </c>
      <c r="CA161" s="2">
        <v>46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820</v>
      </c>
      <c r="CO161" s="2">
        <v>0</v>
      </c>
      <c r="CP161" s="2">
        <f t="shared" si="148"/>
        <v>7.84</v>
      </c>
      <c r="CQ161" s="2">
        <f t="shared" si="180"/>
        <v>0</v>
      </c>
      <c r="CR161" s="2">
        <f>(ROUND((ROUND((((ET161*1.2))*AV161*1),2)*BB161),2)+ROUND((ROUND(((AE161-((EU161*1.2)))*AV161*1),2)*BS161),2))</f>
        <v>0</v>
      </c>
      <c r="CS161" s="2">
        <f>(ROUND((ROUND((((EU161*1.2))*AV161*1),2)*BS161),2)+ROUND((ROUND(((AE161-((EU161*1.2)))*AV161*1),2)*BS161),2))</f>
        <v>0</v>
      </c>
      <c r="CT161" s="2">
        <f t="shared" si="149"/>
        <v>0.98</v>
      </c>
      <c r="CU161" s="2">
        <f t="shared" si="150"/>
        <v>0</v>
      </c>
      <c r="CV161" s="2">
        <f t="shared" si="151"/>
        <v>8.7947999999999998E-2</v>
      </c>
      <c r="CW161" s="2">
        <f t="shared" si="152"/>
        <v>0</v>
      </c>
      <c r="CX161" s="2">
        <f t="shared" si="153"/>
        <v>0</v>
      </c>
      <c r="CY161" s="2">
        <f>(ROUND((((S161+ROUND((ROUND((((EU161*1.2))*AV161*1),2)*BS161),2))*AT161)/100),2)+ROUND(((ROUND((ROUND(((AE161-((EU161*1.2)))*AV161*1),2)*BS161),2)*AT161)/100),2))</f>
        <v>7.06</v>
      </c>
      <c r="CZ161" s="2">
        <f>(ROUND((((S161+ROUND((ROUND((((EU161*1.2))*AV161*1),2)*BS161),2))*AU161)/100),2)+ROUND(((ROUND((ROUND(((AE161-((EU161*1.2)))*AV161*1),2)*BS161),2)*AU161)/100),2))</f>
        <v>3.61</v>
      </c>
      <c r="DA161" s="2"/>
      <c r="DB161" s="2">
        <v>91</v>
      </c>
      <c r="DC161" s="2" t="s">
        <v>3</v>
      </c>
      <c r="DD161" s="2" t="s">
        <v>119</v>
      </c>
      <c r="DE161" s="2" t="s">
        <v>120</v>
      </c>
      <c r="DF161" s="2" t="s">
        <v>120</v>
      </c>
      <c r="DG161" s="2" t="s">
        <v>120</v>
      </c>
      <c r="DH161" s="2" t="s">
        <v>3</v>
      </c>
      <c r="DI161" s="2" t="s">
        <v>120</v>
      </c>
      <c r="DJ161" s="2" t="s">
        <v>120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93</v>
      </c>
      <c r="DW161" s="2" t="s">
        <v>93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57248652</v>
      </c>
      <c r="EF161" s="2">
        <v>40</v>
      </c>
      <c r="EG161" s="2" t="s">
        <v>33</v>
      </c>
      <c r="EH161" s="2">
        <v>0</v>
      </c>
      <c r="EI161" s="2" t="s">
        <v>3</v>
      </c>
      <c r="EJ161" s="2">
        <v>2</v>
      </c>
      <c r="EK161" s="2">
        <v>68</v>
      </c>
      <c r="EL161" s="2" t="s">
        <v>34</v>
      </c>
      <c r="EM161" s="2" t="s">
        <v>35</v>
      </c>
      <c r="EN161" s="2"/>
      <c r="EO161" s="2" t="s">
        <v>124</v>
      </c>
      <c r="EP161" s="2"/>
      <c r="EQ161" s="2">
        <v>132096</v>
      </c>
      <c r="ER161" s="2">
        <v>0.78</v>
      </c>
      <c r="ES161" s="2">
        <v>0</v>
      </c>
      <c r="ET161" s="2">
        <v>0</v>
      </c>
      <c r="EU161" s="2">
        <v>0</v>
      </c>
      <c r="EV161" s="2">
        <v>0.78</v>
      </c>
      <c r="EW161" s="2">
        <v>7.0000000000000007E-2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90</v>
      </c>
      <c r="FY161" s="2">
        <v>46</v>
      </c>
      <c r="FZ161" s="2"/>
      <c r="GA161" s="2" t="s">
        <v>3</v>
      </c>
      <c r="GB161" s="2"/>
      <c r="GC161" s="2"/>
      <c r="GD161" s="2">
        <v>1</v>
      </c>
      <c r="GE161" s="2"/>
      <c r="GF161" s="2">
        <v>1423941871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si="154"/>
        <v>0</v>
      </c>
      <c r="GM161" s="2">
        <f t="shared" si="155"/>
        <v>18.510000000000002</v>
      </c>
      <c r="GN161" s="2">
        <f t="shared" si="156"/>
        <v>0</v>
      </c>
      <c r="GO161" s="2">
        <f t="shared" si="157"/>
        <v>18.510000000000002</v>
      </c>
      <c r="GP161" s="2">
        <f t="shared" si="158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159"/>
        <v>0</v>
      </c>
      <c r="GW161" s="2">
        <v>1</v>
      </c>
      <c r="GX161" s="2">
        <f t="shared" si="160"/>
        <v>0</v>
      </c>
      <c r="GY161" s="2"/>
      <c r="GZ161" s="2"/>
      <c r="HA161" s="2">
        <v>0</v>
      </c>
      <c r="HB161" s="2">
        <v>0</v>
      </c>
      <c r="HC161" s="2">
        <f t="shared" si="161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3">
        <v>17</v>
      </c>
      <c r="B162" s="3">
        <v>1</v>
      </c>
      <c r="C162" s="3">
        <f>ROW(SmtRes!A218)</f>
        <v>218</v>
      </c>
      <c r="D162" s="3">
        <f>ROW(EtalonRes!A282)</f>
        <v>282</v>
      </c>
      <c r="E162" s="3" t="s">
        <v>3</v>
      </c>
      <c r="F162" s="3" t="s">
        <v>91</v>
      </c>
      <c r="G162" s="3" t="s">
        <v>301</v>
      </c>
      <c r="H162" s="3" t="s">
        <v>93</v>
      </c>
      <c r="I162" s="3">
        <f>ROUND(4*2,9)</f>
        <v>8</v>
      </c>
      <c r="J162" s="3">
        <v>0</v>
      </c>
      <c r="K162" s="3">
        <f>ROUND(4*2,9)</f>
        <v>8</v>
      </c>
      <c r="O162" s="3">
        <f t="shared" si="139"/>
        <v>441.78</v>
      </c>
      <c r="P162" s="3">
        <f t="shared" si="179"/>
        <v>0</v>
      </c>
      <c r="Q162" s="3">
        <f>(ROUND((ROUND((((ET162*1.2))*AV162*I162),2)*BB162),2)+ROUND((ROUND(((AE162-((EU162*1.2)))*AV162*I162),2)*BS162),2))</f>
        <v>0</v>
      </c>
      <c r="R162" s="3">
        <f>(ROUND((ROUND((((EU162*1.2))*AV162*I162),2)*BS162),2)+ROUND((ROUND(((AE162-((EU162*1.2)))*AV162*I162),2)*BS162),2))</f>
        <v>0</v>
      </c>
      <c r="S162" s="3">
        <f t="shared" si="140"/>
        <v>441.78</v>
      </c>
      <c r="T162" s="3">
        <f t="shared" si="141"/>
        <v>0</v>
      </c>
      <c r="U162" s="3">
        <f t="shared" si="142"/>
        <v>0.70358399999999999</v>
      </c>
      <c r="V162" s="3">
        <f t="shared" si="143"/>
        <v>0</v>
      </c>
      <c r="W162" s="3">
        <f t="shared" si="144"/>
        <v>0</v>
      </c>
      <c r="X162" s="3">
        <f>(ROUND((((S162+ROUND((ROUND((((EU162*1.2))*AV162*I162),2)*BS162),2))*AT162)/100),2)+ROUND(((ROUND((ROUND(((AE162-((EU162*1.2)))*AV162*I162),2)*BS162),2)*AT162)/100),2))</f>
        <v>397.6</v>
      </c>
      <c r="Y162" s="3">
        <f>(ROUND((((S162+ROUND((ROUND((((EU162*1.2))*AV162*I162),2)*BS162),2))*AU162)/100),2)+ROUND(((ROUND((ROUND(((AE162-((EU162*1.2)))*AV162*I162),2)*BS162),2)*AU162)/100),2))</f>
        <v>203.22</v>
      </c>
      <c r="AA162" s="3">
        <v>-1</v>
      </c>
      <c r="AB162" s="3">
        <f t="shared" si="145"/>
        <v>0.93600000000000005</v>
      </c>
      <c r="AC162" s="3">
        <f>ROUND(((ES162*1)),6)</f>
        <v>0</v>
      </c>
      <c r="AD162" s="3">
        <f>ROUND(((((ET162*1.2))-((EU162*1.2)))+AE162),6)</f>
        <v>0</v>
      </c>
      <c r="AE162" s="3">
        <f>ROUND(((EU162*1.2)),6)</f>
        <v>0</v>
      </c>
      <c r="AF162" s="3">
        <f>ROUND(((EV162*1.2)),6)</f>
        <v>0.93600000000000005</v>
      </c>
      <c r="AG162" s="3">
        <f t="shared" si="146"/>
        <v>0</v>
      </c>
      <c r="AH162" s="3">
        <f>((EW162*1.2))</f>
        <v>8.4000000000000005E-2</v>
      </c>
      <c r="AI162" s="3">
        <f>((EX162*1.2))</f>
        <v>0</v>
      </c>
      <c r="AJ162" s="3">
        <f t="shared" si="147"/>
        <v>0</v>
      </c>
      <c r="AK162" s="3">
        <v>0.78</v>
      </c>
      <c r="AL162" s="3">
        <v>0</v>
      </c>
      <c r="AM162" s="3">
        <v>0</v>
      </c>
      <c r="AN162" s="3">
        <v>0</v>
      </c>
      <c r="AO162" s="3">
        <v>0.78</v>
      </c>
      <c r="AP162" s="3">
        <v>0</v>
      </c>
      <c r="AQ162" s="3">
        <v>7.0000000000000007E-2</v>
      </c>
      <c r="AR162" s="3">
        <v>0</v>
      </c>
      <c r="AS162" s="3">
        <v>0</v>
      </c>
      <c r="AT162" s="3">
        <v>90</v>
      </c>
      <c r="AU162" s="3">
        <v>46</v>
      </c>
      <c r="AV162" s="3">
        <v>1.0469999999999999</v>
      </c>
      <c r="AW162" s="3">
        <v>1</v>
      </c>
      <c r="AZ162" s="3">
        <v>1</v>
      </c>
      <c r="BA162" s="3">
        <v>56.35</v>
      </c>
      <c r="BB162" s="3">
        <v>1</v>
      </c>
      <c r="BC162" s="3">
        <v>1</v>
      </c>
      <c r="BD162" s="3" t="s">
        <v>3</v>
      </c>
      <c r="BE162" s="3" t="s">
        <v>3</v>
      </c>
      <c r="BF162" s="3" t="s">
        <v>3</v>
      </c>
      <c r="BG162" s="3" t="s">
        <v>3</v>
      </c>
      <c r="BH162" s="3">
        <v>0</v>
      </c>
      <c r="BI162" s="3">
        <v>2</v>
      </c>
      <c r="BJ162" s="3" t="s">
        <v>94</v>
      </c>
      <c r="BM162" s="3">
        <v>68</v>
      </c>
      <c r="BN162" s="3">
        <v>0</v>
      </c>
      <c r="BO162" s="3" t="s">
        <v>91</v>
      </c>
      <c r="BP162" s="3">
        <v>1</v>
      </c>
      <c r="BQ162" s="3">
        <v>40</v>
      </c>
      <c r="BR162" s="3">
        <v>0</v>
      </c>
      <c r="BS162" s="3">
        <v>56.35</v>
      </c>
      <c r="BT162" s="3">
        <v>1</v>
      </c>
      <c r="BU162" s="3">
        <v>1</v>
      </c>
      <c r="BV162" s="3">
        <v>1</v>
      </c>
      <c r="BW162" s="3">
        <v>1</v>
      </c>
      <c r="BX162" s="3">
        <v>1</v>
      </c>
      <c r="BY162" s="3" t="s">
        <v>3</v>
      </c>
      <c r="BZ162" s="3">
        <v>90</v>
      </c>
      <c r="CA162" s="3">
        <v>46</v>
      </c>
      <c r="CB162" s="3" t="s">
        <v>3</v>
      </c>
      <c r="CE162" s="3">
        <v>1566</v>
      </c>
      <c r="CF162" s="3">
        <v>0</v>
      </c>
      <c r="CG162" s="3">
        <v>0</v>
      </c>
      <c r="CM162" s="3">
        <v>0</v>
      </c>
      <c r="CN162" s="3" t="s">
        <v>820</v>
      </c>
      <c r="CO162" s="3">
        <v>0</v>
      </c>
      <c r="CP162" s="3">
        <f t="shared" si="148"/>
        <v>441.78</v>
      </c>
      <c r="CQ162" s="3">
        <f t="shared" si="180"/>
        <v>0</v>
      </c>
      <c r="CR162" s="3">
        <f>(ROUND((ROUND((((ET162*1.2))*AV162*1),2)*BB162),2)+ROUND((ROUND(((AE162-((EU162*1.2)))*AV162*1),2)*BS162),2))</f>
        <v>0</v>
      </c>
      <c r="CS162" s="3">
        <f>(ROUND((ROUND((((EU162*1.2))*AV162*1),2)*BS162),2)+ROUND((ROUND(((AE162-((EU162*1.2)))*AV162*1),2)*BS162),2))</f>
        <v>0</v>
      </c>
      <c r="CT162" s="3">
        <f t="shared" si="149"/>
        <v>55.22</v>
      </c>
      <c r="CU162" s="3">
        <f t="shared" si="150"/>
        <v>0</v>
      </c>
      <c r="CV162" s="3">
        <f t="shared" si="151"/>
        <v>8.7947999999999998E-2</v>
      </c>
      <c r="CW162" s="3">
        <f t="shared" si="152"/>
        <v>0</v>
      </c>
      <c r="CX162" s="3">
        <f t="shared" si="153"/>
        <v>0</v>
      </c>
      <c r="CY162" s="3">
        <f>(ROUND((((S162+ROUND((ROUND((((EU162*1.2))*AV162*1),2)*BS162),2))*AT162)/100),2)+ROUND(((ROUND((ROUND(((AE162-((EU162*1.2)))*AV162*1),2)*BS162),2)*AT162)/100),2))</f>
        <v>397.6</v>
      </c>
      <c r="CZ162" s="3">
        <f>(ROUND((((S162+ROUND((ROUND((((EU162*1.2))*AV162*1),2)*BS162),2))*AU162)/100),2)+ROUND(((ROUND((ROUND(((AE162-((EU162*1.2)))*AV162*1),2)*BS162),2)*AU162)/100),2))</f>
        <v>203.22</v>
      </c>
      <c r="DB162" s="3">
        <v>92</v>
      </c>
      <c r="DC162" s="3" t="s">
        <v>3</v>
      </c>
      <c r="DD162" s="3" t="s">
        <v>119</v>
      </c>
      <c r="DE162" s="3" t="s">
        <v>120</v>
      </c>
      <c r="DF162" s="3" t="s">
        <v>120</v>
      </c>
      <c r="DG162" s="3" t="s">
        <v>120</v>
      </c>
      <c r="DH162" s="3" t="s">
        <v>3</v>
      </c>
      <c r="DI162" s="3" t="s">
        <v>120</v>
      </c>
      <c r="DJ162" s="3" t="s">
        <v>120</v>
      </c>
      <c r="DK162" s="3" t="s">
        <v>3</v>
      </c>
      <c r="DL162" s="3" t="s">
        <v>3</v>
      </c>
      <c r="DM162" s="3" t="s">
        <v>3</v>
      </c>
      <c r="DN162" s="3">
        <v>0</v>
      </c>
      <c r="DO162" s="3">
        <v>0</v>
      </c>
      <c r="DP162" s="3">
        <v>1</v>
      </c>
      <c r="DQ162" s="3">
        <v>1</v>
      </c>
      <c r="DU162" s="3">
        <v>1013</v>
      </c>
      <c r="DV162" s="3" t="s">
        <v>93</v>
      </c>
      <c r="DW162" s="3" t="s">
        <v>93</v>
      </c>
      <c r="DX162" s="3">
        <v>1</v>
      </c>
      <c r="DZ162" s="3" t="s">
        <v>3</v>
      </c>
      <c r="EA162" s="3" t="s">
        <v>3</v>
      </c>
      <c r="EB162" s="3" t="s">
        <v>3</v>
      </c>
      <c r="EC162" s="3" t="s">
        <v>3</v>
      </c>
      <c r="EE162" s="3">
        <v>57248652</v>
      </c>
      <c r="EF162" s="3">
        <v>40</v>
      </c>
      <c r="EG162" s="3" t="s">
        <v>33</v>
      </c>
      <c r="EH162" s="3">
        <v>0</v>
      </c>
      <c r="EI162" s="3" t="s">
        <v>3</v>
      </c>
      <c r="EJ162" s="3">
        <v>2</v>
      </c>
      <c r="EK162" s="3">
        <v>68</v>
      </c>
      <c r="EL162" s="3" t="s">
        <v>34</v>
      </c>
      <c r="EM162" s="3" t="s">
        <v>35</v>
      </c>
      <c r="EO162" s="3" t="s">
        <v>124</v>
      </c>
      <c r="EQ162" s="3">
        <v>132096</v>
      </c>
      <c r="ER162" s="3">
        <v>0.78</v>
      </c>
      <c r="ES162" s="3">
        <v>0</v>
      </c>
      <c r="ET162" s="3">
        <v>0</v>
      </c>
      <c r="EU162" s="3">
        <v>0</v>
      </c>
      <c r="EV162" s="3">
        <v>0.78</v>
      </c>
      <c r="EW162" s="3">
        <v>7.0000000000000007E-2</v>
      </c>
      <c r="EX162" s="3">
        <v>0</v>
      </c>
      <c r="EY162" s="3">
        <v>0</v>
      </c>
      <c r="FQ162" s="3">
        <v>0</v>
      </c>
      <c r="FR162" s="3">
        <v>0</v>
      </c>
      <c r="FS162" s="3">
        <v>0</v>
      </c>
      <c r="FX162" s="3">
        <v>90</v>
      </c>
      <c r="FY162" s="3">
        <v>46</v>
      </c>
      <c r="GA162" s="3" t="s">
        <v>3</v>
      </c>
      <c r="GD162" s="3">
        <v>1</v>
      </c>
      <c r="GF162" s="3">
        <v>1423941871</v>
      </c>
      <c r="GG162" s="3">
        <v>2</v>
      </c>
      <c r="GH162" s="3">
        <v>1</v>
      </c>
      <c r="GI162" s="3">
        <v>2</v>
      </c>
      <c r="GJ162" s="3">
        <v>0</v>
      </c>
      <c r="GK162" s="3">
        <v>0</v>
      </c>
      <c r="GL162" s="3">
        <f t="shared" si="154"/>
        <v>0</v>
      </c>
      <c r="GM162" s="3">
        <f t="shared" si="155"/>
        <v>1042.5999999999999</v>
      </c>
      <c r="GN162" s="3">
        <f t="shared" si="156"/>
        <v>0</v>
      </c>
      <c r="GO162" s="3">
        <f t="shared" si="157"/>
        <v>1042.5999999999999</v>
      </c>
      <c r="GP162" s="3">
        <f t="shared" si="158"/>
        <v>0</v>
      </c>
      <c r="GR162" s="3">
        <v>0</v>
      </c>
      <c r="GS162" s="3">
        <v>3</v>
      </c>
      <c r="GT162" s="3">
        <v>0</v>
      </c>
      <c r="GU162" s="3" t="s">
        <v>3</v>
      </c>
      <c r="GV162" s="3">
        <f t="shared" si="159"/>
        <v>0</v>
      </c>
      <c r="GW162" s="3">
        <v>1</v>
      </c>
      <c r="GX162" s="3">
        <f t="shared" si="160"/>
        <v>0</v>
      </c>
      <c r="HA162" s="3">
        <v>0</v>
      </c>
      <c r="HB162" s="3">
        <v>0</v>
      </c>
      <c r="HC162" s="3">
        <f t="shared" si="161"/>
        <v>0</v>
      </c>
      <c r="HE162" s="3" t="s">
        <v>3</v>
      </c>
      <c r="HF162" s="3" t="s">
        <v>3</v>
      </c>
      <c r="HM162" s="3" t="s">
        <v>3</v>
      </c>
      <c r="HN162" s="3" t="s">
        <v>3</v>
      </c>
      <c r="HO162" s="3" t="s">
        <v>3</v>
      </c>
      <c r="HP162" s="3" t="s">
        <v>3</v>
      </c>
      <c r="HQ162" s="3" t="s">
        <v>3</v>
      </c>
      <c r="HS162" s="3">
        <v>0</v>
      </c>
      <c r="IK162" s="3">
        <v>0</v>
      </c>
    </row>
    <row r="163" spans="1:255" x14ac:dyDescent="0.2">
      <c r="A163" s="2">
        <v>18</v>
      </c>
      <c r="B163" s="2">
        <v>1</v>
      </c>
      <c r="C163" s="2">
        <v>216</v>
      </c>
      <c r="D163" s="2"/>
      <c r="E163" s="2" t="s">
        <v>3</v>
      </c>
      <c r="F163" s="2" t="s">
        <v>302</v>
      </c>
      <c r="G163" s="2" t="s">
        <v>303</v>
      </c>
      <c r="H163" s="2" t="s">
        <v>228</v>
      </c>
      <c r="I163" s="2">
        <f>I161*J163</f>
        <v>8</v>
      </c>
      <c r="J163" s="2">
        <v>1</v>
      </c>
      <c r="K163" s="2">
        <v>1</v>
      </c>
      <c r="L163" s="2"/>
      <c r="M163" s="2"/>
      <c r="N163" s="2"/>
      <c r="O163" s="2">
        <f t="shared" ref="O163:O180" si="181">ROUND(CP163,2)</f>
        <v>21920.639999999999</v>
      </c>
      <c r="P163" s="2">
        <f t="shared" si="179"/>
        <v>21920.639999999999</v>
      </c>
      <c r="Q163" s="2">
        <f>(ROUND((ROUND(((ET163)*AV163*I163),2)*BB163),2)+ROUND((ROUND(((AE163-(EU163))*AV163*I163),2)*BS163),2))</f>
        <v>0</v>
      </c>
      <c r="R163" s="2">
        <f>(ROUND((ROUND(((EU163)*AV163*I163),2)*BS163),2)+ROUND((ROUND(((AE163-(EU163))*AV163*I163),2)*BS163),2))</f>
        <v>0</v>
      </c>
      <c r="S163" s="2">
        <f t="shared" ref="S163:S180" si="182">ROUND((ROUND((AF163*AV163*I163),2)*BA163),2)</f>
        <v>0</v>
      </c>
      <c r="T163" s="2">
        <f t="shared" ref="T163:T180" si="183">ROUND(CU163*I163,2)</f>
        <v>0</v>
      </c>
      <c r="U163" s="2">
        <f t="shared" ref="U163:U180" si="184">CV163*I163</f>
        <v>0</v>
      </c>
      <c r="V163" s="2">
        <f t="shared" ref="V163:V180" si="185">CW163*I163</f>
        <v>0</v>
      </c>
      <c r="W163" s="2">
        <f t="shared" ref="W163:W180" si="186">ROUND(CX163*I163,2)</f>
        <v>0</v>
      </c>
      <c r="X163" s="2">
        <f>(ROUND((((S163+ROUND((ROUND(((EU163)*AV163*I163),2)*BS163),2))*AT163)/100),2)+ROUND(((ROUND((ROUND(((AE163-(EU163))*AV163*I163),2)*BS163),2)*AT163)/100),2))</f>
        <v>0</v>
      </c>
      <c r="Y163" s="2">
        <f>(ROUND((((S163+ROUND((ROUND(((EU163)*AV163*I163),2)*BS163),2))*AU163)/100),2)+ROUND(((ROUND((ROUND(((AE163-(EU163))*AV163*I163),2)*BS163),2)*AU163)/100),2))</f>
        <v>0</v>
      </c>
      <c r="Z163" s="2"/>
      <c r="AA163" s="2">
        <v>-1</v>
      </c>
      <c r="AB163" s="2">
        <f t="shared" ref="AB163:AB180" si="187">ROUND((AC163+AD163+AF163),6)</f>
        <v>2740.08</v>
      </c>
      <c r="AC163" s="2">
        <f>ROUND((ES163),6)</f>
        <v>2740.08</v>
      </c>
      <c r="AD163" s="2">
        <f>ROUND((((ET163)-(EU163))+AE163),6)</f>
        <v>0</v>
      </c>
      <c r="AE163" s="2">
        <f>ROUND((EU163),6)</f>
        <v>0</v>
      </c>
      <c r="AF163" s="2">
        <f>ROUND((EV163),6)</f>
        <v>0</v>
      </c>
      <c r="AG163" s="2">
        <f t="shared" ref="AG163:AG180" si="188">ROUND((AP163),6)</f>
        <v>0</v>
      </c>
      <c r="AH163" s="2">
        <f>(EW163)</f>
        <v>0</v>
      </c>
      <c r="AI163" s="2">
        <f>(EX163)</f>
        <v>0</v>
      </c>
      <c r="AJ163" s="2">
        <f t="shared" ref="AJ163:AJ180" si="189">(AS163)</f>
        <v>0</v>
      </c>
      <c r="AK163" s="2">
        <v>2740.08</v>
      </c>
      <c r="AL163" s="2">
        <v>2740.08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90</v>
      </c>
      <c r="AU163" s="2">
        <v>46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2</v>
      </c>
      <c r="BJ163" s="2" t="s">
        <v>304</v>
      </c>
      <c r="BK163" s="2"/>
      <c r="BL163" s="2"/>
      <c r="BM163" s="2">
        <v>68</v>
      </c>
      <c r="BN163" s="2">
        <v>0</v>
      </c>
      <c r="BO163" s="2" t="s">
        <v>3</v>
      </c>
      <c r="BP163" s="2">
        <v>0</v>
      </c>
      <c r="BQ163" s="2">
        <v>40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90</v>
      </c>
      <c r="CA163" s="2">
        <v>46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821</v>
      </c>
      <c r="CO163" s="2">
        <v>0</v>
      </c>
      <c r="CP163" s="2">
        <f t="shared" ref="CP163:CP180" si="190">(P163+Q163+S163)</f>
        <v>21920.639999999999</v>
      </c>
      <c r="CQ163" s="2">
        <f t="shared" si="180"/>
        <v>2740.08</v>
      </c>
      <c r="CR163" s="2">
        <f>(ROUND((ROUND(((ET163)*AV163*1),2)*BB163),2)+ROUND((ROUND(((AE163-(EU163))*AV163*1),2)*BS163),2))</f>
        <v>0</v>
      </c>
      <c r="CS163" s="2">
        <f>(ROUND((ROUND(((EU163)*AV163*1),2)*BS163),2)+ROUND((ROUND(((AE163-(EU163))*AV163*1),2)*BS163),2))</f>
        <v>0</v>
      </c>
      <c r="CT163" s="2">
        <f t="shared" ref="CT163:CT180" si="191">ROUND((ROUND((AF163*AV163*1),2)*BA163),2)</f>
        <v>0</v>
      </c>
      <c r="CU163" s="2">
        <f t="shared" ref="CU163:CU180" si="192">AG163</f>
        <v>0</v>
      </c>
      <c r="CV163" s="2">
        <f t="shared" ref="CV163:CV180" si="193">(AH163*AV163)</f>
        <v>0</v>
      </c>
      <c r="CW163" s="2">
        <f t="shared" ref="CW163:CW180" si="194">AI163</f>
        <v>0</v>
      </c>
      <c r="CX163" s="2">
        <f t="shared" ref="CX163:CX180" si="195">AJ163</f>
        <v>0</v>
      </c>
      <c r="CY163" s="2">
        <f>(ROUND((((S163+ROUND((ROUND(((EU163)*AV163*1),2)*BS163),2))*AT163)/100),2)+ROUND(((ROUND((ROUND(((AE163-(EU163))*AV163*1),2)*BS163),2)*AT163)/100),2))</f>
        <v>0</v>
      </c>
      <c r="CZ163" s="2">
        <f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1010</v>
      </c>
      <c r="DV163" s="2" t="s">
        <v>228</v>
      </c>
      <c r="DW163" s="2" t="s">
        <v>228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57248652</v>
      </c>
      <c r="EF163" s="2">
        <v>40</v>
      </c>
      <c r="EG163" s="2" t="s">
        <v>33</v>
      </c>
      <c r="EH163" s="2">
        <v>0</v>
      </c>
      <c r="EI163" s="2" t="s">
        <v>3</v>
      </c>
      <c r="EJ163" s="2">
        <v>2</v>
      </c>
      <c r="EK163" s="2">
        <v>68</v>
      </c>
      <c r="EL163" s="2" t="s">
        <v>34</v>
      </c>
      <c r="EM163" s="2" t="s">
        <v>35</v>
      </c>
      <c r="EN163" s="2"/>
      <c r="EO163" s="2" t="s">
        <v>124</v>
      </c>
      <c r="EP163" s="2"/>
      <c r="EQ163" s="2">
        <v>1024</v>
      </c>
      <c r="ER163" s="2">
        <v>2740.08</v>
      </c>
      <c r="ES163" s="2">
        <v>2740.08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90</v>
      </c>
      <c r="FY163" s="2">
        <v>46</v>
      </c>
      <c r="FZ163" s="2"/>
      <c r="GA163" s="2" t="s">
        <v>3</v>
      </c>
      <c r="GB163" s="2"/>
      <c r="GC163" s="2"/>
      <c r="GD163" s="2">
        <v>1</v>
      </c>
      <c r="GE163" s="2"/>
      <c r="GF163" s="2">
        <v>-1253698249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ref="GL163:GL180" si="196">ROUND(IF(AND(BH163=3,BI163=3,FS163&lt;&gt;0),P163,0),2)</f>
        <v>0</v>
      </c>
      <c r="GM163" s="2">
        <f t="shared" ref="GM163:GM180" si="197">ROUND(O163+X163+Y163,2)+GX163</f>
        <v>21920.639999999999</v>
      </c>
      <c r="GN163" s="2">
        <f t="shared" ref="GN163:GN180" si="198">IF(OR(BI163=0,BI163=1),GM163-GX163,0)</f>
        <v>0</v>
      </c>
      <c r="GO163" s="2">
        <f t="shared" ref="GO163:GO180" si="199">IF(BI163=2,GM163-GX163,0)</f>
        <v>21920.639999999999</v>
      </c>
      <c r="GP163" s="2">
        <f t="shared" ref="GP163:GP180" si="200">IF(BI163=4,GM163-GX163,0)</f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ref="GV163:GV180" si="201">ROUND((GT163),6)</f>
        <v>0</v>
      </c>
      <c r="GW163" s="2">
        <v>1</v>
      </c>
      <c r="GX163" s="2">
        <f t="shared" ref="GX163:GX180" si="202">ROUND(HC163*I163,2)</f>
        <v>0</v>
      </c>
      <c r="GY163" s="2"/>
      <c r="GZ163" s="2"/>
      <c r="HA163" s="2">
        <v>0</v>
      </c>
      <c r="HB163" s="2">
        <v>0</v>
      </c>
      <c r="HC163" s="2">
        <f t="shared" ref="HC163:HC180" si="203">GV163*GW163</f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3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3">
        <v>18</v>
      </c>
      <c r="B164" s="3">
        <v>1</v>
      </c>
      <c r="C164" s="3">
        <v>218</v>
      </c>
      <c r="E164" s="3" t="s">
        <v>3</v>
      </c>
      <c r="F164" s="3" t="s">
        <v>302</v>
      </c>
      <c r="G164" s="3" t="s">
        <v>303</v>
      </c>
      <c r="H164" s="3" t="s">
        <v>228</v>
      </c>
      <c r="I164" s="3">
        <f>I162*J164</f>
        <v>8</v>
      </c>
      <c r="J164" s="3">
        <v>1</v>
      </c>
      <c r="K164" s="3">
        <v>1</v>
      </c>
      <c r="O164" s="3">
        <f t="shared" si="181"/>
        <v>130647.01</v>
      </c>
      <c r="P164" s="3">
        <f t="shared" si="179"/>
        <v>130647.01</v>
      </c>
      <c r="Q164" s="3">
        <f>(ROUND((ROUND(((ET164)*AV164*I164),2)*BB164),2)+ROUND((ROUND(((AE164-(EU164))*AV164*I164),2)*BS164),2))</f>
        <v>0</v>
      </c>
      <c r="R164" s="3">
        <f>(ROUND((ROUND(((EU164)*AV164*I164),2)*BS164),2)+ROUND((ROUND(((AE164-(EU164))*AV164*I164),2)*BS164),2))</f>
        <v>0</v>
      </c>
      <c r="S164" s="3">
        <f t="shared" si="182"/>
        <v>0</v>
      </c>
      <c r="T164" s="3">
        <f t="shared" si="183"/>
        <v>0</v>
      </c>
      <c r="U164" s="3">
        <f t="shared" si="184"/>
        <v>0</v>
      </c>
      <c r="V164" s="3">
        <f t="shared" si="185"/>
        <v>0</v>
      </c>
      <c r="W164" s="3">
        <f t="shared" si="186"/>
        <v>0</v>
      </c>
      <c r="X164" s="3">
        <f>(ROUND((((S164+ROUND((ROUND(((EU164)*AV164*I164),2)*BS164),2))*AT164)/100),2)+ROUND(((ROUND((ROUND(((AE164-(EU164))*AV164*I164),2)*BS164),2)*AT164)/100),2))</f>
        <v>0</v>
      </c>
      <c r="Y164" s="3">
        <f>(ROUND((((S164+ROUND((ROUND(((EU164)*AV164*I164),2)*BS164),2))*AU164)/100),2)+ROUND(((ROUND((ROUND(((AE164-(EU164))*AV164*I164),2)*BS164),2)*AU164)/100),2))</f>
        <v>0</v>
      </c>
      <c r="AA164" s="3">
        <v>-1</v>
      </c>
      <c r="AB164" s="3">
        <f t="shared" si="187"/>
        <v>2740.08</v>
      </c>
      <c r="AC164" s="3">
        <f>ROUND((ES164),6)</f>
        <v>2740.08</v>
      </c>
      <c r="AD164" s="3">
        <f>ROUND((((ET164)-(EU164))+AE164),6)</f>
        <v>0</v>
      </c>
      <c r="AE164" s="3">
        <f>ROUND((EU164),6)</f>
        <v>0</v>
      </c>
      <c r="AF164" s="3">
        <f>ROUND((EV164),6)</f>
        <v>0</v>
      </c>
      <c r="AG164" s="3">
        <f t="shared" si="188"/>
        <v>0</v>
      </c>
      <c r="AH164" s="3">
        <f>(EW164)</f>
        <v>0</v>
      </c>
      <c r="AI164" s="3">
        <f>(EX164)</f>
        <v>0</v>
      </c>
      <c r="AJ164" s="3">
        <f t="shared" si="189"/>
        <v>0</v>
      </c>
      <c r="AK164" s="3">
        <v>2740.08</v>
      </c>
      <c r="AL164" s="3">
        <v>2740.08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90</v>
      </c>
      <c r="AU164" s="3">
        <v>46</v>
      </c>
      <c r="AV164" s="3">
        <v>1</v>
      </c>
      <c r="AW164" s="3">
        <v>1</v>
      </c>
      <c r="AZ164" s="3">
        <v>1</v>
      </c>
      <c r="BA164" s="3">
        <v>1</v>
      </c>
      <c r="BB164" s="3">
        <v>1</v>
      </c>
      <c r="BC164" s="3">
        <v>5.96</v>
      </c>
      <c r="BD164" s="3" t="s">
        <v>3</v>
      </c>
      <c r="BE164" s="3" t="s">
        <v>3</v>
      </c>
      <c r="BF164" s="3" t="s">
        <v>3</v>
      </c>
      <c r="BG164" s="3" t="s">
        <v>3</v>
      </c>
      <c r="BH164" s="3">
        <v>3</v>
      </c>
      <c r="BI164" s="3">
        <v>2</v>
      </c>
      <c r="BJ164" s="3" t="s">
        <v>304</v>
      </c>
      <c r="BM164" s="3">
        <v>68</v>
      </c>
      <c r="BN164" s="3">
        <v>0</v>
      </c>
      <c r="BO164" s="3" t="s">
        <v>302</v>
      </c>
      <c r="BP164" s="3">
        <v>1</v>
      </c>
      <c r="BQ164" s="3">
        <v>40</v>
      </c>
      <c r="BR164" s="3">
        <v>0</v>
      </c>
      <c r="BS164" s="3">
        <v>1</v>
      </c>
      <c r="BT164" s="3">
        <v>1</v>
      </c>
      <c r="BU164" s="3">
        <v>1</v>
      </c>
      <c r="BV164" s="3">
        <v>1</v>
      </c>
      <c r="BW164" s="3">
        <v>1</v>
      </c>
      <c r="BX164" s="3">
        <v>1</v>
      </c>
      <c r="BY164" s="3" t="s">
        <v>3</v>
      </c>
      <c r="BZ164" s="3">
        <v>90</v>
      </c>
      <c r="CA164" s="3">
        <v>46</v>
      </c>
      <c r="CB164" s="3" t="s">
        <v>3</v>
      </c>
      <c r="CE164" s="3">
        <v>1566</v>
      </c>
      <c r="CF164" s="3">
        <v>0</v>
      </c>
      <c r="CG164" s="3">
        <v>0</v>
      </c>
      <c r="CM164" s="3">
        <v>0</v>
      </c>
      <c r="CN164" s="3" t="s">
        <v>821</v>
      </c>
      <c r="CO164" s="3">
        <v>0</v>
      </c>
      <c r="CP164" s="3">
        <f t="shared" si="190"/>
        <v>130647.01</v>
      </c>
      <c r="CQ164" s="3">
        <f t="shared" si="180"/>
        <v>16330.88</v>
      </c>
      <c r="CR164" s="3">
        <f>(ROUND((ROUND(((ET164)*AV164*1),2)*BB164),2)+ROUND((ROUND(((AE164-(EU164))*AV164*1),2)*BS164),2))</f>
        <v>0</v>
      </c>
      <c r="CS164" s="3">
        <f>(ROUND((ROUND(((EU164)*AV164*1),2)*BS164),2)+ROUND((ROUND(((AE164-(EU164))*AV164*1),2)*BS164),2))</f>
        <v>0</v>
      </c>
      <c r="CT164" s="3">
        <f t="shared" si="191"/>
        <v>0</v>
      </c>
      <c r="CU164" s="3">
        <f t="shared" si="192"/>
        <v>0</v>
      </c>
      <c r="CV164" s="3">
        <f t="shared" si="193"/>
        <v>0</v>
      </c>
      <c r="CW164" s="3">
        <f t="shared" si="194"/>
        <v>0</v>
      </c>
      <c r="CX164" s="3">
        <f t="shared" si="195"/>
        <v>0</v>
      </c>
      <c r="CY164" s="3">
        <f>(ROUND((((S164+ROUND((ROUND(((EU164)*AV164*1),2)*BS164),2))*AT164)/100),2)+ROUND(((ROUND((ROUND(((AE164-(EU164))*AV164*1),2)*BS164),2)*AT164)/100),2))</f>
        <v>0</v>
      </c>
      <c r="CZ164" s="3">
        <f>(ROUND((((S164+ROUND((ROUND(((EU164)*AV164*1),2)*BS164),2))*AU164)/100),2)+ROUND(((ROUND((ROUND(((AE164-(EU164))*AV164*1),2)*BS164),2)*AU164)/100),2))</f>
        <v>0</v>
      </c>
      <c r="DC164" s="3" t="s">
        <v>3</v>
      </c>
      <c r="DD164" s="3" t="s">
        <v>3</v>
      </c>
      <c r="DE164" s="3" t="s">
        <v>3</v>
      </c>
      <c r="DF164" s="3" t="s">
        <v>3</v>
      </c>
      <c r="DG164" s="3" t="s">
        <v>3</v>
      </c>
      <c r="DH164" s="3" t="s">
        <v>3</v>
      </c>
      <c r="DI164" s="3" t="s">
        <v>3</v>
      </c>
      <c r="DJ164" s="3" t="s">
        <v>3</v>
      </c>
      <c r="DK164" s="3" t="s">
        <v>3</v>
      </c>
      <c r="DL164" s="3" t="s">
        <v>3</v>
      </c>
      <c r="DM164" s="3" t="s">
        <v>3</v>
      </c>
      <c r="DN164" s="3">
        <v>0</v>
      </c>
      <c r="DO164" s="3">
        <v>0</v>
      </c>
      <c r="DP164" s="3">
        <v>1</v>
      </c>
      <c r="DQ164" s="3">
        <v>1</v>
      </c>
      <c r="DU164" s="3">
        <v>1010</v>
      </c>
      <c r="DV164" s="3" t="s">
        <v>228</v>
      </c>
      <c r="DW164" s="3" t="s">
        <v>228</v>
      </c>
      <c r="DX164" s="3">
        <v>1</v>
      </c>
      <c r="DZ164" s="3" t="s">
        <v>3</v>
      </c>
      <c r="EA164" s="3" t="s">
        <v>3</v>
      </c>
      <c r="EB164" s="3" t="s">
        <v>3</v>
      </c>
      <c r="EC164" s="3" t="s">
        <v>3</v>
      </c>
      <c r="EE164" s="3">
        <v>57248652</v>
      </c>
      <c r="EF164" s="3">
        <v>40</v>
      </c>
      <c r="EG164" s="3" t="s">
        <v>33</v>
      </c>
      <c r="EH164" s="3">
        <v>0</v>
      </c>
      <c r="EI164" s="3" t="s">
        <v>3</v>
      </c>
      <c r="EJ164" s="3">
        <v>2</v>
      </c>
      <c r="EK164" s="3">
        <v>68</v>
      </c>
      <c r="EL164" s="3" t="s">
        <v>34</v>
      </c>
      <c r="EM164" s="3" t="s">
        <v>35</v>
      </c>
      <c r="EO164" s="3" t="s">
        <v>124</v>
      </c>
      <c r="EQ164" s="3">
        <v>1024</v>
      </c>
      <c r="ER164" s="3">
        <v>2740.08</v>
      </c>
      <c r="ES164" s="3">
        <v>2740.08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FQ164" s="3">
        <v>0</v>
      </c>
      <c r="FR164" s="3">
        <v>0</v>
      </c>
      <c r="FS164" s="3">
        <v>0</v>
      </c>
      <c r="FX164" s="3">
        <v>90</v>
      </c>
      <c r="FY164" s="3">
        <v>46</v>
      </c>
      <c r="GA164" s="3" t="s">
        <v>3</v>
      </c>
      <c r="GD164" s="3">
        <v>1</v>
      </c>
      <c r="GF164" s="3">
        <v>-1253698249</v>
      </c>
      <c r="GG164" s="3">
        <v>2</v>
      </c>
      <c r="GH164" s="3">
        <v>1</v>
      </c>
      <c r="GI164" s="3">
        <v>2</v>
      </c>
      <c r="GJ164" s="3">
        <v>0</v>
      </c>
      <c r="GK164" s="3">
        <v>0</v>
      </c>
      <c r="GL164" s="3">
        <f t="shared" si="196"/>
        <v>0</v>
      </c>
      <c r="GM164" s="3">
        <f t="shared" si="197"/>
        <v>130647.01</v>
      </c>
      <c r="GN164" s="3">
        <f t="shared" si="198"/>
        <v>0</v>
      </c>
      <c r="GO164" s="3">
        <f t="shared" si="199"/>
        <v>130647.01</v>
      </c>
      <c r="GP164" s="3">
        <f t="shared" si="200"/>
        <v>0</v>
      </c>
      <c r="GR164" s="3">
        <v>0</v>
      </c>
      <c r="GS164" s="3">
        <v>3</v>
      </c>
      <c r="GT164" s="3">
        <v>0</v>
      </c>
      <c r="GU164" s="3" t="s">
        <v>3</v>
      </c>
      <c r="GV164" s="3">
        <f t="shared" si="201"/>
        <v>0</v>
      </c>
      <c r="GW164" s="3">
        <v>1</v>
      </c>
      <c r="GX164" s="3">
        <f t="shared" si="202"/>
        <v>0</v>
      </c>
      <c r="HA164" s="3">
        <v>0</v>
      </c>
      <c r="HB164" s="3">
        <v>0</v>
      </c>
      <c r="HC164" s="3">
        <f t="shared" si="203"/>
        <v>0</v>
      </c>
      <c r="HE164" s="3" t="s">
        <v>3</v>
      </c>
      <c r="HF164" s="3" t="s">
        <v>3</v>
      </c>
      <c r="HM164" s="3" t="s">
        <v>3</v>
      </c>
      <c r="HN164" s="3" t="s">
        <v>3</v>
      </c>
      <c r="HO164" s="3" t="s">
        <v>3</v>
      </c>
      <c r="HP164" s="3" t="s">
        <v>3</v>
      </c>
      <c r="HQ164" s="3" t="s">
        <v>3</v>
      </c>
      <c r="HS164" s="3">
        <v>0</v>
      </c>
      <c r="IK164" s="3">
        <v>0</v>
      </c>
    </row>
    <row r="165" spans="1:255" x14ac:dyDescent="0.2">
      <c r="A165" s="2">
        <v>17</v>
      </c>
      <c r="B165" s="2">
        <v>1</v>
      </c>
      <c r="C165" s="2">
        <f>ROW(SmtRes!A225)</f>
        <v>225</v>
      </c>
      <c r="D165" s="2">
        <f>ROW(EtalonRes!A289)</f>
        <v>289</v>
      </c>
      <c r="E165" s="2" t="s">
        <v>305</v>
      </c>
      <c r="F165" s="2" t="s">
        <v>96</v>
      </c>
      <c r="G165" s="2" t="s">
        <v>306</v>
      </c>
      <c r="H165" s="2" t="s">
        <v>67</v>
      </c>
      <c r="I165" s="2">
        <f>ROUND(4/100,9)</f>
        <v>0.04</v>
      </c>
      <c r="J165" s="2">
        <v>0</v>
      </c>
      <c r="K165" s="2">
        <f>ROUND(4/100,9)</f>
        <v>0.04</v>
      </c>
      <c r="L165" s="2"/>
      <c r="M165" s="2"/>
      <c r="N165" s="2"/>
      <c r="O165" s="2">
        <f t="shared" si="181"/>
        <v>18.100000000000001</v>
      </c>
      <c r="P165" s="2">
        <f t="shared" si="179"/>
        <v>5.29</v>
      </c>
      <c r="Q165" s="2">
        <f>(ROUND((ROUND(((((ET165*1.25)*1.2))*AV165*I165),2)*BB165),2)+ROUND((ROUND(((AE165-(((EU165*1.25)*1.2)))*AV165*I165),2)*BS165),2))</f>
        <v>1.22</v>
      </c>
      <c r="R165" s="2">
        <f>(ROUND((ROUND(((((EU165*1.25)*1.2))*AV165*I165),2)*BS165),2)+ROUND((ROUND(((AE165-(((EU165*1.25)*1.2)))*AV165*I165),2)*BS165),2))</f>
        <v>0.15</v>
      </c>
      <c r="S165" s="2">
        <f t="shared" si="182"/>
        <v>11.59</v>
      </c>
      <c r="T165" s="2">
        <f t="shared" si="183"/>
        <v>0</v>
      </c>
      <c r="U165" s="2">
        <f t="shared" si="184"/>
        <v>0.69422776799999997</v>
      </c>
      <c r="V165" s="2">
        <f t="shared" si="185"/>
        <v>0</v>
      </c>
      <c r="W165" s="2">
        <f t="shared" si="186"/>
        <v>0</v>
      </c>
      <c r="X165" s="2">
        <f>(ROUND((((S165+ROUND((ROUND(((((EU165*1.25)*1.2))*AV165*I165),2)*BS165),2))*AT165)/100),2)+ROUND(((ROUND((ROUND(((AE165-(((EU165*1.25)*1.2)))*AV165*I165),2)*BS165),2)*AT165)/100),2))</f>
        <v>10.92</v>
      </c>
      <c r="Y165" s="2">
        <f>(ROUND((((S165+ROUND((ROUND(((((EU165*1.25)*1.2))*AV165*I165),2)*BS165),2))*AU165)/100),2)+ROUND(((ROUND((ROUND(((AE165-(((EU165*1.25)*1.2)))*AV165*I165),2)*BS165),2)*AU165)/100),2))</f>
        <v>7.28</v>
      </c>
      <c r="Z165" s="2"/>
      <c r="AA165" s="2">
        <v>57248835</v>
      </c>
      <c r="AB165" s="2">
        <f t="shared" si="187"/>
        <v>426.89440000000002</v>
      </c>
      <c r="AC165" s="2">
        <f>ROUND((((ES165*1)*1)),6)</f>
        <v>132.34</v>
      </c>
      <c r="AD165" s="2">
        <f>ROUND((((((ET165*1.25)*1.2))-(((EU165*1.25)*1.2)))+AE165),6)</f>
        <v>28.035</v>
      </c>
      <c r="AE165" s="2">
        <f>ROUND((((EU165*1.25)*1.2)),6)</f>
        <v>3.4049999999999998</v>
      </c>
      <c r="AF165" s="2">
        <f>ROUND((((EV165*1.15)*1.2)),6)</f>
        <v>266.51940000000002</v>
      </c>
      <c r="AG165" s="2">
        <f t="shared" si="188"/>
        <v>0</v>
      </c>
      <c r="AH165" s="2">
        <f>(((EW165*1.15)*1.2))</f>
        <v>15.966599999999998</v>
      </c>
      <c r="AI165" s="2">
        <f>(((EX165*1.25)*1.2))</f>
        <v>0</v>
      </c>
      <c r="AJ165" s="2">
        <f t="shared" si="189"/>
        <v>0</v>
      </c>
      <c r="AK165" s="2">
        <v>344.16</v>
      </c>
      <c r="AL165" s="2">
        <v>132.34</v>
      </c>
      <c r="AM165" s="2">
        <v>18.690000000000001</v>
      </c>
      <c r="AN165" s="2">
        <v>2.27</v>
      </c>
      <c r="AO165" s="2">
        <v>193.13</v>
      </c>
      <c r="AP165" s="2">
        <v>0</v>
      </c>
      <c r="AQ165" s="2">
        <v>11.57</v>
      </c>
      <c r="AR165" s="2">
        <v>0</v>
      </c>
      <c r="AS165" s="2">
        <v>0</v>
      </c>
      <c r="AT165" s="2">
        <v>93</v>
      </c>
      <c r="AU165" s="2">
        <v>62</v>
      </c>
      <c r="AV165" s="2">
        <v>1.087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0</v>
      </c>
      <c r="BI165" s="2">
        <v>1</v>
      </c>
      <c r="BJ165" s="2" t="s">
        <v>98</v>
      </c>
      <c r="BK165" s="2"/>
      <c r="BL165" s="2"/>
      <c r="BM165" s="2">
        <v>55</v>
      </c>
      <c r="BN165" s="2">
        <v>0</v>
      </c>
      <c r="BO165" s="2" t="s">
        <v>96</v>
      </c>
      <c r="BP165" s="2">
        <v>1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93</v>
      </c>
      <c r="CA165" s="2">
        <v>62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824</v>
      </c>
      <c r="CO165" s="2">
        <v>0</v>
      </c>
      <c r="CP165" s="2">
        <f t="shared" si="190"/>
        <v>18.100000000000001</v>
      </c>
      <c r="CQ165" s="2">
        <f t="shared" si="180"/>
        <v>132.34</v>
      </c>
      <c r="CR165" s="2">
        <f>(ROUND((ROUND(((((ET165*1.25)*1.2))*AV165*1),2)*BB165),2)+ROUND((ROUND(((AE165-(((EU165*1.25)*1.2)))*AV165*1),2)*BS165),2))</f>
        <v>30.47</v>
      </c>
      <c r="CS165" s="2">
        <f>(ROUND((ROUND(((((EU165*1.25)*1.2))*AV165*1),2)*BS165),2)+ROUND((ROUND(((AE165-(((EU165*1.25)*1.2)))*AV165*1),2)*BS165),2))</f>
        <v>3.7</v>
      </c>
      <c r="CT165" s="2">
        <f t="shared" si="191"/>
        <v>289.70999999999998</v>
      </c>
      <c r="CU165" s="2">
        <f t="shared" si="192"/>
        <v>0</v>
      </c>
      <c r="CV165" s="2">
        <f t="shared" si="193"/>
        <v>17.355694199999999</v>
      </c>
      <c r="CW165" s="2">
        <f t="shared" si="194"/>
        <v>0</v>
      </c>
      <c r="CX165" s="2">
        <f t="shared" si="195"/>
        <v>0</v>
      </c>
      <c r="CY165" s="2">
        <f>(ROUND((((S165+ROUND((ROUND(((((EU165*1.25)*1.2))*AV165*1),2)*BS165),2))*AT165)/100),2)+ROUND(((ROUND((ROUND(((AE165-(((EU165*1.25)*1.2)))*AV165*1),2)*BS165),2)*AT165)/100),2))</f>
        <v>14.22</v>
      </c>
      <c r="CZ165" s="2">
        <f>(ROUND((((S165+ROUND((ROUND(((((EU165*1.25)*1.2))*AV165*1),2)*BS165),2))*AU165)/100),2)+ROUND(((ROUND((ROUND(((AE165-(((EU165*1.25)*1.2)))*AV165*1),2)*BS165),2)*AU165)/100),2))</f>
        <v>9.48</v>
      </c>
      <c r="DA165" s="2"/>
      <c r="DB165" s="2">
        <v>93</v>
      </c>
      <c r="DC165" s="2" t="s">
        <v>3</v>
      </c>
      <c r="DD165" s="2" t="s">
        <v>291</v>
      </c>
      <c r="DE165" s="2" t="s">
        <v>292</v>
      </c>
      <c r="DF165" s="2" t="s">
        <v>292</v>
      </c>
      <c r="DG165" s="2" t="s">
        <v>293</v>
      </c>
      <c r="DH165" s="2" t="s">
        <v>3</v>
      </c>
      <c r="DI165" s="2" t="s">
        <v>293</v>
      </c>
      <c r="DJ165" s="2" t="s">
        <v>292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67</v>
      </c>
      <c r="DW165" s="2" t="s">
        <v>67</v>
      </c>
      <c r="DX165" s="2">
        <v>100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57248639</v>
      </c>
      <c r="EF165" s="2">
        <v>30</v>
      </c>
      <c r="EG165" s="2" t="s">
        <v>86</v>
      </c>
      <c r="EH165" s="2">
        <v>0</v>
      </c>
      <c r="EI165" s="2" t="s">
        <v>3</v>
      </c>
      <c r="EJ165" s="2">
        <v>1</v>
      </c>
      <c r="EK165" s="2">
        <v>55</v>
      </c>
      <c r="EL165" s="2" t="s">
        <v>99</v>
      </c>
      <c r="EM165" s="2" t="s">
        <v>100</v>
      </c>
      <c r="EN165" s="2"/>
      <c r="EO165" s="2" t="s">
        <v>294</v>
      </c>
      <c r="EP165" s="2"/>
      <c r="EQ165" s="2">
        <v>131072</v>
      </c>
      <c r="ER165" s="2">
        <v>344.16</v>
      </c>
      <c r="ES165" s="2">
        <v>132.34</v>
      </c>
      <c r="ET165" s="2">
        <v>18.690000000000001</v>
      </c>
      <c r="EU165" s="2">
        <v>2.27</v>
      </c>
      <c r="EV165" s="2">
        <v>193.13</v>
      </c>
      <c r="EW165" s="2">
        <v>11.57</v>
      </c>
      <c r="EX165" s="2">
        <v>0</v>
      </c>
      <c r="EY165" s="2">
        <v>0</v>
      </c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93</v>
      </c>
      <c r="FY165" s="2">
        <v>62</v>
      </c>
      <c r="FZ165" s="2"/>
      <c r="GA165" s="2" t="s">
        <v>3</v>
      </c>
      <c r="GB165" s="2"/>
      <c r="GC165" s="2"/>
      <c r="GD165" s="2">
        <v>1</v>
      </c>
      <c r="GE165" s="2"/>
      <c r="GF165" s="2">
        <v>-1871155761</v>
      </c>
      <c r="GG165" s="2">
        <v>2</v>
      </c>
      <c r="GH165" s="2">
        <v>1</v>
      </c>
      <c r="GI165" s="2">
        <v>2</v>
      </c>
      <c r="GJ165" s="2">
        <v>0</v>
      </c>
      <c r="GK165" s="2">
        <v>0</v>
      </c>
      <c r="GL165" s="2">
        <f t="shared" si="196"/>
        <v>0</v>
      </c>
      <c r="GM165" s="2">
        <f t="shared" si="197"/>
        <v>36.299999999999997</v>
      </c>
      <c r="GN165" s="2">
        <f t="shared" si="198"/>
        <v>36.299999999999997</v>
      </c>
      <c r="GO165" s="2">
        <f t="shared" si="199"/>
        <v>0</v>
      </c>
      <c r="GP165" s="2">
        <f t="shared" si="200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1"/>
        <v>0</v>
      </c>
      <c r="GW165" s="2">
        <v>1</v>
      </c>
      <c r="GX165" s="2">
        <f t="shared" si="202"/>
        <v>0</v>
      </c>
      <c r="GY165" s="2"/>
      <c r="GZ165" s="2"/>
      <c r="HA165" s="2">
        <v>0</v>
      </c>
      <c r="HB165" s="2">
        <v>0</v>
      </c>
      <c r="HC165" s="2">
        <f t="shared" si="203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3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3">
        <v>17</v>
      </c>
      <c r="B166" s="3">
        <v>1</v>
      </c>
      <c r="C166" s="3">
        <f>ROW(SmtRes!A232)</f>
        <v>232</v>
      </c>
      <c r="D166" s="3">
        <f>ROW(EtalonRes!A296)</f>
        <v>296</v>
      </c>
      <c r="E166" s="3" t="s">
        <v>305</v>
      </c>
      <c r="F166" s="3" t="s">
        <v>96</v>
      </c>
      <c r="G166" s="3" t="s">
        <v>306</v>
      </c>
      <c r="H166" s="3" t="s">
        <v>67</v>
      </c>
      <c r="I166" s="3">
        <f>ROUND(4/100,9)</f>
        <v>0.04</v>
      </c>
      <c r="J166" s="3">
        <v>0</v>
      </c>
      <c r="K166" s="3">
        <f>ROUND(4/100,9)</f>
        <v>0.04</v>
      </c>
      <c r="O166" s="3">
        <f t="shared" si="181"/>
        <v>690.41</v>
      </c>
      <c r="P166" s="3">
        <f t="shared" si="179"/>
        <v>18.3</v>
      </c>
      <c r="Q166" s="3">
        <f>(ROUND((ROUND(((((ET166*1.25)*1.2))*AV166*I166),2)*BB166),2)+ROUND((ROUND(((AE166-(((EU166*1.25)*1.2)))*AV166*I166),2)*BS166),2))</f>
        <v>19.010000000000002</v>
      </c>
      <c r="R166" s="3">
        <f>(ROUND((ROUND(((((EU166*1.25)*1.2))*AV166*I166),2)*BS166),2)+ROUND((ROUND(((AE166-(((EU166*1.25)*1.2)))*AV166*I166),2)*BS166),2))</f>
        <v>8.4499999999999993</v>
      </c>
      <c r="S166" s="3">
        <f t="shared" si="182"/>
        <v>653.1</v>
      </c>
      <c r="T166" s="3">
        <f t="shared" si="183"/>
        <v>0</v>
      </c>
      <c r="U166" s="3">
        <f t="shared" si="184"/>
        <v>0.69422776799999997</v>
      </c>
      <c r="V166" s="3">
        <f t="shared" si="185"/>
        <v>0</v>
      </c>
      <c r="W166" s="3">
        <f t="shared" si="186"/>
        <v>0</v>
      </c>
      <c r="X166" s="3">
        <f>(ROUND((((S166+ROUND((ROUND(((((EU166*1.25)*1.2))*AV166*I166),2)*BS166),2))*AT166)/100),2)+ROUND(((ROUND((ROUND(((AE166-(((EU166*1.25)*1.2)))*AV166*I166),2)*BS166),2)*AT166)/100),2))</f>
        <v>615.24</v>
      </c>
      <c r="Y166" s="3">
        <f>(ROUND((((S166+ROUND((ROUND(((((EU166*1.25)*1.2))*AV166*I166),2)*BS166),2))*AU166)/100),2)+ROUND(((ROUND((ROUND(((AE166-(((EU166*1.25)*1.2)))*AV166*I166),2)*BS166),2)*AU166)/100),2))</f>
        <v>410.16</v>
      </c>
      <c r="AA166" s="3">
        <v>57248837</v>
      </c>
      <c r="AB166" s="3">
        <f t="shared" si="187"/>
        <v>426.89440000000002</v>
      </c>
      <c r="AC166" s="3">
        <f>ROUND((((ES166*1)*1)),6)</f>
        <v>132.34</v>
      </c>
      <c r="AD166" s="3">
        <f>ROUND((((((ET166*1.25)*1.2))-(((EU166*1.25)*1.2)))+AE166),6)</f>
        <v>28.035</v>
      </c>
      <c r="AE166" s="3">
        <f>ROUND((((EU166*1.25)*1.2)),6)</f>
        <v>3.4049999999999998</v>
      </c>
      <c r="AF166" s="3">
        <f>ROUND((((EV166*1.15)*1.2)),6)</f>
        <v>266.51940000000002</v>
      </c>
      <c r="AG166" s="3">
        <f t="shared" si="188"/>
        <v>0</v>
      </c>
      <c r="AH166" s="3">
        <f>(((EW166*1.15)*1.2))</f>
        <v>15.966599999999998</v>
      </c>
      <c r="AI166" s="3">
        <f>(((EX166*1.25)*1.2))</f>
        <v>0</v>
      </c>
      <c r="AJ166" s="3">
        <f t="shared" si="189"/>
        <v>0</v>
      </c>
      <c r="AK166" s="3">
        <v>344.16</v>
      </c>
      <c r="AL166" s="3">
        <v>132.34</v>
      </c>
      <c r="AM166" s="3">
        <v>18.690000000000001</v>
      </c>
      <c r="AN166" s="3">
        <v>2.27</v>
      </c>
      <c r="AO166" s="3">
        <v>193.13</v>
      </c>
      <c r="AP166" s="3">
        <v>0</v>
      </c>
      <c r="AQ166" s="3">
        <v>11.57</v>
      </c>
      <c r="AR166" s="3">
        <v>0</v>
      </c>
      <c r="AS166" s="3">
        <v>0</v>
      </c>
      <c r="AT166" s="3">
        <v>93</v>
      </c>
      <c r="AU166" s="3">
        <v>62</v>
      </c>
      <c r="AV166" s="3">
        <v>1.087</v>
      </c>
      <c r="AW166" s="3">
        <v>1</v>
      </c>
      <c r="AZ166" s="3">
        <v>1</v>
      </c>
      <c r="BA166" s="3">
        <v>56.35</v>
      </c>
      <c r="BB166" s="3">
        <v>15.58</v>
      </c>
      <c r="BC166" s="3">
        <v>3.46</v>
      </c>
      <c r="BD166" s="3" t="s">
        <v>3</v>
      </c>
      <c r="BE166" s="3" t="s">
        <v>3</v>
      </c>
      <c r="BF166" s="3" t="s">
        <v>3</v>
      </c>
      <c r="BG166" s="3" t="s">
        <v>3</v>
      </c>
      <c r="BH166" s="3">
        <v>0</v>
      </c>
      <c r="BI166" s="3">
        <v>1</v>
      </c>
      <c r="BJ166" s="3" t="s">
        <v>98</v>
      </c>
      <c r="BM166" s="3">
        <v>55</v>
      </c>
      <c r="BN166" s="3">
        <v>0</v>
      </c>
      <c r="BO166" s="3" t="s">
        <v>96</v>
      </c>
      <c r="BP166" s="3">
        <v>1</v>
      </c>
      <c r="BQ166" s="3">
        <v>30</v>
      </c>
      <c r="BR166" s="3">
        <v>0</v>
      </c>
      <c r="BS166" s="3">
        <v>56.35</v>
      </c>
      <c r="BT166" s="3">
        <v>1</v>
      </c>
      <c r="BU166" s="3">
        <v>1</v>
      </c>
      <c r="BV166" s="3">
        <v>1</v>
      </c>
      <c r="BW166" s="3">
        <v>1</v>
      </c>
      <c r="BX166" s="3">
        <v>1</v>
      </c>
      <c r="BY166" s="3" t="s">
        <v>3</v>
      </c>
      <c r="BZ166" s="3">
        <v>93</v>
      </c>
      <c r="CA166" s="3">
        <v>62</v>
      </c>
      <c r="CB166" s="3" t="s">
        <v>3</v>
      </c>
      <c r="CE166" s="3">
        <v>1566</v>
      </c>
      <c r="CF166" s="3">
        <v>0</v>
      </c>
      <c r="CG166" s="3">
        <v>0</v>
      </c>
      <c r="CM166" s="3">
        <v>0</v>
      </c>
      <c r="CN166" s="3" t="s">
        <v>824</v>
      </c>
      <c r="CO166" s="3">
        <v>0</v>
      </c>
      <c r="CP166" s="3">
        <f t="shared" si="190"/>
        <v>690.41000000000008</v>
      </c>
      <c r="CQ166" s="3">
        <f t="shared" si="180"/>
        <v>457.9</v>
      </c>
      <c r="CR166" s="3">
        <f>(ROUND((ROUND(((((ET166*1.25)*1.2))*AV166*1),2)*BB166),2)+ROUND((ROUND(((AE166-(((EU166*1.25)*1.2)))*AV166*1),2)*BS166),2))</f>
        <v>474.72</v>
      </c>
      <c r="CS166" s="3">
        <f>(ROUND((ROUND(((((EU166*1.25)*1.2))*AV166*1),2)*BS166),2)+ROUND((ROUND(((AE166-(((EU166*1.25)*1.2)))*AV166*1),2)*BS166),2))</f>
        <v>208.5</v>
      </c>
      <c r="CT166" s="3">
        <f t="shared" si="191"/>
        <v>16325.16</v>
      </c>
      <c r="CU166" s="3">
        <f t="shared" si="192"/>
        <v>0</v>
      </c>
      <c r="CV166" s="3">
        <f t="shared" si="193"/>
        <v>17.355694199999999</v>
      </c>
      <c r="CW166" s="3">
        <f t="shared" si="194"/>
        <v>0</v>
      </c>
      <c r="CX166" s="3">
        <f t="shared" si="195"/>
        <v>0</v>
      </c>
      <c r="CY166" s="3">
        <f>(ROUND((((S166+ROUND((ROUND(((((EU166*1.25)*1.2))*AV166*1),2)*BS166),2))*AT166)/100),2)+ROUND(((ROUND((ROUND(((AE166-(((EU166*1.25)*1.2)))*AV166*1),2)*BS166),2)*AT166)/100),2))</f>
        <v>801.29</v>
      </c>
      <c r="CZ166" s="3">
        <f>(ROUND((((S166+ROUND((ROUND(((((EU166*1.25)*1.2))*AV166*1),2)*BS166),2))*AU166)/100),2)+ROUND(((ROUND((ROUND(((AE166-(((EU166*1.25)*1.2)))*AV166*1),2)*BS166),2)*AU166)/100),2))</f>
        <v>534.19000000000005</v>
      </c>
      <c r="DB166" s="3">
        <v>95</v>
      </c>
      <c r="DC166" s="3" t="s">
        <v>3</v>
      </c>
      <c r="DD166" s="3" t="s">
        <v>291</v>
      </c>
      <c r="DE166" s="3" t="s">
        <v>292</v>
      </c>
      <c r="DF166" s="3" t="s">
        <v>292</v>
      </c>
      <c r="DG166" s="3" t="s">
        <v>293</v>
      </c>
      <c r="DH166" s="3" t="s">
        <v>3</v>
      </c>
      <c r="DI166" s="3" t="s">
        <v>293</v>
      </c>
      <c r="DJ166" s="3" t="s">
        <v>292</v>
      </c>
      <c r="DK166" s="3" t="s">
        <v>3</v>
      </c>
      <c r="DL166" s="3" t="s">
        <v>3</v>
      </c>
      <c r="DM166" s="3" t="s">
        <v>3</v>
      </c>
      <c r="DN166" s="3">
        <v>0</v>
      </c>
      <c r="DO166" s="3">
        <v>0</v>
      </c>
      <c r="DP166" s="3">
        <v>1</v>
      </c>
      <c r="DQ166" s="3">
        <v>1</v>
      </c>
      <c r="DU166" s="3">
        <v>1010</v>
      </c>
      <c r="DV166" s="3" t="s">
        <v>67</v>
      </c>
      <c r="DW166" s="3" t="s">
        <v>67</v>
      </c>
      <c r="DX166" s="3">
        <v>100</v>
      </c>
      <c r="DZ166" s="3" t="s">
        <v>3</v>
      </c>
      <c r="EA166" s="3" t="s">
        <v>3</v>
      </c>
      <c r="EB166" s="3" t="s">
        <v>3</v>
      </c>
      <c r="EC166" s="3" t="s">
        <v>3</v>
      </c>
      <c r="EE166" s="3">
        <v>57248639</v>
      </c>
      <c r="EF166" s="3">
        <v>30</v>
      </c>
      <c r="EG166" s="3" t="s">
        <v>86</v>
      </c>
      <c r="EH166" s="3">
        <v>0</v>
      </c>
      <c r="EI166" s="3" t="s">
        <v>3</v>
      </c>
      <c r="EJ166" s="3">
        <v>1</v>
      </c>
      <c r="EK166" s="3">
        <v>55</v>
      </c>
      <c r="EL166" s="3" t="s">
        <v>99</v>
      </c>
      <c r="EM166" s="3" t="s">
        <v>100</v>
      </c>
      <c r="EO166" s="3" t="s">
        <v>294</v>
      </c>
      <c r="EQ166" s="3">
        <v>131072</v>
      </c>
      <c r="ER166" s="3">
        <v>344.16</v>
      </c>
      <c r="ES166" s="3">
        <v>132.34</v>
      </c>
      <c r="ET166" s="3">
        <v>18.690000000000001</v>
      </c>
      <c r="EU166" s="3">
        <v>2.27</v>
      </c>
      <c r="EV166" s="3">
        <v>193.13</v>
      </c>
      <c r="EW166" s="3">
        <v>11.57</v>
      </c>
      <c r="EX166" s="3">
        <v>0</v>
      </c>
      <c r="EY166" s="3">
        <v>0</v>
      </c>
      <c r="FQ166" s="3">
        <v>0</v>
      </c>
      <c r="FR166" s="3">
        <v>0</v>
      </c>
      <c r="FS166" s="3">
        <v>0</v>
      </c>
      <c r="FX166" s="3">
        <v>93</v>
      </c>
      <c r="FY166" s="3">
        <v>62</v>
      </c>
      <c r="GA166" s="3" t="s">
        <v>3</v>
      </c>
      <c r="GD166" s="3">
        <v>1</v>
      </c>
      <c r="GF166" s="3">
        <v>-1871155761</v>
      </c>
      <c r="GG166" s="3">
        <v>2</v>
      </c>
      <c r="GH166" s="3">
        <v>1</v>
      </c>
      <c r="GI166" s="3">
        <v>2</v>
      </c>
      <c r="GJ166" s="3">
        <v>0</v>
      </c>
      <c r="GK166" s="3">
        <v>0</v>
      </c>
      <c r="GL166" s="3">
        <f t="shared" si="196"/>
        <v>0</v>
      </c>
      <c r="GM166" s="3">
        <f t="shared" si="197"/>
        <v>1715.81</v>
      </c>
      <c r="GN166" s="3">
        <f t="shared" si="198"/>
        <v>1715.81</v>
      </c>
      <c r="GO166" s="3">
        <f t="shared" si="199"/>
        <v>0</v>
      </c>
      <c r="GP166" s="3">
        <f t="shared" si="200"/>
        <v>0</v>
      </c>
      <c r="GR166" s="3">
        <v>0</v>
      </c>
      <c r="GS166" s="3">
        <v>3</v>
      </c>
      <c r="GT166" s="3">
        <v>0</v>
      </c>
      <c r="GU166" s="3" t="s">
        <v>3</v>
      </c>
      <c r="GV166" s="3">
        <f t="shared" si="201"/>
        <v>0</v>
      </c>
      <c r="GW166" s="3">
        <v>1</v>
      </c>
      <c r="GX166" s="3">
        <f t="shared" si="202"/>
        <v>0</v>
      </c>
      <c r="HA166" s="3">
        <v>0</v>
      </c>
      <c r="HB166" s="3">
        <v>0</v>
      </c>
      <c r="HC166" s="3">
        <f t="shared" si="203"/>
        <v>0</v>
      </c>
      <c r="HE166" s="3" t="s">
        <v>3</v>
      </c>
      <c r="HF166" s="3" t="s">
        <v>3</v>
      </c>
      <c r="HM166" s="3" t="s">
        <v>3</v>
      </c>
      <c r="HN166" s="3" t="s">
        <v>3</v>
      </c>
      <c r="HO166" s="3" t="s">
        <v>3</v>
      </c>
      <c r="HP166" s="3" t="s">
        <v>3</v>
      </c>
      <c r="HQ166" s="3" t="s">
        <v>3</v>
      </c>
      <c r="HS166" s="3">
        <v>0</v>
      </c>
      <c r="IK166" s="3">
        <v>0</v>
      </c>
    </row>
    <row r="167" spans="1:255" x14ac:dyDescent="0.2">
      <c r="A167" s="2">
        <v>18</v>
      </c>
      <c r="B167" s="2">
        <v>1</v>
      </c>
      <c r="C167" s="2">
        <v>225</v>
      </c>
      <c r="D167" s="2"/>
      <c r="E167" s="2" t="s">
        <v>307</v>
      </c>
      <c r="F167" s="2" t="s">
        <v>308</v>
      </c>
      <c r="G167" s="2" t="s">
        <v>309</v>
      </c>
      <c r="H167" s="2" t="s">
        <v>228</v>
      </c>
      <c r="I167" s="2">
        <f>I165*J167</f>
        <v>4</v>
      </c>
      <c r="J167" s="2">
        <v>100</v>
      </c>
      <c r="K167" s="2">
        <v>100</v>
      </c>
      <c r="L167" s="2"/>
      <c r="M167" s="2"/>
      <c r="N167" s="2"/>
      <c r="O167" s="2">
        <f t="shared" si="181"/>
        <v>1077.72</v>
      </c>
      <c r="P167" s="2">
        <f t="shared" si="179"/>
        <v>1077.72</v>
      </c>
      <c r="Q167" s="2">
        <f>(ROUND((ROUND(((ET167)*AV167*I167),2)*BB167),2)+ROUND((ROUND(((AE167-(EU167))*AV167*I167),2)*BS167),2))</f>
        <v>0</v>
      </c>
      <c r="R167" s="2">
        <f>(ROUND((ROUND(((EU167)*AV167*I167),2)*BS167),2)+ROUND((ROUND(((AE167-(EU167))*AV167*I167),2)*BS167),2))</f>
        <v>0</v>
      </c>
      <c r="S167" s="2">
        <f t="shared" si="182"/>
        <v>0</v>
      </c>
      <c r="T167" s="2">
        <f t="shared" si="183"/>
        <v>0</v>
      </c>
      <c r="U167" s="2">
        <f t="shared" si="184"/>
        <v>0</v>
      </c>
      <c r="V167" s="2">
        <f t="shared" si="185"/>
        <v>0</v>
      </c>
      <c r="W167" s="2">
        <f t="shared" si="186"/>
        <v>0</v>
      </c>
      <c r="X167" s="2">
        <f>(ROUND((((S167+ROUND((ROUND(((EU167)*AV167*I167),2)*BS167),2))*AT167)/100),2)+ROUND(((ROUND((ROUND(((AE167-(EU167))*AV167*I167),2)*BS167),2)*AT167)/100),2))</f>
        <v>0</v>
      </c>
      <c r="Y167" s="2">
        <f>(ROUND((((S167+ROUND((ROUND(((EU167)*AV167*I167),2)*BS167),2))*AU167)/100),2)+ROUND(((ROUND((ROUND(((AE167-(EU167))*AV167*I167),2)*BS167),2)*AU167)/100),2))</f>
        <v>0</v>
      </c>
      <c r="Z167" s="2"/>
      <c r="AA167" s="2">
        <v>57248835</v>
      </c>
      <c r="AB167" s="2">
        <f t="shared" si="187"/>
        <v>269.43</v>
      </c>
      <c r="AC167" s="2">
        <f>ROUND((ES167),6)</f>
        <v>269.43</v>
      </c>
      <c r="AD167" s="2">
        <f>ROUND((((ET167)-(EU167))+AE167),6)</f>
        <v>0</v>
      </c>
      <c r="AE167" s="2">
        <f t="shared" ref="AE167:AF170" si="204">ROUND((EU167),6)</f>
        <v>0</v>
      </c>
      <c r="AF167" s="2">
        <f t="shared" si="204"/>
        <v>0</v>
      </c>
      <c r="AG167" s="2">
        <f t="shared" si="188"/>
        <v>0</v>
      </c>
      <c r="AH167" s="2">
        <f t="shared" ref="AH167:AI170" si="205">(EW167)</f>
        <v>0</v>
      </c>
      <c r="AI167" s="2">
        <f t="shared" si="205"/>
        <v>0</v>
      </c>
      <c r="AJ167" s="2">
        <f t="shared" si="189"/>
        <v>0</v>
      </c>
      <c r="AK167" s="2">
        <v>269.43</v>
      </c>
      <c r="AL167" s="2">
        <v>269.43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93</v>
      </c>
      <c r="AU167" s="2">
        <v>62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310</v>
      </c>
      <c r="BK167" s="2"/>
      <c r="BL167" s="2"/>
      <c r="BM167" s="2">
        <v>55</v>
      </c>
      <c r="BN167" s="2">
        <v>0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93</v>
      </c>
      <c r="CA167" s="2">
        <v>62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825</v>
      </c>
      <c r="CO167" s="2">
        <v>0</v>
      </c>
      <c r="CP167" s="2">
        <f t="shared" si="190"/>
        <v>1077.72</v>
      </c>
      <c r="CQ167" s="2">
        <f t="shared" si="180"/>
        <v>269.43</v>
      </c>
      <c r="CR167" s="2">
        <f>(ROUND((ROUND(((ET167)*AV167*1),2)*BB167),2)+ROUND((ROUND(((AE167-(EU167))*AV167*1),2)*BS167),2))</f>
        <v>0</v>
      </c>
      <c r="CS167" s="2">
        <f>(ROUND((ROUND(((EU167)*AV167*1),2)*BS167),2)+ROUND((ROUND(((AE167-(EU167))*AV167*1),2)*BS167),2))</f>
        <v>0</v>
      </c>
      <c r="CT167" s="2">
        <f t="shared" si="191"/>
        <v>0</v>
      </c>
      <c r="CU167" s="2">
        <f t="shared" si="192"/>
        <v>0</v>
      </c>
      <c r="CV167" s="2">
        <f t="shared" si="193"/>
        <v>0</v>
      </c>
      <c r="CW167" s="2">
        <f t="shared" si="194"/>
        <v>0</v>
      </c>
      <c r="CX167" s="2">
        <f t="shared" si="195"/>
        <v>0</v>
      </c>
      <c r="CY167" s="2">
        <f>(ROUND((((S167+ROUND((ROUND(((EU167)*AV167*1),2)*BS167),2))*AT167)/100),2)+ROUND(((ROUND((ROUND(((AE167-(EU167))*AV167*1),2)*BS167),2)*AT167)/100),2))</f>
        <v>0</v>
      </c>
      <c r="CZ167" s="2">
        <f>(ROUND((((S167+ROUND((ROUND(((EU167)*AV167*1),2)*BS167),2))*AU167)/100),2)+ROUND(((ROUND((ROUND(((AE167-(EU167))*AV167*1),2)*BS167),2)*AU167)/100),2))</f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228</v>
      </c>
      <c r="DW167" s="2" t="s">
        <v>228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57248639</v>
      </c>
      <c r="EF167" s="2">
        <v>30</v>
      </c>
      <c r="EG167" s="2" t="s">
        <v>86</v>
      </c>
      <c r="EH167" s="2">
        <v>0</v>
      </c>
      <c r="EI167" s="2" t="s">
        <v>3</v>
      </c>
      <c r="EJ167" s="2">
        <v>1</v>
      </c>
      <c r="EK167" s="2">
        <v>55</v>
      </c>
      <c r="EL167" s="2" t="s">
        <v>99</v>
      </c>
      <c r="EM167" s="2" t="s">
        <v>100</v>
      </c>
      <c r="EN167" s="2"/>
      <c r="EO167" s="2" t="s">
        <v>300</v>
      </c>
      <c r="EP167" s="2"/>
      <c r="EQ167" s="2">
        <v>0</v>
      </c>
      <c r="ER167" s="2">
        <v>269.43</v>
      </c>
      <c r="ES167" s="2">
        <v>269.43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93</v>
      </c>
      <c r="FY167" s="2">
        <v>62</v>
      </c>
      <c r="FZ167" s="2"/>
      <c r="GA167" s="2" t="s">
        <v>3</v>
      </c>
      <c r="GB167" s="2"/>
      <c r="GC167" s="2"/>
      <c r="GD167" s="2">
        <v>1</v>
      </c>
      <c r="GE167" s="2"/>
      <c r="GF167" s="2">
        <v>1463737686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96"/>
        <v>0</v>
      </c>
      <c r="GM167" s="2">
        <f t="shared" si="197"/>
        <v>1077.72</v>
      </c>
      <c r="GN167" s="2">
        <f t="shared" si="198"/>
        <v>1077.72</v>
      </c>
      <c r="GO167" s="2">
        <f t="shared" si="199"/>
        <v>0</v>
      </c>
      <c r="GP167" s="2">
        <f t="shared" si="200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1"/>
        <v>0</v>
      </c>
      <c r="GW167" s="2">
        <v>1</v>
      </c>
      <c r="GX167" s="2">
        <f t="shared" si="202"/>
        <v>0</v>
      </c>
      <c r="GY167" s="2"/>
      <c r="GZ167" s="2"/>
      <c r="HA167" s="2">
        <v>0</v>
      </c>
      <c r="HB167" s="2">
        <v>0</v>
      </c>
      <c r="HC167" s="2">
        <f t="shared" si="203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3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3">
        <v>18</v>
      </c>
      <c r="B168" s="3">
        <v>1</v>
      </c>
      <c r="C168" s="3">
        <v>232</v>
      </c>
      <c r="E168" s="3" t="s">
        <v>307</v>
      </c>
      <c r="F168" s="3" t="s">
        <v>308</v>
      </c>
      <c r="G168" s="3" t="s">
        <v>309</v>
      </c>
      <c r="H168" s="3" t="s">
        <v>228</v>
      </c>
      <c r="I168" s="3">
        <f>I166*J168</f>
        <v>4</v>
      </c>
      <c r="J168" s="3">
        <v>100</v>
      </c>
      <c r="K168" s="3">
        <v>100</v>
      </c>
      <c r="O168" s="3">
        <f t="shared" si="181"/>
        <v>10022.799999999999</v>
      </c>
      <c r="P168" s="3">
        <f t="shared" si="179"/>
        <v>10022.799999999999</v>
      </c>
      <c r="Q168" s="3">
        <f>(ROUND((ROUND(((ET168)*AV168*I168),2)*BB168),2)+ROUND((ROUND(((AE168-(EU168))*AV168*I168),2)*BS168),2))</f>
        <v>0</v>
      </c>
      <c r="R168" s="3">
        <f>(ROUND((ROUND(((EU168)*AV168*I168),2)*BS168),2)+ROUND((ROUND(((AE168-(EU168))*AV168*I168),2)*BS168),2))</f>
        <v>0</v>
      </c>
      <c r="S168" s="3">
        <f t="shared" si="182"/>
        <v>0</v>
      </c>
      <c r="T168" s="3">
        <f t="shared" si="183"/>
        <v>0</v>
      </c>
      <c r="U168" s="3">
        <f t="shared" si="184"/>
        <v>0</v>
      </c>
      <c r="V168" s="3">
        <f t="shared" si="185"/>
        <v>0</v>
      </c>
      <c r="W168" s="3">
        <f t="shared" si="186"/>
        <v>0</v>
      </c>
      <c r="X168" s="3">
        <f>(ROUND((((S168+ROUND((ROUND(((EU168)*AV168*I168),2)*BS168),2))*AT168)/100),2)+ROUND(((ROUND((ROUND(((AE168-(EU168))*AV168*I168),2)*BS168),2)*AT168)/100),2))</f>
        <v>0</v>
      </c>
      <c r="Y168" s="3">
        <f>(ROUND((((S168+ROUND((ROUND(((EU168)*AV168*I168),2)*BS168),2))*AU168)/100),2)+ROUND(((ROUND((ROUND(((AE168-(EU168))*AV168*I168),2)*BS168),2)*AU168)/100),2))</f>
        <v>0</v>
      </c>
      <c r="AA168" s="3">
        <v>57248837</v>
      </c>
      <c r="AB168" s="3">
        <f t="shared" si="187"/>
        <v>269.43</v>
      </c>
      <c r="AC168" s="3">
        <f>ROUND((ES168),6)</f>
        <v>269.43</v>
      </c>
      <c r="AD168" s="3">
        <f>ROUND((((ET168)-(EU168))+AE168),6)</f>
        <v>0</v>
      </c>
      <c r="AE168" s="3">
        <f t="shared" si="204"/>
        <v>0</v>
      </c>
      <c r="AF168" s="3">
        <f t="shared" si="204"/>
        <v>0</v>
      </c>
      <c r="AG168" s="3">
        <f t="shared" si="188"/>
        <v>0</v>
      </c>
      <c r="AH168" s="3">
        <f t="shared" si="205"/>
        <v>0</v>
      </c>
      <c r="AI168" s="3">
        <f t="shared" si="205"/>
        <v>0</v>
      </c>
      <c r="AJ168" s="3">
        <f t="shared" si="189"/>
        <v>0</v>
      </c>
      <c r="AK168" s="3">
        <v>269.43</v>
      </c>
      <c r="AL168" s="3">
        <v>269.43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93</v>
      </c>
      <c r="AU168" s="3">
        <v>62</v>
      </c>
      <c r="AV168" s="3">
        <v>1</v>
      </c>
      <c r="AW168" s="3">
        <v>1</v>
      </c>
      <c r="AZ168" s="3">
        <v>1</v>
      </c>
      <c r="BA168" s="3">
        <v>1</v>
      </c>
      <c r="BB168" s="3">
        <v>1</v>
      </c>
      <c r="BC168" s="3">
        <v>9.3000000000000007</v>
      </c>
      <c r="BD168" s="3" t="s">
        <v>3</v>
      </c>
      <c r="BE168" s="3" t="s">
        <v>3</v>
      </c>
      <c r="BF168" s="3" t="s">
        <v>3</v>
      </c>
      <c r="BG168" s="3" t="s">
        <v>3</v>
      </c>
      <c r="BH168" s="3">
        <v>3</v>
      </c>
      <c r="BI168" s="3">
        <v>1</v>
      </c>
      <c r="BJ168" s="3" t="s">
        <v>310</v>
      </c>
      <c r="BM168" s="3">
        <v>55</v>
      </c>
      <c r="BN168" s="3">
        <v>0</v>
      </c>
      <c r="BO168" s="3" t="s">
        <v>308</v>
      </c>
      <c r="BP168" s="3">
        <v>1</v>
      </c>
      <c r="BQ168" s="3">
        <v>30</v>
      </c>
      <c r="BR168" s="3">
        <v>0</v>
      </c>
      <c r="BS168" s="3">
        <v>1</v>
      </c>
      <c r="BT168" s="3">
        <v>1</v>
      </c>
      <c r="BU168" s="3">
        <v>1</v>
      </c>
      <c r="BV168" s="3">
        <v>1</v>
      </c>
      <c r="BW168" s="3">
        <v>1</v>
      </c>
      <c r="BX168" s="3">
        <v>1</v>
      </c>
      <c r="BY168" s="3" t="s">
        <v>3</v>
      </c>
      <c r="BZ168" s="3">
        <v>93</v>
      </c>
      <c r="CA168" s="3">
        <v>62</v>
      </c>
      <c r="CB168" s="3" t="s">
        <v>3</v>
      </c>
      <c r="CE168" s="3">
        <v>1566</v>
      </c>
      <c r="CF168" s="3">
        <v>0</v>
      </c>
      <c r="CG168" s="3">
        <v>0</v>
      </c>
      <c r="CM168" s="3">
        <v>0</v>
      </c>
      <c r="CN168" s="3" t="s">
        <v>825</v>
      </c>
      <c r="CO168" s="3">
        <v>0</v>
      </c>
      <c r="CP168" s="3">
        <f t="shared" si="190"/>
        <v>10022.799999999999</v>
      </c>
      <c r="CQ168" s="3">
        <f t="shared" si="180"/>
        <v>2505.6999999999998</v>
      </c>
      <c r="CR168" s="3">
        <f>(ROUND((ROUND(((ET168)*AV168*1),2)*BB168),2)+ROUND((ROUND(((AE168-(EU168))*AV168*1),2)*BS168),2))</f>
        <v>0</v>
      </c>
      <c r="CS168" s="3">
        <f>(ROUND((ROUND(((EU168)*AV168*1),2)*BS168),2)+ROUND((ROUND(((AE168-(EU168))*AV168*1),2)*BS168),2))</f>
        <v>0</v>
      </c>
      <c r="CT168" s="3">
        <f t="shared" si="191"/>
        <v>0</v>
      </c>
      <c r="CU168" s="3">
        <f t="shared" si="192"/>
        <v>0</v>
      </c>
      <c r="CV168" s="3">
        <f t="shared" si="193"/>
        <v>0</v>
      </c>
      <c r="CW168" s="3">
        <f t="shared" si="194"/>
        <v>0</v>
      </c>
      <c r="CX168" s="3">
        <f t="shared" si="195"/>
        <v>0</v>
      </c>
      <c r="CY168" s="3">
        <f>(ROUND((((S168+ROUND((ROUND(((EU168)*AV168*1),2)*BS168),2))*AT168)/100),2)+ROUND(((ROUND((ROUND(((AE168-(EU168))*AV168*1),2)*BS168),2)*AT168)/100),2))</f>
        <v>0</v>
      </c>
      <c r="CZ168" s="3">
        <f>(ROUND((((S168+ROUND((ROUND(((EU168)*AV168*1),2)*BS168),2))*AU168)/100),2)+ROUND(((ROUND((ROUND(((AE168-(EU168))*AV168*1),2)*BS168),2)*AU168)/100),2))</f>
        <v>0</v>
      </c>
      <c r="DC168" s="3" t="s">
        <v>3</v>
      </c>
      <c r="DD168" s="3" t="s">
        <v>3</v>
      </c>
      <c r="DE168" s="3" t="s">
        <v>3</v>
      </c>
      <c r="DF168" s="3" t="s">
        <v>3</v>
      </c>
      <c r="DG168" s="3" t="s">
        <v>3</v>
      </c>
      <c r="DH168" s="3" t="s">
        <v>3</v>
      </c>
      <c r="DI168" s="3" t="s">
        <v>3</v>
      </c>
      <c r="DJ168" s="3" t="s">
        <v>3</v>
      </c>
      <c r="DK168" s="3" t="s">
        <v>3</v>
      </c>
      <c r="DL168" s="3" t="s">
        <v>3</v>
      </c>
      <c r="DM168" s="3" t="s">
        <v>3</v>
      </c>
      <c r="DN168" s="3">
        <v>0</v>
      </c>
      <c r="DO168" s="3">
        <v>0</v>
      </c>
      <c r="DP168" s="3">
        <v>1</v>
      </c>
      <c r="DQ168" s="3">
        <v>1</v>
      </c>
      <c r="DU168" s="3">
        <v>1010</v>
      </c>
      <c r="DV168" s="3" t="s">
        <v>228</v>
      </c>
      <c r="DW168" s="3" t="s">
        <v>228</v>
      </c>
      <c r="DX168" s="3">
        <v>1</v>
      </c>
      <c r="DZ168" s="3" t="s">
        <v>3</v>
      </c>
      <c r="EA168" s="3" t="s">
        <v>3</v>
      </c>
      <c r="EB168" s="3" t="s">
        <v>3</v>
      </c>
      <c r="EC168" s="3" t="s">
        <v>3</v>
      </c>
      <c r="EE168" s="3">
        <v>57248639</v>
      </c>
      <c r="EF168" s="3">
        <v>30</v>
      </c>
      <c r="EG168" s="3" t="s">
        <v>86</v>
      </c>
      <c r="EH168" s="3">
        <v>0</v>
      </c>
      <c r="EI168" s="3" t="s">
        <v>3</v>
      </c>
      <c r="EJ168" s="3">
        <v>1</v>
      </c>
      <c r="EK168" s="3">
        <v>55</v>
      </c>
      <c r="EL168" s="3" t="s">
        <v>99</v>
      </c>
      <c r="EM168" s="3" t="s">
        <v>100</v>
      </c>
      <c r="EO168" s="3" t="s">
        <v>300</v>
      </c>
      <c r="EQ168" s="3">
        <v>0</v>
      </c>
      <c r="ER168" s="3">
        <v>269.43</v>
      </c>
      <c r="ES168" s="3">
        <v>269.43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FQ168" s="3">
        <v>0</v>
      </c>
      <c r="FR168" s="3">
        <v>0</v>
      </c>
      <c r="FS168" s="3">
        <v>0</v>
      </c>
      <c r="FX168" s="3">
        <v>93</v>
      </c>
      <c r="FY168" s="3">
        <v>62</v>
      </c>
      <c r="GA168" s="3" t="s">
        <v>3</v>
      </c>
      <c r="GD168" s="3">
        <v>1</v>
      </c>
      <c r="GF168" s="3">
        <v>1463737686</v>
      </c>
      <c r="GG168" s="3">
        <v>2</v>
      </c>
      <c r="GH168" s="3">
        <v>1</v>
      </c>
      <c r="GI168" s="3">
        <v>2</v>
      </c>
      <c r="GJ168" s="3">
        <v>0</v>
      </c>
      <c r="GK168" s="3">
        <v>0</v>
      </c>
      <c r="GL168" s="3">
        <f t="shared" si="196"/>
        <v>0</v>
      </c>
      <c r="GM168" s="3">
        <f t="shared" si="197"/>
        <v>10022.799999999999</v>
      </c>
      <c r="GN168" s="3">
        <f t="shared" si="198"/>
        <v>10022.799999999999</v>
      </c>
      <c r="GO168" s="3">
        <f t="shared" si="199"/>
        <v>0</v>
      </c>
      <c r="GP168" s="3">
        <f t="shared" si="200"/>
        <v>0</v>
      </c>
      <c r="GR168" s="3">
        <v>0</v>
      </c>
      <c r="GS168" s="3">
        <v>3</v>
      </c>
      <c r="GT168" s="3">
        <v>0</v>
      </c>
      <c r="GU168" s="3" t="s">
        <v>3</v>
      </c>
      <c r="GV168" s="3">
        <f t="shared" si="201"/>
        <v>0</v>
      </c>
      <c r="GW168" s="3">
        <v>1</v>
      </c>
      <c r="GX168" s="3">
        <f t="shared" si="202"/>
        <v>0</v>
      </c>
      <c r="HA168" s="3">
        <v>0</v>
      </c>
      <c r="HB168" s="3">
        <v>0</v>
      </c>
      <c r="HC168" s="3">
        <f t="shared" si="203"/>
        <v>0</v>
      </c>
      <c r="HE168" s="3" t="s">
        <v>3</v>
      </c>
      <c r="HF168" s="3" t="s">
        <v>3</v>
      </c>
      <c r="HM168" s="3" t="s">
        <v>3</v>
      </c>
      <c r="HN168" s="3" t="s">
        <v>3</v>
      </c>
      <c r="HO168" s="3" t="s">
        <v>3</v>
      </c>
      <c r="HP168" s="3" t="s">
        <v>3</v>
      </c>
      <c r="HQ168" s="3" t="s">
        <v>3</v>
      </c>
      <c r="HS168" s="3">
        <v>0</v>
      </c>
      <c r="IK168" s="3">
        <v>0</v>
      </c>
    </row>
    <row r="169" spans="1:255" x14ac:dyDescent="0.2">
      <c r="A169" s="2">
        <v>17</v>
      </c>
      <c r="B169" s="2">
        <v>1</v>
      </c>
      <c r="C169" s="2"/>
      <c r="D169" s="2"/>
      <c r="E169" s="2" t="s">
        <v>311</v>
      </c>
      <c r="F169" s="2" t="s">
        <v>312</v>
      </c>
      <c r="G169" s="2" t="s">
        <v>313</v>
      </c>
      <c r="H169" s="2" t="s">
        <v>192</v>
      </c>
      <c r="I169" s="2">
        <v>1</v>
      </c>
      <c r="J169" s="2">
        <v>0</v>
      </c>
      <c r="K169" s="2">
        <v>1</v>
      </c>
      <c r="L169" s="2"/>
      <c r="M169" s="2"/>
      <c r="N169" s="2"/>
      <c r="O169" s="2">
        <f t="shared" si="181"/>
        <v>7652.3</v>
      </c>
      <c r="P169" s="2">
        <f t="shared" si="179"/>
        <v>7652.3</v>
      </c>
      <c r="Q169" s="2">
        <f>(ROUND((ROUND(((ET169)*AV169*I169),2)*BB169),2)+ROUND((ROUND(((AE169-(EU169))*AV169*I169),2)*BS169),2))</f>
        <v>0</v>
      </c>
      <c r="R169" s="2">
        <f>(ROUND((ROUND(((EU169)*AV169*I169),2)*BS169),2)+ROUND((ROUND(((AE169-(EU169))*AV169*I169),2)*BS169),2))</f>
        <v>0</v>
      </c>
      <c r="S169" s="2">
        <f t="shared" si="182"/>
        <v>0</v>
      </c>
      <c r="T169" s="2">
        <f t="shared" si="183"/>
        <v>0</v>
      </c>
      <c r="U169" s="2">
        <f t="shared" si="184"/>
        <v>0</v>
      </c>
      <c r="V169" s="2">
        <f t="shared" si="185"/>
        <v>0</v>
      </c>
      <c r="W169" s="2">
        <f t="shared" si="186"/>
        <v>0</v>
      </c>
      <c r="X169" s="2">
        <f>(ROUND((((S169+ROUND((ROUND(((EU169)*AV169*I169),2)*BS169),2))*AT169)/100),2)+ROUND(((ROUND((ROUND(((AE169-(EU169))*AV169*I169),2)*BS169),2)*AT169)/100),2))</f>
        <v>0</v>
      </c>
      <c r="Y169" s="2">
        <f>(ROUND((((S169+ROUND((ROUND(((EU169)*AV169*I169),2)*BS169),2))*AU169)/100),2)+ROUND(((ROUND((ROUND(((AE169-(EU169))*AV169*I169),2)*BS169),2)*AU169)/100),2))</f>
        <v>0</v>
      </c>
      <c r="Z169" s="2"/>
      <c r="AA169" s="2">
        <v>57248835</v>
      </c>
      <c r="AB169" s="2">
        <f t="shared" si="187"/>
        <v>7652.3</v>
      </c>
      <c r="AC169" s="2">
        <f>ROUND((ES169),6)</f>
        <v>7652.3</v>
      </c>
      <c r="AD169" s="2">
        <f>ROUND((((ET169)-(EU169))+AE169),6)</f>
        <v>0</v>
      </c>
      <c r="AE169" s="2">
        <f t="shared" si="204"/>
        <v>0</v>
      </c>
      <c r="AF169" s="2">
        <f t="shared" si="204"/>
        <v>0</v>
      </c>
      <c r="AG169" s="2">
        <f t="shared" si="188"/>
        <v>0</v>
      </c>
      <c r="AH169" s="2">
        <f t="shared" si="205"/>
        <v>0</v>
      </c>
      <c r="AI169" s="2">
        <f t="shared" si="205"/>
        <v>0</v>
      </c>
      <c r="AJ169" s="2">
        <f t="shared" si="189"/>
        <v>0</v>
      </c>
      <c r="AK169" s="2">
        <v>7652.2999999999993</v>
      </c>
      <c r="AL169" s="2">
        <v>7652.2999999999993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1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3</v>
      </c>
      <c r="BI169" s="2">
        <v>3</v>
      </c>
      <c r="BJ169" s="2" t="s">
        <v>312</v>
      </c>
      <c r="BK169" s="2"/>
      <c r="BL169" s="2"/>
      <c r="BM169" s="2">
        <v>400007</v>
      </c>
      <c r="BN169" s="2">
        <v>0</v>
      </c>
      <c r="BO169" s="2" t="s">
        <v>3</v>
      </c>
      <c r="BP169" s="2">
        <v>0</v>
      </c>
      <c r="BQ169" s="2">
        <v>214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0</v>
      </c>
      <c r="CA169" s="2">
        <v>0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3</v>
      </c>
      <c r="CO169" s="2">
        <v>0</v>
      </c>
      <c r="CP169" s="2">
        <f t="shared" si="190"/>
        <v>7652.3</v>
      </c>
      <c r="CQ169" s="2">
        <f t="shared" si="180"/>
        <v>7652.3</v>
      </c>
      <c r="CR169" s="2">
        <f>(ROUND((ROUND(((ET169)*AV169*1),2)*BB169),2)+ROUND((ROUND(((AE169-(EU169))*AV169*1),2)*BS169),2))</f>
        <v>0</v>
      </c>
      <c r="CS169" s="2">
        <f>(ROUND((ROUND(((EU169)*AV169*1),2)*BS169),2)+ROUND((ROUND(((AE169-(EU169))*AV169*1),2)*BS169),2))</f>
        <v>0</v>
      </c>
      <c r="CT169" s="2">
        <f t="shared" si="191"/>
        <v>0</v>
      </c>
      <c r="CU169" s="2">
        <f t="shared" si="192"/>
        <v>0</v>
      </c>
      <c r="CV169" s="2">
        <f t="shared" si="193"/>
        <v>0</v>
      </c>
      <c r="CW169" s="2">
        <f t="shared" si="194"/>
        <v>0</v>
      </c>
      <c r="CX169" s="2">
        <f t="shared" si="195"/>
        <v>0</v>
      </c>
      <c r="CY169" s="2">
        <f>(ROUND((((S169+ROUND((ROUND(((EU169)*AV169*1),2)*BS169),2))*AT169)/100),2)+ROUND(((ROUND((ROUND(((AE169-(EU169))*AV169*1),2)*BS169),2)*AT169)/100),2))</f>
        <v>0</v>
      </c>
      <c r="CZ169" s="2">
        <f>(ROUND((((S169+ROUND((ROUND(((EU169)*AV169*1),2)*BS169),2))*AU169)/100),2)+ROUND(((ROUND((ROUND(((AE169-(EU169))*AV169*1),2)*BS169),2)*AU169)/100),2))</f>
        <v>0</v>
      </c>
      <c r="DA169" s="2"/>
      <c r="DB169" s="2"/>
      <c r="DC169" s="2" t="s">
        <v>3</v>
      </c>
      <c r="DD169" s="2" t="s">
        <v>3</v>
      </c>
      <c r="DE169" s="2" t="s">
        <v>3</v>
      </c>
      <c r="DF169" s="2" t="s">
        <v>3</v>
      </c>
      <c r="DG169" s="2" t="s">
        <v>3</v>
      </c>
      <c r="DH169" s="2" t="s">
        <v>3</v>
      </c>
      <c r="DI169" s="2" t="s">
        <v>3</v>
      </c>
      <c r="DJ169" s="2" t="s">
        <v>3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192</v>
      </c>
      <c r="DW169" s="2" t="s">
        <v>192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57248792</v>
      </c>
      <c r="EF169" s="2">
        <v>214</v>
      </c>
      <c r="EG169" s="2" t="s">
        <v>193</v>
      </c>
      <c r="EH169" s="2">
        <v>0</v>
      </c>
      <c r="EI169" s="2" t="s">
        <v>3</v>
      </c>
      <c r="EJ169" s="2">
        <v>3</v>
      </c>
      <c r="EK169" s="2">
        <v>400007</v>
      </c>
      <c r="EL169" s="2" t="s">
        <v>193</v>
      </c>
      <c r="EM169" s="2" t="s">
        <v>194</v>
      </c>
      <c r="EN169" s="2"/>
      <c r="EO169" s="2" t="s">
        <v>3</v>
      </c>
      <c r="EP169" s="2"/>
      <c r="EQ169" s="2">
        <v>16</v>
      </c>
      <c r="ER169" s="2">
        <v>0</v>
      </c>
      <c r="ES169" s="2">
        <v>7652.2999999999993</v>
      </c>
      <c r="ET169" s="2">
        <v>0</v>
      </c>
      <c r="EU169" s="2">
        <v>0</v>
      </c>
      <c r="EV169" s="2">
        <v>0</v>
      </c>
      <c r="EW169" s="2">
        <v>0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f>P169</f>
        <v>7652.3</v>
      </c>
      <c r="FS169" s="2">
        <v>0</v>
      </c>
      <c r="FT169" s="2"/>
      <c r="FU169" s="2"/>
      <c r="FV169" s="2"/>
      <c r="FW169" s="2"/>
      <c r="FX169" s="2">
        <v>0</v>
      </c>
      <c r="FY169" s="2">
        <v>0</v>
      </c>
      <c r="FZ169" s="2"/>
      <c r="GA169" s="2" t="s">
        <v>314</v>
      </c>
      <c r="GB169" s="2"/>
      <c r="GC169" s="2"/>
      <c r="GD169" s="2">
        <v>1</v>
      </c>
      <c r="GE169" s="2"/>
      <c r="GF169" s="2">
        <v>-839099487</v>
      </c>
      <c r="GG169" s="2">
        <v>2</v>
      </c>
      <c r="GH169" s="2">
        <v>4</v>
      </c>
      <c r="GI169" s="2">
        <v>-2</v>
      </c>
      <c r="GJ169" s="2">
        <v>0</v>
      </c>
      <c r="GK169" s="2">
        <v>0</v>
      </c>
      <c r="GL169" s="2">
        <f t="shared" si="196"/>
        <v>0</v>
      </c>
      <c r="GM169" s="2">
        <f t="shared" si="197"/>
        <v>7652.3</v>
      </c>
      <c r="GN169" s="2">
        <f t="shared" si="198"/>
        <v>0</v>
      </c>
      <c r="GO169" s="2">
        <f t="shared" si="199"/>
        <v>0</v>
      </c>
      <c r="GP169" s="2">
        <f t="shared" si="200"/>
        <v>0</v>
      </c>
      <c r="GQ169" s="2"/>
      <c r="GR169" s="2">
        <v>1</v>
      </c>
      <c r="GS169" s="2">
        <v>2</v>
      </c>
      <c r="GT169" s="2">
        <v>0</v>
      </c>
      <c r="GU169" s="2" t="s">
        <v>3</v>
      </c>
      <c r="GV169" s="2">
        <f t="shared" si="201"/>
        <v>0</v>
      </c>
      <c r="GW169" s="2">
        <v>1</v>
      </c>
      <c r="GX169" s="2">
        <f t="shared" si="202"/>
        <v>0</v>
      </c>
      <c r="GY169" s="2"/>
      <c r="GZ169" s="2"/>
      <c r="HA169" s="2">
        <v>0</v>
      </c>
      <c r="HB169" s="2">
        <v>0</v>
      </c>
      <c r="HC169" s="2">
        <f t="shared" si="203"/>
        <v>0</v>
      </c>
      <c r="HD169" s="2"/>
      <c r="HE169" s="2" t="s">
        <v>41</v>
      </c>
      <c r="HF169" s="2" t="s">
        <v>196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3">
        <v>17</v>
      </c>
      <c r="B170" s="3">
        <v>1</v>
      </c>
      <c r="E170" s="3" t="s">
        <v>311</v>
      </c>
      <c r="F170" s="3" t="s">
        <v>312</v>
      </c>
      <c r="G170" s="3" t="s">
        <v>313</v>
      </c>
      <c r="H170" s="3" t="s">
        <v>192</v>
      </c>
      <c r="I170" s="3">
        <v>1</v>
      </c>
      <c r="J170" s="3">
        <v>0</v>
      </c>
      <c r="K170" s="3">
        <v>1</v>
      </c>
      <c r="O170" s="3">
        <f t="shared" si="181"/>
        <v>57927.91</v>
      </c>
      <c r="P170" s="3">
        <f t="shared" si="179"/>
        <v>57927.91</v>
      </c>
      <c r="Q170" s="3">
        <f>(ROUND((ROUND(((ET170)*AV170*I170),2)*BB170),2)+ROUND((ROUND(((AE170-(EU170))*AV170*I170),2)*BS170),2))</f>
        <v>0</v>
      </c>
      <c r="R170" s="3">
        <f>(ROUND((ROUND(((EU170)*AV170*I170),2)*BS170),2)+ROUND((ROUND(((AE170-(EU170))*AV170*I170),2)*BS170),2))</f>
        <v>0</v>
      </c>
      <c r="S170" s="3">
        <f t="shared" si="182"/>
        <v>0</v>
      </c>
      <c r="T170" s="3">
        <f t="shared" si="183"/>
        <v>0</v>
      </c>
      <c r="U170" s="3">
        <f t="shared" si="184"/>
        <v>0</v>
      </c>
      <c r="V170" s="3">
        <f t="shared" si="185"/>
        <v>0</v>
      </c>
      <c r="W170" s="3">
        <f t="shared" si="186"/>
        <v>0</v>
      </c>
      <c r="X170" s="3">
        <f>(ROUND((((S170+ROUND((ROUND(((EU170)*AV170*I170),2)*BS170),2))*AT170)/100),2)+ROUND(((ROUND((ROUND(((AE170-(EU170))*AV170*I170),2)*BS170),2)*AT170)/100),2))</f>
        <v>0</v>
      </c>
      <c r="Y170" s="3">
        <f>(ROUND((((S170+ROUND((ROUND(((EU170)*AV170*I170),2)*BS170),2))*AU170)/100),2)+ROUND(((ROUND((ROUND(((AE170-(EU170))*AV170*I170),2)*BS170),2)*AU170)/100),2))</f>
        <v>0</v>
      </c>
      <c r="AA170" s="3">
        <v>57248837</v>
      </c>
      <c r="AB170" s="3">
        <f t="shared" si="187"/>
        <v>7652.3</v>
      </c>
      <c r="AC170" s="3">
        <f>ROUND((ES170),6)</f>
        <v>7652.3</v>
      </c>
      <c r="AD170" s="3">
        <f>ROUND((((ET170)-(EU170))+AE170),6)</f>
        <v>0</v>
      </c>
      <c r="AE170" s="3">
        <f t="shared" si="204"/>
        <v>0</v>
      </c>
      <c r="AF170" s="3">
        <f t="shared" si="204"/>
        <v>0</v>
      </c>
      <c r="AG170" s="3">
        <f t="shared" si="188"/>
        <v>0</v>
      </c>
      <c r="AH170" s="3">
        <f t="shared" si="205"/>
        <v>0</v>
      </c>
      <c r="AI170" s="3">
        <f t="shared" si="205"/>
        <v>0</v>
      </c>
      <c r="AJ170" s="3">
        <f t="shared" si="189"/>
        <v>0</v>
      </c>
      <c r="AK170" s="3">
        <v>7652.2999999999993</v>
      </c>
      <c r="AL170" s="3">
        <v>7652.2999999999993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1</v>
      </c>
      <c r="AW170" s="3">
        <v>1</v>
      </c>
      <c r="AZ170" s="3">
        <v>1</v>
      </c>
      <c r="BA170" s="3">
        <v>1</v>
      </c>
      <c r="BB170" s="3">
        <v>1</v>
      </c>
      <c r="BC170" s="3">
        <v>7.57</v>
      </c>
      <c r="BD170" s="3" t="s">
        <v>3</v>
      </c>
      <c r="BE170" s="3" t="s">
        <v>3</v>
      </c>
      <c r="BF170" s="3" t="s">
        <v>3</v>
      </c>
      <c r="BG170" s="3" t="s">
        <v>3</v>
      </c>
      <c r="BH170" s="3">
        <v>3</v>
      </c>
      <c r="BI170" s="3">
        <v>3</v>
      </c>
      <c r="BJ170" s="3" t="s">
        <v>312</v>
      </c>
      <c r="BM170" s="3">
        <v>400007</v>
      </c>
      <c r="BN170" s="3">
        <v>0</v>
      </c>
      <c r="BO170" s="3" t="s">
        <v>3</v>
      </c>
      <c r="BP170" s="3">
        <v>0</v>
      </c>
      <c r="BQ170" s="3">
        <v>214</v>
      </c>
      <c r="BR170" s="3">
        <v>0</v>
      </c>
      <c r="BS170" s="3">
        <v>1</v>
      </c>
      <c r="BT170" s="3">
        <v>1</v>
      </c>
      <c r="BU170" s="3">
        <v>1</v>
      </c>
      <c r="BV170" s="3">
        <v>1</v>
      </c>
      <c r="BW170" s="3">
        <v>1</v>
      </c>
      <c r="BX170" s="3">
        <v>1</v>
      </c>
      <c r="BY170" s="3" t="s">
        <v>3</v>
      </c>
      <c r="BZ170" s="3">
        <v>0</v>
      </c>
      <c r="CA170" s="3">
        <v>0</v>
      </c>
      <c r="CB170" s="3" t="s">
        <v>3</v>
      </c>
      <c r="CE170" s="3">
        <v>1566</v>
      </c>
      <c r="CF170" s="3">
        <v>0</v>
      </c>
      <c r="CG170" s="3">
        <v>0</v>
      </c>
      <c r="CM170" s="3">
        <v>0</v>
      </c>
      <c r="CN170" s="3" t="s">
        <v>3</v>
      </c>
      <c r="CO170" s="3">
        <v>0</v>
      </c>
      <c r="CP170" s="3">
        <f t="shared" si="190"/>
        <v>57927.91</v>
      </c>
      <c r="CQ170" s="3">
        <f t="shared" si="180"/>
        <v>57927.91</v>
      </c>
      <c r="CR170" s="3">
        <f>(ROUND((ROUND(((ET170)*AV170*1),2)*BB170),2)+ROUND((ROUND(((AE170-(EU170))*AV170*1),2)*BS170),2))</f>
        <v>0</v>
      </c>
      <c r="CS170" s="3">
        <f>(ROUND((ROUND(((EU170)*AV170*1),2)*BS170),2)+ROUND((ROUND(((AE170-(EU170))*AV170*1),2)*BS170),2))</f>
        <v>0</v>
      </c>
      <c r="CT170" s="3">
        <f t="shared" si="191"/>
        <v>0</v>
      </c>
      <c r="CU170" s="3">
        <f t="shared" si="192"/>
        <v>0</v>
      </c>
      <c r="CV170" s="3">
        <f t="shared" si="193"/>
        <v>0</v>
      </c>
      <c r="CW170" s="3">
        <f t="shared" si="194"/>
        <v>0</v>
      </c>
      <c r="CX170" s="3">
        <f t="shared" si="195"/>
        <v>0</v>
      </c>
      <c r="CY170" s="3">
        <f>(ROUND((((S170+ROUND((ROUND(((EU170)*AV170*1),2)*BS170),2))*AT170)/100),2)+ROUND(((ROUND((ROUND(((AE170-(EU170))*AV170*1),2)*BS170),2)*AT170)/100),2))</f>
        <v>0</v>
      </c>
      <c r="CZ170" s="3">
        <f>(ROUND((((S170+ROUND((ROUND(((EU170)*AV170*1),2)*BS170),2))*AU170)/100),2)+ROUND(((ROUND((ROUND(((AE170-(EU170))*AV170*1),2)*BS170),2)*AU170)/100),2))</f>
        <v>0</v>
      </c>
      <c r="DC170" s="3" t="s">
        <v>3</v>
      </c>
      <c r="DD170" s="3" t="s">
        <v>3</v>
      </c>
      <c r="DE170" s="3" t="s">
        <v>3</v>
      </c>
      <c r="DF170" s="3" t="s">
        <v>3</v>
      </c>
      <c r="DG170" s="3" t="s">
        <v>3</v>
      </c>
      <c r="DH170" s="3" t="s">
        <v>3</v>
      </c>
      <c r="DI170" s="3" t="s">
        <v>3</v>
      </c>
      <c r="DJ170" s="3" t="s">
        <v>3</v>
      </c>
      <c r="DK170" s="3" t="s">
        <v>3</v>
      </c>
      <c r="DL170" s="3" t="s">
        <v>3</v>
      </c>
      <c r="DM170" s="3" t="s">
        <v>3</v>
      </c>
      <c r="DN170" s="3">
        <v>0</v>
      </c>
      <c r="DO170" s="3">
        <v>0</v>
      </c>
      <c r="DP170" s="3">
        <v>1</v>
      </c>
      <c r="DQ170" s="3">
        <v>1</v>
      </c>
      <c r="DU170" s="3">
        <v>1013</v>
      </c>
      <c r="DV170" s="3" t="s">
        <v>192</v>
      </c>
      <c r="DW170" s="3" t="s">
        <v>192</v>
      </c>
      <c r="DX170" s="3">
        <v>1</v>
      </c>
      <c r="DZ170" s="3" t="s">
        <v>3</v>
      </c>
      <c r="EA170" s="3" t="s">
        <v>3</v>
      </c>
      <c r="EB170" s="3" t="s">
        <v>3</v>
      </c>
      <c r="EC170" s="3" t="s">
        <v>3</v>
      </c>
      <c r="EE170" s="3">
        <v>57248792</v>
      </c>
      <c r="EF170" s="3">
        <v>214</v>
      </c>
      <c r="EG170" s="3" t="s">
        <v>193</v>
      </c>
      <c r="EH170" s="3">
        <v>0</v>
      </c>
      <c r="EI170" s="3" t="s">
        <v>3</v>
      </c>
      <c r="EJ170" s="3">
        <v>3</v>
      </c>
      <c r="EK170" s="3">
        <v>400007</v>
      </c>
      <c r="EL170" s="3" t="s">
        <v>193</v>
      </c>
      <c r="EM170" s="3" t="s">
        <v>194</v>
      </c>
      <c r="EO170" s="3" t="s">
        <v>3</v>
      </c>
      <c r="EQ170" s="3">
        <v>16</v>
      </c>
      <c r="ER170" s="3">
        <v>0</v>
      </c>
      <c r="ES170" s="3">
        <v>7652.2999999999993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5</v>
      </c>
      <c r="FC170" s="3">
        <v>1</v>
      </c>
      <c r="FD170" s="3">
        <v>18</v>
      </c>
      <c r="FF170" s="3">
        <v>67800</v>
      </c>
      <c r="FQ170" s="3">
        <v>0</v>
      </c>
      <c r="FR170" s="3">
        <f>P170</f>
        <v>57927.91</v>
      </c>
      <c r="FS170" s="3">
        <v>0</v>
      </c>
      <c r="FX170" s="3">
        <v>0</v>
      </c>
      <c r="FY170" s="3">
        <v>0</v>
      </c>
      <c r="GA170" s="3" t="s">
        <v>314</v>
      </c>
      <c r="GD170" s="3">
        <v>1</v>
      </c>
      <c r="GF170" s="3">
        <v>-839099487</v>
      </c>
      <c r="GG170" s="3">
        <v>2</v>
      </c>
      <c r="GH170" s="3">
        <v>3</v>
      </c>
      <c r="GI170" s="3">
        <v>5</v>
      </c>
      <c r="GJ170" s="3">
        <v>0</v>
      </c>
      <c r="GK170" s="3">
        <v>0</v>
      </c>
      <c r="GL170" s="3">
        <f t="shared" si="196"/>
        <v>0</v>
      </c>
      <c r="GM170" s="3">
        <f t="shared" si="197"/>
        <v>57927.91</v>
      </c>
      <c r="GN170" s="3">
        <f t="shared" si="198"/>
        <v>0</v>
      </c>
      <c r="GO170" s="3">
        <f t="shared" si="199"/>
        <v>0</v>
      </c>
      <c r="GP170" s="3">
        <f t="shared" si="200"/>
        <v>0</v>
      </c>
      <c r="GR170" s="3">
        <v>1</v>
      </c>
      <c r="GS170" s="3">
        <v>1</v>
      </c>
      <c r="GT170" s="3">
        <v>0</v>
      </c>
      <c r="GU170" s="3" t="s">
        <v>3</v>
      </c>
      <c r="GV170" s="3">
        <f t="shared" si="201"/>
        <v>0</v>
      </c>
      <c r="GW170" s="3">
        <v>1</v>
      </c>
      <c r="GX170" s="3">
        <f t="shared" si="202"/>
        <v>0</v>
      </c>
      <c r="HA170" s="3">
        <v>0</v>
      </c>
      <c r="HB170" s="3">
        <v>0</v>
      </c>
      <c r="HC170" s="3">
        <f t="shared" si="203"/>
        <v>0</v>
      </c>
      <c r="HE170" s="3" t="s">
        <v>41</v>
      </c>
      <c r="HF170" s="3" t="s">
        <v>196</v>
      </c>
      <c r="HM170" s="3" t="s">
        <v>3</v>
      </c>
      <c r="HN170" s="3" t="s">
        <v>3</v>
      </c>
      <c r="HO170" s="3" t="s">
        <v>3</v>
      </c>
      <c r="HP170" s="3" t="s">
        <v>3</v>
      </c>
      <c r="HQ170" s="3" t="s">
        <v>3</v>
      </c>
      <c r="HS170" s="3">
        <v>0</v>
      </c>
      <c r="IK170" s="3">
        <v>0</v>
      </c>
    </row>
    <row r="171" spans="1:255" x14ac:dyDescent="0.2">
      <c r="A171" s="2">
        <v>17</v>
      </c>
      <c r="B171" s="2">
        <v>1</v>
      </c>
      <c r="C171" s="2">
        <f>ROW(SmtRes!A238)</f>
        <v>238</v>
      </c>
      <c r="D171" s="2">
        <f>ROW(EtalonRes!A302)</f>
        <v>302</v>
      </c>
      <c r="E171" s="2" t="s">
        <v>315</v>
      </c>
      <c r="F171" s="2" t="s">
        <v>102</v>
      </c>
      <c r="G171" s="2" t="s">
        <v>316</v>
      </c>
      <c r="H171" s="2" t="s">
        <v>104</v>
      </c>
      <c r="I171" s="2">
        <v>4</v>
      </c>
      <c r="J171" s="2">
        <v>0</v>
      </c>
      <c r="K171" s="2">
        <v>4</v>
      </c>
      <c r="L171" s="2"/>
      <c r="M171" s="2"/>
      <c r="N171" s="2"/>
      <c r="O171" s="2">
        <f t="shared" si="181"/>
        <v>91.31</v>
      </c>
      <c r="P171" s="2">
        <f t="shared" si="179"/>
        <v>15.04</v>
      </c>
      <c r="Q171" s="2">
        <f>(ROUND((ROUND(((((ET171*1.25)*1.2))*AV171*I171),2)*BB171),2)+ROUND((ROUND(((AE171-(((EU171*1.25)*1.2)))*AV171*I171),2)*BS171),2))</f>
        <v>5.83</v>
      </c>
      <c r="R171" s="2">
        <f>(ROUND((ROUND(((((EU171*1.25)*1.2))*AV171*I171),2)*BS171),2)+ROUND((ROUND(((AE171-(((EU171*1.25)*1.2)))*AV171*I171),2)*BS171),2))</f>
        <v>0.83</v>
      </c>
      <c r="S171" s="2">
        <f t="shared" si="182"/>
        <v>70.44</v>
      </c>
      <c r="T171" s="2">
        <f t="shared" si="183"/>
        <v>0</v>
      </c>
      <c r="U171" s="2">
        <f t="shared" si="184"/>
        <v>6.0665351999999988</v>
      </c>
      <c r="V171" s="2">
        <f t="shared" si="185"/>
        <v>0</v>
      </c>
      <c r="W171" s="2">
        <f t="shared" si="186"/>
        <v>0</v>
      </c>
      <c r="X171" s="2">
        <f>(ROUND((((S171+ROUND((ROUND(((((EU171*1.25)*1.2))*AV171*I171),2)*BS171),2))*AT171)/100),2)+ROUND(((ROUND((ROUND(((AE171-(((EU171*1.25)*1.2)))*AV171*I171),2)*BS171),2)*AT171)/100),2))</f>
        <v>86.24</v>
      </c>
      <c r="Y171" s="2">
        <f>(ROUND((((S171+ROUND((ROUND(((((EU171*1.25)*1.2))*AV171*I171),2)*BS171),2))*AU171)/100),2)+ROUND(((ROUND((ROUND(((AE171-(((EU171*1.25)*1.2)))*AV171*I171),2)*BS171),2)*AU171)/100),2))</f>
        <v>51.31</v>
      </c>
      <c r="Z171" s="2"/>
      <c r="AA171" s="2">
        <v>57248835</v>
      </c>
      <c r="AB171" s="2">
        <f t="shared" si="187"/>
        <v>21.629799999999999</v>
      </c>
      <c r="AC171" s="2">
        <f>ROUND((((ES171*1)*1)),6)</f>
        <v>3.76</v>
      </c>
      <c r="AD171" s="2">
        <f>ROUND((((((ET171*1.25)*1.2))-(((EU171*1.25)*1.2)))+AE171),6)</f>
        <v>1.365</v>
      </c>
      <c r="AE171" s="2">
        <f>ROUND((((EU171*1.25)*1.2)),6)</f>
        <v>0.19500000000000001</v>
      </c>
      <c r="AF171" s="2">
        <f>ROUND((((EV171*1.15)*1.2)),6)</f>
        <v>16.504799999999999</v>
      </c>
      <c r="AG171" s="2">
        <f t="shared" si="188"/>
        <v>0</v>
      </c>
      <c r="AH171" s="2">
        <f>(((EW171*1.15)*1.2))</f>
        <v>1.4213999999999998</v>
      </c>
      <c r="AI171" s="2">
        <f>(((EX171*1.25)*1.2))</f>
        <v>0</v>
      </c>
      <c r="AJ171" s="2">
        <f t="shared" si="189"/>
        <v>0</v>
      </c>
      <c r="AK171" s="2">
        <v>16.63</v>
      </c>
      <c r="AL171" s="2">
        <v>3.76</v>
      </c>
      <c r="AM171" s="2">
        <v>0.91</v>
      </c>
      <c r="AN171" s="2">
        <v>0.13</v>
      </c>
      <c r="AO171" s="2">
        <v>11.96</v>
      </c>
      <c r="AP171" s="2">
        <v>0</v>
      </c>
      <c r="AQ171" s="2">
        <v>1.03</v>
      </c>
      <c r="AR171" s="2">
        <v>0</v>
      </c>
      <c r="AS171" s="2">
        <v>0</v>
      </c>
      <c r="AT171" s="2">
        <v>121</v>
      </c>
      <c r="AU171" s="2">
        <v>72</v>
      </c>
      <c r="AV171" s="2">
        <v>1.0669999999999999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1</v>
      </c>
      <c r="BJ171" s="2" t="s">
        <v>105</v>
      </c>
      <c r="BK171" s="2"/>
      <c r="BL171" s="2"/>
      <c r="BM171" s="2">
        <v>25</v>
      </c>
      <c r="BN171" s="2">
        <v>0</v>
      </c>
      <c r="BO171" s="2" t="s">
        <v>102</v>
      </c>
      <c r="BP171" s="2">
        <v>1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121</v>
      </c>
      <c r="CA171" s="2">
        <v>72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824</v>
      </c>
      <c r="CO171" s="2">
        <v>0</v>
      </c>
      <c r="CP171" s="2">
        <f t="shared" si="190"/>
        <v>91.31</v>
      </c>
      <c r="CQ171" s="2">
        <f t="shared" si="180"/>
        <v>3.76</v>
      </c>
      <c r="CR171" s="2">
        <f>(ROUND((ROUND(((((ET171*1.25)*1.2))*AV171*1),2)*BB171),2)+ROUND((ROUND(((AE171-(((EU171*1.25)*1.2)))*AV171*1),2)*BS171),2))</f>
        <v>1.46</v>
      </c>
      <c r="CS171" s="2">
        <f>(ROUND((ROUND(((((EU171*1.25)*1.2))*AV171*1),2)*BS171),2)+ROUND((ROUND(((AE171-(((EU171*1.25)*1.2)))*AV171*1),2)*BS171),2))</f>
        <v>0.21</v>
      </c>
      <c r="CT171" s="2">
        <f t="shared" si="191"/>
        <v>17.61</v>
      </c>
      <c r="CU171" s="2">
        <f t="shared" si="192"/>
        <v>0</v>
      </c>
      <c r="CV171" s="2">
        <f t="shared" si="193"/>
        <v>1.5166337999999997</v>
      </c>
      <c r="CW171" s="2">
        <f t="shared" si="194"/>
        <v>0</v>
      </c>
      <c r="CX171" s="2">
        <f t="shared" si="195"/>
        <v>0</v>
      </c>
      <c r="CY171" s="2">
        <f>(ROUND((((S171+ROUND((ROUND(((((EU171*1.25)*1.2))*AV171*1),2)*BS171),2))*AT171)/100),2)+ROUND(((ROUND((ROUND(((AE171-(((EU171*1.25)*1.2)))*AV171*1),2)*BS171),2)*AT171)/100),2))</f>
        <v>85.49</v>
      </c>
      <c r="CZ171" s="2">
        <f>(ROUND((((S171+ROUND((ROUND(((((EU171*1.25)*1.2))*AV171*1),2)*BS171),2))*AU171)/100),2)+ROUND(((ROUND((ROUND(((AE171-(((EU171*1.25)*1.2)))*AV171*1),2)*BS171),2)*AU171)/100),2))</f>
        <v>50.87</v>
      </c>
      <c r="DA171" s="2"/>
      <c r="DB171" s="2">
        <v>97</v>
      </c>
      <c r="DC171" s="2" t="s">
        <v>3</v>
      </c>
      <c r="DD171" s="2" t="s">
        <v>291</v>
      </c>
      <c r="DE171" s="2" t="s">
        <v>292</v>
      </c>
      <c r="DF171" s="2" t="s">
        <v>292</v>
      </c>
      <c r="DG171" s="2" t="s">
        <v>293</v>
      </c>
      <c r="DH171" s="2" t="s">
        <v>3</v>
      </c>
      <c r="DI171" s="2" t="s">
        <v>293</v>
      </c>
      <c r="DJ171" s="2" t="s">
        <v>292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104</v>
      </c>
      <c r="DW171" s="2" t="s">
        <v>104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57248609</v>
      </c>
      <c r="EF171" s="2">
        <v>30</v>
      </c>
      <c r="EG171" s="2" t="s">
        <v>86</v>
      </c>
      <c r="EH171" s="2">
        <v>0</v>
      </c>
      <c r="EI171" s="2" t="s">
        <v>3</v>
      </c>
      <c r="EJ171" s="2">
        <v>1</v>
      </c>
      <c r="EK171" s="2">
        <v>25</v>
      </c>
      <c r="EL171" s="2" t="s">
        <v>106</v>
      </c>
      <c r="EM171" s="2" t="s">
        <v>107</v>
      </c>
      <c r="EN171" s="2"/>
      <c r="EO171" s="2" t="s">
        <v>294</v>
      </c>
      <c r="EP171" s="2"/>
      <c r="EQ171" s="2">
        <v>131072</v>
      </c>
      <c r="ER171" s="2">
        <v>16.63</v>
      </c>
      <c r="ES171" s="2">
        <v>3.76</v>
      </c>
      <c r="ET171" s="2">
        <v>0.91</v>
      </c>
      <c r="EU171" s="2">
        <v>0.13</v>
      </c>
      <c r="EV171" s="2">
        <v>11.96</v>
      </c>
      <c r="EW171" s="2">
        <v>1.03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121</v>
      </c>
      <c r="FY171" s="2">
        <v>72</v>
      </c>
      <c r="FZ171" s="2"/>
      <c r="GA171" s="2" t="s">
        <v>3</v>
      </c>
      <c r="GB171" s="2"/>
      <c r="GC171" s="2"/>
      <c r="GD171" s="2">
        <v>1</v>
      </c>
      <c r="GE171" s="2"/>
      <c r="GF171" s="2">
        <v>-1019452531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96"/>
        <v>0</v>
      </c>
      <c r="GM171" s="2">
        <f t="shared" si="197"/>
        <v>228.86</v>
      </c>
      <c r="GN171" s="2">
        <f t="shared" si="198"/>
        <v>228.86</v>
      </c>
      <c r="GO171" s="2">
        <f t="shared" si="199"/>
        <v>0</v>
      </c>
      <c r="GP171" s="2">
        <f t="shared" si="200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01"/>
        <v>0</v>
      </c>
      <c r="GW171" s="2">
        <v>1</v>
      </c>
      <c r="GX171" s="2">
        <f t="shared" si="202"/>
        <v>0</v>
      </c>
      <c r="GY171" s="2"/>
      <c r="GZ171" s="2"/>
      <c r="HA171" s="2">
        <v>0</v>
      </c>
      <c r="HB171" s="2">
        <v>0</v>
      </c>
      <c r="HC171" s="2">
        <f t="shared" si="203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3">
        <v>17</v>
      </c>
      <c r="B172" s="3">
        <v>1</v>
      </c>
      <c r="C172" s="3">
        <f>ROW(SmtRes!A244)</f>
        <v>244</v>
      </c>
      <c r="D172" s="3">
        <f>ROW(EtalonRes!A308)</f>
        <v>308</v>
      </c>
      <c r="E172" s="3" t="s">
        <v>315</v>
      </c>
      <c r="F172" s="3" t="s">
        <v>102</v>
      </c>
      <c r="G172" s="3" t="s">
        <v>316</v>
      </c>
      <c r="H172" s="3" t="s">
        <v>104</v>
      </c>
      <c r="I172" s="3">
        <v>4</v>
      </c>
      <c r="J172" s="3">
        <v>0</v>
      </c>
      <c r="K172" s="3">
        <v>4</v>
      </c>
      <c r="O172" s="3">
        <f t="shared" si="181"/>
        <v>4163.4399999999996</v>
      </c>
      <c r="P172" s="3">
        <f t="shared" si="179"/>
        <v>98.36</v>
      </c>
      <c r="Q172" s="3">
        <f>(ROUND((ROUND(((((ET172*1.25)*1.2))*AV172*I172),2)*BB172),2)+ROUND((ROUND(((AE172-(((EU172*1.25)*1.2)))*AV172*I172),2)*BS172),2))</f>
        <v>95.79</v>
      </c>
      <c r="R172" s="3">
        <f>(ROUND((ROUND(((((EU172*1.25)*1.2))*AV172*I172),2)*BS172),2)+ROUND((ROUND(((AE172-(((EU172*1.25)*1.2)))*AV172*I172),2)*BS172),2))</f>
        <v>46.77</v>
      </c>
      <c r="S172" s="3">
        <f t="shared" si="182"/>
        <v>3969.29</v>
      </c>
      <c r="T172" s="3">
        <f t="shared" si="183"/>
        <v>0</v>
      </c>
      <c r="U172" s="3">
        <f t="shared" si="184"/>
        <v>6.0665351999999988</v>
      </c>
      <c r="V172" s="3">
        <f t="shared" si="185"/>
        <v>0</v>
      </c>
      <c r="W172" s="3">
        <f t="shared" si="186"/>
        <v>0</v>
      </c>
      <c r="X172" s="3">
        <f>(ROUND((((S172+ROUND((ROUND(((((EU172*1.25)*1.2))*AV172*I172),2)*BS172),2))*AT172)/100),2)+ROUND(((ROUND((ROUND(((AE172-(((EU172*1.25)*1.2)))*AV172*I172),2)*BS172),2)*AT172)/100),2))</f>
        <v>4859.43</v>
      </c>
      <c r="Y172" s="3">
        <f>(ROUND((((S172+ROUND((ROUND(((((EU172*1.25)*1.2))*AV172*I172),2)*BS172),2))*AU172)/100),2)+ROUND(((ROUND((ROUND(((AE172-(((EU172*1.25)*1.2)))*AV172*I172),2)*BS172),2)*AU172)/100),2))</f>
        <v>2891.56</v>
      </c>
      <c r="AA172" s="3">
        <v>57248837</v>
      </c>
      <c r="AB172" s="3">
        <f t="shared" si="187"/>
        <v>21.629799999999999</v>
      </c>
      <c r="AC172" s="3">
        <f>ROUND((((ES172*1)*1)),6)</f>
        <v>3.76</v>
      </c>
      <c r="AD172" s="3">
        <f>ROUND((((((ET172*1.25)*1.2))-(((EU172*1.25)*1.2)))+AE172),6)</f>
        <v>1.365</v>
      </c>
      <c r="AE172" s="3">
        <f>ROUND((((EU172*1.25)*1.2)),6)</f>
        <v>0.19500000000000001</v>
      </c>
      <c r="AF172" s="3">
        <f>ROUND((((EV172*1.15)*1.2)),6)</f>
        <v>16.504799999999999</v>
      </c>
      <c r="AG172" s="3">
        <f t="shared" si="188"/>
        <v>0</v>
      </c>
      <c r="AH172" s="3">
        <f>(((EW172*1.15)*1.2))</f>
        <v>1.4213999999999998</v>
      </c>
      <c r="AI172" s="3">
        <f>(((EX172*1.25)*1.2))</f>
        <v>0</v>
      </c>
      <c r="AJ172" s="3">
        <f t="shared" si="189"/>
        <v>0</v>
      </c>
      <c r="AK172" s="3">
        <v>16.63</v>
      </c>
      <c r="AL172" s="3">
        <v>3.76</v>
      </c>
      <c r="AM172" s="3">
        <v>0.91</v>
      </c>
      <c r="AN172" s="3">
        <v>0.13</v>
      </c>
      <c r="AO172" s="3">
        <v>11.96</v>
      </c>
      <c r="AP172" s="3">
        <v>0</v>
      </c>
      <c r="AQ172" s="3">
        <v>1.03</v>
      </c>
      <c r="AR172" s="3">
        <v>0</v>
      </c>
      <c r="AS172" s="3">
        <v>0</v>
      </c>
      <c r="AT172" s="3">
        <v>121</v>
      </c>
      <c r="AU172" s="3">
        <v>72</v>
      </c>
      <c r="AV172" s="3">
        <v>1.0669999999999999</v>
      </c>
      <c r="AW172" s="3">
        <v>1</v>
      </c>
      <c r="AZ172" s="3">
        <v>1</v>
      </c>
      <c r="BA172" s="3">
        <v>56.35</v>
      </c>
      <c r="BB172" s="3">
        <v>16.43</v>
      </c>
      <c r="BC172" s="3">
        <v>6.54</v>
      </c>
      <c r="BD172" s="3" t="s">
        <v>3</v>
      </c>
      <c r="BE172" s="3" t="s">
        <v>3</v>
      </c>
      <c r="BF172" s="3" t="s">
        <v>3</v>
      </c>
      <c r="BG172" s="3" t="s">
        <v>3</v>
      </c>
      <c r="BH172" s="3">
        <v>0</v>
      </c>
      <c r="BI172" s="3">
        <v>1</v>
      </c>
      <c r="BJ172" s="3" t="s">
        <v>105</v>
      </c>
      <c r="BM172" s="3">
        <v>25</v>
      </c>
      <c r="BN172" s="3">
        <v>0</v>
      </c>
      <c r="BO172" s="3" t="s">
        <v>102</v>
      </c>
      <c r="BP172" s="3">
        <v>1</v>
      </c>
      <c r="BQ172" s="3">
        <v>30</v>
      </c>
      <c r="BR172" s="3">
        <v>0</v>
      </c>
      <c r="BS172" s="3">
        <v>56.35</v>
      </c>
      <c r="BT172" s="3">
        <v>1</v>
      </c>
      <c r="BU172" s="3">
        <v>1</v>
      </c>
      <c r="BV172" s="3">
        <v>1</v>
      </c>
      <c r="BW172" s="3">
        <v>1</v>
      </c>
      <c r="BX172" s="3">
        <v>1</v>
      </c>
      <c r="BY172" s="3" t="s">
        <v>3</v>
      </c>
      <c r="BZ172" s="3">
        <v>121</v>
      </c>
      <c r="CA172" s="3">
        <v>72</v>
      </c>
      <c r="CB172" s="3" t="s">
        <v>3</v>
      </c>
      <c r="CE172" s="3">
        <v>1566</v>
      </c>
      <c r="CF172" s="3">
        <v>0</v>
      </c>
      <c r="CG172" s="3">
        <v>0</v>
      </c>
      <c r="CM172" s="3">
        <v>0</v>
      </c>
      <c r="CN172" s="3" t="s">
        <v>824</v>
      </c>
      <c r="CO172" s="3">
        <v>0</v>
      </c>
      <c r="CP172" s="3">
        <f t="shared" si="190"/>
        <v>4163.4399999999996</v>
      </c>
      <c r="CQ172" s="3">
        <f t="shared" si="180"/>
        <v>24.59</v>
      </c>
      <c r="CR172" s="3">
        <f>(ROUND((ROUND(((((ET172*1.25)*1.2))*AV172*1),2)*BB172),2)+ROUND((ROUND(((AE172-(((EU172*1.25)*1.2)))*AV172*1),2)*BS172),2))</f>
        <v>23.99</v>
      </c>
      <c r="CS172" s="3">
        <f>(ROUND((ROUND(((((EU172*1.25)*1.2))*AV172*1),2)*BS172),2)+ROUND((ROUND(((AE172-(((EU172*1.25)*1.2)))*AV172*1),2)*BS172),2))</f>
        <v>11.83</v>
      </c>
      <c r="CT172" s="3">
        <f t="shared" si="191"/>
        <v>992.32</v>
      </c>
      <c r="CU172" s="3">
        <f t="shared" si="192"/>
        <v>0</v>
      </c>
      <c r="CV172" s="3">
        <f t="shared" si="193"/>
        <v>1.5166337999999997</v>
      </c>
      <c r="CW172" s="3">
        <f t="shared" si="194"/>
        <v>0</v>
      </c>
      <c r="CX172" s="3">
        <f t="shared" si="195"/>
        <v>0</v>
      </c>
      <c r="CY172" s="3">
        <f>(ROUND((((S172+ROUND((ROUND(((((EU172*1.25)*1.2))*AV172*1),2)*BS172),2))*AT172)/100),2)+ROUND(((ROUND((ROUND(((AE172-(((EU172*1.25)*1.2)))*AV172*1),2)*BS172),2)*AT172)/100),2))</f>
        <v>4817.16</v>
      </c>
      <c r="CZ172" s="3">
        <f>(ROUND((((S172+ROUND((ROUND(((((EU172*1.25)*1.2))*AV172*1),2)*BS172),2))*AU172)/100),2)+ROUND(((ROUND((ROUND(((AE172-(((EU172*1.25)*1.2)))*AV172*1),2)*BS172),2)*AU172)/100),2))</f>
        <v>2866.41</v>
      </c>
      <c r="DB172" s="3">
        <v>99</v>
      </c>
      <c r="DC172" s="3" t="s">
        <v>3</v>
      </c>
      <c r="DD172" s="3" t="s">
        <v>291</v>
      </c>
      <c r="DE172" s="3" t="s">
        <v>292</v>
      </c>
      <c r="DF172" s="3" t="s">
        <v>292</v>
      </c>
      <c r="DG172" s="3" t="s">
        <v>293</v>
      </c>
      <c r="DH172" s="3" t="s">
        <v>3</v>
      </c>
      <c r="DI172" s="3" t="s">
        <v>293</v>
      </c>
      <c r="DJ172" s="3" t="s">
        <v>292</v>
      </c>
      <c r="DK172" s="3" t="s">
        <v>3</v>
      </c>
      <c r="DL172" s="3" t="s">
        <v>3</v>
      </c>
      <c r="DM172" s="3" t="s">
        <v>3</v>
      </c>
      <c r="DN172" s="3">
        <v>0</v>
      </c>
      <c r="DO172" s="3">
        <v>0</v>
      </c>
      <c r="DP172" s="3">
        <v>1</v>
      </c>
      <c r="DQ172" s="3">
        <v>1</v>
      </c>
      <c r="DU172" s="3">
        <v>1013</v>
      </c>
      <c r="DV172" s="3" t="s">
        <v>104</v>
      </c>
      <c r="DW172" s="3" t="s">
        <v>104</v>
      </c>
      <c r="DX172" s="3">
        <v>1</v>
      </c>
      <c r="DZ172" s="3" t="s">
        <v>3</v>
      </c>
      <c r="EA172" s="3" t="s">
        <v>3</v>
      </c>
      <c r="EB172" s="3" t="s">
        <v>3</v>
      </c>
      <c r="EC172" s="3" t="s">
        <v>3</v>
      </c>
      <c r="EE172" s="3">
        <v>57248609</v>
      </c>
      <c r="EF172" s="3">
        <v>30</v>
      </c>
      <c r="EG172" s="3" t="s">
        <v>86</v>
      </c>
      <c r="EH172" s="3">
        <v>0</v>
      </c>
      <c r="EI172" s="3" t="s">
        <v>3</v>
      </c>
      <c r="EJ172" s="3">
        <v>1</v>
      </c>
      <c r="EK172" s="3">
        <v>25</v>
      </c>
      <c r="EL172" s="3" t="s">
        <v>106</v>
      </c>
      <c r="EM172" s="3" t="s">
        <v>107</v>
      </c>
      <c r="EO172" s="3" t="s">
        <v>294</v>
      </c>
      <c r="EQ172" s="3">
        <v>131072</v>
      </c>
      <c r="ER172" s="3">
        <v>16.63</v>
      </c>
      <c r="ES172" s="3">
        <v>3.76</v>
      </c>
      <c r="ET172" s="3">
        <v>0.91</v>
      </c>
      <c r="EU172" s="3">
        <v>0.13</v>
      </c>
      <c r="EV172" s="3">
        <v>11.96</v>
      </c>
      <c r="EW172" s="3">
        <v>1.03</v>
      </c>
      <c r="EX172" s="3">
        <v>0</v>
      </c>
      <c r="EY172" s="3">
        <v>0</v>
      </c>
      <c r="FQ172" s="3">
        <v>0</v>
      </c>
      <c r="FR172" s="3">
        <v>0</v>
      </c>
      <c r="FS172" s="3">
        <v>0</v>
      </c>
      <c r="FX172" s="3">
        <v>121</v>
      </c>
      <c r="FY172" s="3">
        <v>72</v>
      </c>
      <c r="GA172" s="3" t="s">
        <v>3</v>
      </c>
      <c r="GD172" s="3">
        <v>1</v>
      </c>
      <c r="GF172" s="3">
        <v>-1019452531</v>
      </c>
      <c r="GG172" s="3">
        <v>2</v>
      </c>
      <c r="GH172" s="3">
        <v>1</v>
      </c>
      <c r="GI172" s="3">
        <v>2</v>
      </c>
      <c r="GJ172" s="3">
        <v>0</v>
      </c>
      <c r="GK172" s="3">
        <v>0</v>
      </c>
      <c r="GL172" s="3">
        <f t="shared" si="196"/>
        <v>0</v>
      </c>
      <c r="GM172" s="3">
        <f t="shared" si="197"/>
        <v>11914.43</v>
      </c>
      <c r="GN172" s="3">
        <f t="shared" si="198"/>
        <v>11914.43</v>
      </c>
      <c r="GO172" s="3">
        <f t="shared" si="199"/>
        <v>0</v>
      </c>
      <c r="GP172" s="3">
        <f t="shared" si="200"/>
        <v>0</v>
      </c>
      <c r="GR172" s="3">
        <v>0</v>
      </c>
      <c r="GS172" s="3">
        <v>3</v>
      </c>
      <c r="GT172" s="3">
        <v>0</v>
      </c>
      <c r="GU172" s="3" t="s">
        <v>3</v>
      </c>
      <c r="GV172" s="3">
        <f t="shared" si="201"/>
        <v>0</v>
      </c>
      <c r="GW172" s="3">
        <v>1</v>
      </c>
      <c r="GX172" s="3">
        <f t="shared" si="202"/>
        <v>0</v>
      </c>
      <c r="HA172" s="3">
        <v>0</v>
      </c>
      <c r="HB172" s="3">
        <v>0</v>
      </c>
      <c r="HC172" s="3">
        <f t="shared" si="203"/>
        <v>0</v>
      </c>
      <c r="HE172" s="3" t="s">
        <v>3</v>
      </c>
      <c r="HF172" s="3" t="s">
        <v>3</v>
      </c>
      <c r="HM172" s="3" t="s">
        <v>3</v>
      </c>
      <c r="HN172" s="3" t="s">
        <v>3</v>
      </c>
      <c r="HO172" s="3" t="s">
        <v>3</v>
      </c>
      <c r="HP172" s="3" t="s">
        <v>3</v>
      </c>
      <c r="HQ172" s="3" t="s">
        <v>3</v>
      </c>
      <c r="HS172" s="3">
        <v>0</v>
      </c>
      <c r="IK172" s="3">
        <v>0</v>
      </c>
    </row>
    <row r="173" spans="1:255" x14ac:dyDescent="0.2">
      <c r="A173" s="2">
        <v>18</v>
      </c>
      <c r="B173" s="2">
        <v>1</v>
      </c>
      <c r="C173" s="2">
        <v>237</v>
      </c>
      <c r="D173" s="2"/>
      <c r="E173" s="2" t="s">
        <v>317</v>
      </c>
      <c r="F173" s="2" t="s">
        <v>318</v>
      </c>
      <c r="G173" s="2" t="s">
        <v>319</v>
      </c>
      <c r="H173" s="2" t="s">
        <v>320</v>
      </c>
      <c r="I173" s="2">
        <f>I171*J173</f>
        <v>0.8</v>
      </c>
      <c r="J173" s="2">
        <v>0.2</v>
      </c>
      <c r="K173" s="2">
        <v>0.2</v>
      </c>
      <c r="L173" s="2"/>
      <c r="M173" s="2"/>
      <c r="N173" s="2"/>
      <c r="O173" s="2">
        <f t="shared" si="181"/>
        <v>24.86</v>
      </c>
      <c r="P173" s="2">
        <f t="shared" si="179"/>
        <v>24.86</v>
      </c>
      <c r="Q173" s="2">
        <f>(ROUND((ROUND(((ET173)*AV173*I173),2)*BB173),2)+ROUND((ROUND(((AE173-(EU173))*AV173*I173),2)*BS173),2))</f>
        <v>0</v>
      </c>
      <c r="R173" s="2">
        <f>(ROUND((ROUND(((EU173)*AV173*I173),2)*BS173),2)+ROUND((ROUND(((AE173-(EU173))*AV173*I173),2)*BS173),2))</f>
        <v>0</v>
      </c>
      <c r="S173" s="2">
        <f t="shared" si="182"/>
        <v>0</v>
      </c>
      <c r="T173" s="2">
        <f t="shared" si="183"/>
        <v>0</v>
      </c>
      <c r="U173" s="2">
        <f t="shared" si="184"/>
        <v>0</v>
      </c>
      <c r="V173" s="2">
        <f t="shared" si="185"/>
        <v>0</v>
      </c>
      <c r="W173" s="2">
        <f t="shared" si="186"/>
        <v>0</v>
      </c>
      <c r="X173" s="2">
        <f>(ROUND((((S173+ROUND((ROUND(((EU173)*AV173*I173),2)*BS173),2))*AT173)/100),2)+ROUND(((ROUND((ROUND(((AE173-(EU173))*AV173*I173),2)*BS173),2)*AT173)/100),2))</f>
        <v>0</v>
      </c>
      <c r="Y173" s="2">
        <f>(ROUND((((S173+ROUND((ROUND(((EU173)*AV173*I173),2)*BS173),2))*AU173)/100),2)+ROUND(((ROUND((ROUND(((AE173-(EU173))*AV173*I173),2)*BS173),2)*AU173)/100),2))</f>
        <v>0</v>
      </c>
      <c r="Z173" s="2"/>
      <c r="AA173" s="2">
        <v>57248835</v>
      </c>
      <c r="AB173" s="2">
        <f t="shared" si="187"/>
        <v>31.08</v>
      </c>
      <c r="AC173" s="2">
        <f>ROUND((ES173),6)</f>
        <v>31.08</v>
      </c>
      <c r="AD173" s="2">
        <f>ROUND((((ET173)-(EU173))+AE173),6)</f>
        <v>0</v>
      </c>
      <c r="AE173" s="2">
        <f t="shared" ref="AE173:AF176" si="206">ROUND((EU173),6)</f>
        <v>0</v>
      </c>
      <c r="AF173" s="2">
        <f t="shared" si="206"/>
        <v>0</v>
      </c>
      <c r="AG173" s="2">
        <f t="shared" si="188"/>
        <v>0</v>
      </c>
      <c r="AH173" s="2">
        <f t="shared" ref="AH173:AI176" si="207">(EW173)</f>
        <v>0</v>
      </c>
      <c r="AI173" s="2">
        <f t="shared" si="207"/>
        <v>0</v>
      </c>
      <c r="AJ173" s="2">
        <f t="shared" si="189"/>
        <v>0</v>
      </c>
      <c r="AK173" s="2">
        <v>31.08</v>
      </c>
      <c r="AL173" s="2">
        <v>31.08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121</v>
      </c>
      <c r="AU173" s="2">
        <v>72</v>
      </c>
      <c r="AV173" s="2">
        <v>1</v>
      </c>
      <c r="AW173" s="2">
        <v>1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3</v>
      </c>
      <c r="BI173" s="2">
        <v>1</v>
      </c>
      <c r="BJ173" s="2" t="s">
        <v>321</v>
      </c>
      <c r="BK173" s="2"/>
      <c r="BL173" s="2"/>
      <c r="BM173" s="2">
        <v>25</v>
      </c>
      <c r="BN173" s="2">
        <v>0</v>
      </c>
      <c r="BO173" s="2" t="s">
        <v>3</v>
      </c>
      <c r="BP173" s="2">
        <v>0</v>
      </c>
      <c r="BQ173" s="2">
        <v>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121</v>
      </c>
      <c r="CA173" s="2">
        <v>72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3</v>
      </c>
      <c r="CO173" s="2">
        <v>0</v>
      </c>
      <c r="CP173" s="2">
        <f t="shared" si="190"/>
        <v>24.86</v>
      </c>
      <c r="CQ173" s="2">
        <f t="shared" si="180"/>
        <v>31.08</v>
      </c>
      <c r="CR173" s="2">
        <f>(ROUND((ROUND(((ET173)*AV173*1),2)*BB173),2)+ROUND((ROUND(((AE173-(EU173))*AV173*1),2)*BS173),2))</f>
        <v>0</v>
      </c>
      <c r="CS173" s="2">
        <f>(ROUND((ROUND(((EU173)*AV173*1),2)*BS173),2)+ROUND((ROUND(((AE173-(EU173))*AV173*1),2)*BS173),2))</f>
        <v>0</v>
      </c>
      <c r="CT173" s="2">
        <f t="shared" si="191"/>
        <v>0</v>
      </c>
      <c r="CU173" s="2">
        <f t="shared" si="192"/>
        <v>0</v>
      </c>
      <c r="CV173" s="2">
        <f t="shared" si="193"/>
        <v>0</v>
      </c>
      <c r="CW173" s="2">
        <f t="shared" si="194"/>
        <v>0</v>
      </c>
      <c r="CX173" s="2">
        <f t="shared" si="195"/>
        <v>0</v>
      </c>
      <c r="CY173" s="2">
        <f>(ROUND((((S173+ROUND((ROUND(((EU173)*AV173*1),2)*BS173),2))*AT173)/100),2)+ROUND(((ROUND((ROUND(((AE173-(EU173))*AV173*1),2)*BS173),2)*AT173)/100),2))</f>
        <v>0</v>
      </c>
      <c r="CZ173" s="2">
        <f>(ROUND((((S173+ROUND((ROUND(((EU173)*AV173*1),2)*BS173),2))*AU173)/100),2)+ROUND(((ROUND((ROUND(((AE173-(EU173))*AV173*1),2)*BS173),2)*AU173)/100),2))</f>
        <v>0</v>
      </c>
      <c r="DA173" s="2"/>
      <c r="DB173" s="2"/>
      <c r="DC173" s="2" t="s">
        <v>3</v>
      </c>
      <c r="DD173" s="2" t="s">
        <v>3</v>
      </c>
      <c r="DE173" s="2" t="s">
        <v>3</v>
      </c>
      <c r="DF173" s="2" t="s">
        <v>3</v>
      </c>
      <c r="DG173" s="2" t="s">
        <v>3</v>
      </c>
      <c r="DH173" s="2" t="s">
        <v>3</v>
      </c>
      <c r="DI173" s="2" t="s">
        <v>3</v>
      </c>
      <c r="DJ173" s="2" t="s">
        <v>3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1009</v>
      </c>
      <c r="DV173" s="2" t="s">
        <v>320</v>
      </c>
      <c r="DW173" s="2" t="s">
        <v>320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57248609</v>
      </c>
      <c r="EF173" s="2">
        <v>30</v>
      </c>
      <c r="EG173" s="2" t="s">
        <v>86</v>
      </c>
      <c r="EH173" s="2">
        <v>0</v>
      </c>
      <c r="EI173" s="2" t="s">
        <v>3</v>
      </c>
      <c r="EJ173" s="2">
        <v>1</v>
      </c>
      <c r="EK173" s="2">
        <v>25</v>
      </c>
      <c r="EL173" s="2" t="s">
        <v>106</v>
      </c>
      <c r="EM173" s="2" t="s">
        <v>107</v>
      </c>
      <c r="EN173" s="2"/>
      <c r="EO173" s="2" t="s">
        <v>3</v>
      </c>
      <c r="EP173" s="2"/>
      <c r="EQ173" s="2">
        <v>0</v>
      </c>
      <c r="ER173" s="2">
        <v>31.08</v>
      </c>
      <c r="ES173" s="2">
        <v>31.08</v>
      </c>
      <c r="ET173" s="2">
        <v>0</v>
      </c>
      <c r="EU173" s="2">
        <v>0</v>
      </c>
      <c r="EV173" s="2">
        <v>0</v>
      </c>
      <c r="EW173" s="2">
        <v>0</v>
      </c>
      <c r="EX173" s="2">
        <v>0</v>
      </c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121</v>
      </c>
      <c r="FY173" s="2">
        <v>72</v>
      </c>
      <c r="FZ173" s="2"/>
      <c r="GA173" s="2" t="s">
        <v>3</v>
      </c>
      <c r="GB173" s="2"/>
      <c r="GC173" s="2"/>
      <c r="GD173" s="2">
        <v>1</v>
      </c>
      <c r="GE173" s="2"/>
      <c r="GF173" s="2">
        <v>-2097101800</v>
      </c>
      <c r="GG173" s="2">
        <v>2</v>
      </c>
      <c r="GH173" s="2">
        <v>1</v>
      </c>
      <c r="GI173" s="2">
        <v>-2</v>
      </c>
      <c r="GJ173" s="2">
        <v>0</v>
      </c>
      <c r="GK173" s="2">
        <v>0</v>
      </c>
      <c r="GL173" s="2">
        <f t="shared" si="196"/>
        <v>0</v>
      </c>
      <c r="GM173" s="2">
        <f t="shared" si="197"/>
        <v>24.86</v>
      </c>
      <c r="GN173" s="2">
        <f t="shared" si="198"/>
        <v>24.86</v>
      </c>
      <c r="GO173" s="2">
        <f t="shared" si="199"/>
        <v>0</v>
      </c>
      <c r="GP173" s="2">
        <f t="shared" si="200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1"/>
        <v>0</v>
      </c>
      <c r="GW173" s="2">
        <v>1</v>
      </c>
      <c r="GX173" s="2">
        <f t="shared" si="202"/>
        <v>0</v>
      </c>
      <c r="GY173" s="2"/>
      <c r="GZ173" s="2"/>
      <c r="HA173" s="2">
        <v>0</v>
      </c>
      <c r="HB173" s="2">
        <v>0</v>
      </c>
      <c r="HC173" s="2">
        <f t="shared" si="203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3">
        <v>18</v>
      </c>
      <c r="B174" s="3">
        <v>1</v>
      </c>
      <c r="C174" s="3">
        <v>243</v>
      </c>
      <c r="E174" s="3" t="s">
        <v>317</v>
      </c>
      <c r="F174" s="3" t="s">
        <v>318</v>
      </c>
      <c r="G174" s="3" t="s">
        <v>319</v>
      </c>
      <c r="H174" s="3" t="s">
        <v>320</v>
      </c>
      <c r="I174" s="3">
        <f>I172*J174</f>
        <v>0.8</v>
      </c>
      <c r="J174" s="3">
        <v>0.2</v>
      </c>
      <c r="K174" s="3">
        <v>0.2</v>
      </c>
      <c r="O174" s="3">
        <f t="shared" si="181"/>
        <v>89.25</v>
      </c>
      <c r="P174" s="3">
        <f t="shared" si="179"/>
        <v>89.25</v>
      </c>
      <c r="Q174" s="3">
        <f>(ROUND((ROUND(((ET174)*AV174*I174),2)*BB174),2)+ROUND((ROUND(((AE174-(EU174))*AV174*I174),2)*BS174),2))</f>
        <v>0</v>
      </c>
      <c r="R174" s="3">
        <f>(ROUND((ROUND(((EU174)*AV174*I174),2)*BS174),2)+ROUND((ROUND(((AE174-(EU174))*AV174*I174),2)*BS174),2))</f>
        <v>0</v>
      </c>
      <c r="S174" s="3">
        <f t="shared" si="182"/>
        <v>0</v>
      </c>
      <c r="T174" s="3">
        <f t="shared" si="183"/>
        <v>0</v>
      </c>
      <c r="U174" s="3">
        <f t="shared" si="184"/>
        <v>0</v>
      </c>
      <c r="V174" s="3">
        <f t="shared" si="185"/>
        <v>0</v>
      </c>
      <c r="W174" s="3">
        <f t="shared" si="186"/>
        <v>0</v>
      </c>
      <c r="X174" s="3">
        <f>(ROUND((((S174+ROUND((ROUND(((EU174)*AV174*I174),2)*BS174),2))*AT174)/100),2)+ROUND(((ROUND((ROUND(((AE174-(EU174))*AV174*I174),2)*BS174),2)*AT174)/100),2))</f>
        <v>0</v>
      </c>
      <c r="Y174" s="3">
        <f>(ROUND((((S174+ROUND((ROUND(((EU174)*AV174*I174),2)*BS174),2))*AU174)/100),2)+ROUND(((ROUND((ROUND(((AE174-(EU174))*AV174*I174),2)*BS174),2)*AU174)/100),2))</f>
        <v>0</v>
      </c>
      <c r="AA174" s="3">
        <v>57248837</v>
      </c>
      <c r="AB174" s="3">
        <f t="shared" si="187"/>
        <v>31.08</v>
      </c>
      <c r="AC174" s="3">
        <f>ROUND((ES174),6)</f>
        <v>31.08</v>
      </c>
      <c r="AD174" s="3">
        <f>ROUND((((ET174)-(EU174))+AE174),6)</f>
        <v>0</v>
      </c>
      <c r="AE174" s="3">
        <f t="shared" si="206"/>
        <v>0</v>
      </c>
      <c r="AF174" s="3">
        <f t="shared" si="206"/>
        <v>0</v>
      </c>
      <c r="AG174" s="3">
        <f t="shared" si="188"/>
        <v>0</v>
      </c>
      <c r="AH174" s="3">
        <f t="shared" si="207"/>
        <v>0</v>
      </c>
      <c r="AI174" s="3">
        <f t="shared" si="207"/>
        <v>0</v>
      </c>
      <c r="AJ174" s="3">
        <f t="shared" si="189"/>
        <v>0</v>
      </c>
      <c r="AK174" s="3">
        <v>31.08</v>
      </c>
      <c r="AL174" s="3">
        <v>31.08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121</v>
      </c>
      <c r="AU174" s="3">
        <v>72</v>
      </c>
      <c r="AV174" s="3">
        <v>1</v>
      </c>
      <c r="AW174" s="3">
        <v>1</v>
      </c>
      <c r="AZ174" s="3">
        <v>1</v>
      </c>
      <c r="BA174" s="3">
        <v>1</v>
      </c>
      <c r="BB174" s="3">
        <v>1</v>
      </c>
      <c r="BC174" s="3">
        <v>3.59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3</v>
      </c>
      <c r="BI174" s="3">
        <v>1</v>
      </c>
      <c r="BJ174" s="3" t="s">
        <v>321</v>
      </c>
      <c r="BM174" s="3">
        <v>25</v>
      </c>
      <c r="BN174" s="3">
        <v>0</v>
      </c>
      <c r="BO174" s="3" t="s">
        <v>318</v>
      </c>
      <c r="BP174" s="3">
        <v>1</v>
      </c>
      <c r="BQ174" s="3">
        <v>30</v>
      </c>
      <c r="BR174" s="3">
        <v>0</v>
      </c>
      <c r="BS174" s="3">
        <v>1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121</v>
      </c>
      <c r="CA174" s="3">
        <v>72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3</v>
      </c>
      <c r="CO174" s="3">
        <v>0</v>
      </c>
      <c r="CP174" s="3">
        <f t="shared" si="190"/>
        <v>89.25</v>
      </c>
      <c r="CQ174" s="3">
        <f t="shared" si="180"/>
        <v>111.58</v>
      </c>
      <c r="CR174" s="3">
        <f>(ROUND((ROUND(((ET174)*AV174*1),2)*BB174),2)+ROUND((ROUND(((AE174-(EU174))*AV174*1),2)*BS174),2))</f>
        <v>0</v>
      </c>
      <c r="CS174" s="3">
        <f>(ROUND((ROUND(((EU174)*AV174*1),2)*BS174),2)+ROUND((ROUND(((AE174-(EU174))*AV174*1),2)*BS174),2))</f>
        <v>0</v>
      </c>
      <c r="CT174" s="3">
        <f t="shared" si="191"/>
        <v>0</v>
      </c>
      <c r="CU174" s="3">
        <f t="shared" si="192"/>
        <v>0</v>
      </c>
      <c r="CV174" s="3">
        <f t="shared" si="193"/>
        <v>0</v>
      </c>
      <c r="CW174" s="3">
        <f t="shared" si="194"/>
        <v>0</v>
      </c>
      <c r="CX174" s="3">
        <f t="shared" si="195"/>
        <v>0</v>
      </c>
      <c r="CY174" s="3">
        <f>(ROUND((((S174+ROUND((ROUND(((EU174)*AV174*1),2)*BS174),2))*AT174)/100),2)+ROUND(((ROUND((ROUND(((AE174-(EU174))*AV174*1),2)*BS174),2)*AT174)/100),2))</f>
        <v>0</v>
      </c>
      <c r="CZ174" s="3">
        <f>(ROUND((((S174+ROUND((ROUND(((EU174)*AV174*1),2)*BS174),2))*AU174)/100),2)+ROUND(((ROUND((ROUND(((AE174-(EU174))*AV174*1),2)*BS174),2)*AU174)/100),2))</f>
        <v>0</v>
      </c>
      <c r="DC174" s="3" t="s">
        <v>3</v>
      </c>
      <c r="DD174" s="3" t="s">
        <v>3</v>
      </c>
      <c r="DE174" s="3" t="s">
        <v>3</v>
      </c>
      <c r="DF174" s="3" t="s">
        <v>3</v>
      </c>
      <c r="DG174" s="3" t="s">
        <v>3</v>
      </c>
      <c r="DH174" s="3" t="s">
        <v>3</v>
      </c>
      <c r="DI174" s="3" t="s">
        <v>3</v>
      </c>
      <c r="DJ174" s="3" t="s">
        <v>3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1009</v>
      </c>
      <c r="DV174" s="3" t="s">
        <v>320</v>
      </c>
      <c r="DW174" s="3" t="s">
        <v>320</v>
      </c>
      <c r="DX174" s="3">
        <v>1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57248609</v>
      </c>
      <c r="EF174" s="3">
        <v>30</v>
      </c>
      <c r="EG174" s="3" t="s">
        <v>86</v>
      </c>
      <c r="EH174" s="3">
        <v>0</v>
      </c>
      <c r="EI174" s="3" t="s">
        <v>3</v>
      </c>
      <c r="EJ174" s="3">
        <v>1</v>
      </c>
      <c r="EK174" s="3">
        <v>25</v>
      </c>
      <c r="EL174" s="3" t="s">
        <v>106</v>
      </c>
      <c r="EM174" s="3" t="s">
        <v>107</v>
      </c>
      <c r="EO174" s="3" t="s">
        <v>3</v>
      </c>
      <c r="EQ174" s="3">
        <v>0</v>
      </c>
      <c r="ER174" s="3">
        <v>31.08</v>
      </c>
      <c r="ES174" s="3">
        <v>31.08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FQ174" s="3">
        <v>0</v>
      </c>
      <c r="FR174" s="3">
        <v>0</v>
      </c>
      <c r="FS174" s="3">
        <v>0</v>
      </c>
      <c r="FX174" s="3">
        <v>121</v>
      </c>
      <c r="FY174" s="3">
        <v>72</v>
      </c>
      <c r="GA174" s="3" t="s">
        <v>3</v>
      </c>
      <c r="GD174" s="3">
        <v>1</v>
      </c>
      <c r="GF174" s="3">
        <v>-2097101800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196"/>
        <v>0</v>
      </c>
      <c r="GM174" s="3">
        <f t="shared" si="197"/>
        <v>89.25</v>
      </c>
      <c r="GN174" s="3">
        <f t="shared" si="198"/>
        <v>89.25</v>
      </c>
      <c r="GO174" s="3">
        <f t="shared" si="199"/>
        <v>0</v>
      </c>
      <c r="GP174" s="3">
        <f t="shared" si="200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201"/>
        <v>0</v>
      </c>
      <c r="GW174" s="3">
        <v>1</v>
      </c>
      <c r="GX174" s="3">
        <f t="shared" si="202"/>
        <v>0</v>
      </c>
      <c r="HA174" s="3">
        <v>0</v>
      </c>
      <c r="HB174" s="3">
        <v>0</v>
      </c>
      <c r="HC174" s="3">
        <f t="shared" si="203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">
      <c r="A175" s="2">
        <v>18</v>
      </c>
      <c r="B175" s="2">
        <v>1</v>
      </c>
      <c r="C175" s="2">
        <v>238</v>
      </c>
      <c r="D175" s="2"/>
      <c r="E175" s="2" t="s">
        <v>322</v>
      </c>
      <c r="F175" s="2" t="s">
        <v>323</v>
      </c>
      <c r="G175" s="2" t="s">
        <v>324</v>
      </c>
      <c r="H175" s="2" t="s">
        <v>192</v>
      </c>
      <c r="I175" s="2">
        <f>I171*J175</f>
        <v>4</v>
      </c>
      <c r="J175" s="2">
        <v>1</v>
      </c>
      <c r="K175" s="2">
        <v>1</v>
      </c>
      <c r="L175" s="2"/>
      <c r="M175" s="2"/>
      <c r="N175" s="2"/>
      <c r="O175" s="2">
        <f t="shared" si="181"/>
        <v>7133.12</v>
      </c>
      <c r="P175" s="2">
        <f t="shared" si="179"/>
        <v>7133.12</v>
      </c>
      <c r="Q175" s="2">
        <f>(ROUND((ROUND(((ET175)*AV175*I175),2)*BB175),2)+ROUND((ROUND(((AE175-(EU175))*AV175*I175),2)*BS175),2))</f>
        <v>0</v>
      </c>
      <c r="R175" s="2">
        <f>(ROUND((ROUND(((EU175)*AV175*I175),2)*BS175),2)+ROUND((ROUND(((AE175-(EU175))*AV175*I175),2)*BS175),2))</f>
        <v>0</v>
      </c>
      <c r="S175" s="2">
        <f t="shared" si="182"/>
        <v>0</v>
      </c>
      <c r="T175" s="2">
        <f t="shared" si="183"/>
        <v>0</v>
      </c>
      <c r="U175" s="2">
        <f t="shared" si="184"/>
        <v>0</v>
      </c>
      <c r="V175" s="2">
        <f t="shared" si="185"/>
        <v>0</v>
      </c>
      <c r="W175" s="2">
        <f t="shared" si="186"/>
        <v>0</v>
      </c>
      <c r="X175" s="2">
        <f>(ROUND((((S175+ROUND((ROUND(((EU175)*AV175*I175),2)*BS175),2))*AT175)/100),2)+ROUND(((ROUND((ROUND(((AE175-(EU175))*AV175*I175),2)*BS175),2)*AT175)/100),2))</f>
        <v>0</v>
      </c>
      <c r="Y175" s="2">
        <f>(ROUND((((S175+ROUND((ROUND(((EU175)*AV175*I175),2)*BS175),2))*AU175)/100),2)+ROUND(((ROUND((ROUND(((AE175-(EU175))*AV175*I175),2)*BS175),2)*AU175)/100),2))</f>
        <v>0</v>
      </c>
      <c r="Z175" s="2"/>
      <c r="AA175" s="2">
        <v>57248835</v>
      </c>
      <c r="AB175" s="2">
        <f t="shared" si="187"/>
        <v>1783.28</v>
      </c>
      <c r="AC175" s="2">
        <f>ROUND((ES175),6)</f>
        <v>1783.28</v>
      </c>
      <c r="AD175" s="2">
        <f>ROUND((((ET175)-(EU175))+AE175),6)</f>
        <v>0</v>
      </c>
      <c r="AE175" s="2">
        <f t="shared" si="206"/>
        <v>0</v>
      </c>
      <c r="AF175" s="2">
        <f t="shared" si="206"/>
        <v>0</v>
      </c>
      <c r="AG175" s="2">
        <f t="shared" si="188"/>
        <v>0</v>
      </c>
      <c r="AH175" s="2">
        <f t="shared" si="207"/>
        <v>0</v>
      </c>
      <c r="AI175" s="2">
        <f t="shared" si="207"/>
        <v>0</v>
      </c>
      <c r="AJ175" s="2">
        <f t="shared" si="189"/>
        <v>0</v>
      </c>
      <c r="AK175" s="2">
        <v>1783.28</v>
      </c>
      <c r="AL175" s="2">
        <v>1783.28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3</v>
      </c>
      <c r="BJ175" s="2" t="s">
        <v>323</v>
      </c>
      <c r="BK175" s="2"/>
      <c r="BL175" s="2"/>
      <c r="BM175" s="2">
        <v>400007</v>
      </c>
      <c r="BN175" s="2">
        <v>0</v>
      </c>
      <c r="BO175" s="2" t="s">
        <v>3</v>
      </c>
      <c r="BP175" s="2">
        <v>0</v>
      </c>
      <c r="BQ175" s="2">
        <v>214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121</v>
      </c>
      <c r="CA175" s="2">
        <v>72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3</v>
      </c>
      <c r="CO175" s="2">
        <v>0</v>
      </c>
      <c r="CP175" s="2">
        <f t="shared" si="190"/>
        <v>7133.12</v>
      </c>
      <c r="CQ175" s="2">
        <f t="shared" si="180"/>
        <v>1783.28</v>
      </c>
      <c r="CR175" s="2">
        <f>(ROUND((ROUND(((ET175)*AV175*1),2)*BB175),2)+ROUND((ROUND(((AE175-(EU175))*AV175*1),2)*BS175),2))</f>
        <v>0</v>
      </c>
      <c r="CS175" s="2">
        <f>(ROUND((ROUND(((EU175)*AV175*1),2)*BS175),2)+ROUND((ROUND(((AE175-(EU175))*AV175*1),2)*BS175),2))</f>
        <v>0</v>
      </c>
      <c r="CT175" s="2">
        <f t="shared" si="191"/>
        <v>0</v>
      </c>
      <c r="CU175" s="2">
        <f t="shared" si="192"/>
        <v>0</v>
      </c>
      <c r="CV175" s="2">
        <f t="shared" si="193"/>
        <v>0</v>
      </c>
      <c r="CW175" s="2">
        <f t="shared" si="194"/>
        <v>0</v>
      </c>
      <c r="CX175" s="2">
        <f t="shared" si="195"/>
        <v>0</v>
      </c>
      <c r="CY175" s="2">
        <f>(ROUND((((S175+ROUND((ROUND(((EU175)*AV175*1),2)*BS175),2))*AT175)/100),2)+ROUND(((ROUND((ROUND(((AE175-(EU175))*AV175*1),2)*BS175),2)*AT175)/100),2))</f>
        <v>0</v>
      </c>
      <c r="CZ175" s="2">
        <f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1013</v>
      </c>
      <c r="DV175" s="2" t="s">
        <v>192</v>
      </c>
      <c r="DW175" s="2" t="s">
        <v>192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57248792</v>
      </c>
      <c r="EF175" s="2">
        <v>214</v>
      </c>
      <c r="EG175" s="2" t="s">
        <v>193</v>
      </c>
      <c r="EH175" s="2">
        <v>0</v>
      </c>
      <c r="EI175" s="2" t="s">
        <v>3</v>
      </c>
      <c r="EJ175" s="2">
        <v>3</v>
      </c>
      <c r="EK175" s="2">
        <v>400007</v>
      </c>
      <c r="EL175" s="2" t="s">
        <v>193</v>
      </c>
      <c r="EM175" s="2" t="s">
        <v>194</v>
      </c>
      <c r="EN175" s="2"/>
      <c r="EO175" s="2" t="s">
        <v>3</v>
      </c>
      <c r="EP175" s="2"/>
      <c r="EQ175" s="2">
        <v>16</v>
      </c>
      <c r="ER175" s="2">
        <v>0</v>
      </c>
      <c r="ES175" s="2">
        <v>1783.28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f>P175</f>
        <v>7133.12</v>
      </c>
      <c r="FS175" s="2">
        <v>0</v>
      </c>
      <c r="FT175" s="2"/>
      <c r="FU175" s="2"/>
      <c r="FV175" s="2"/>
      <c r="FW175" s="2"/>
      <c r="FX175" s="2">
        <v>121</v>
      </c>
      <c r="FY175" s="2">
        <v>72</v>
      </c>
      <c r="FZ175" s="2"/>
      <c r="GA175" s="2" t="s">
        <v>325</v>
      </c>
      <c r="GB175" s="2"/>
      <c r="GC175" s="2"/>
      <c r="GD175" s="2">
        <v>1</v>
      </c>
      <c r="GE175" s="2"/>
      <c r="GF175" s="2">
        <v>1753320395</v>
      </c>
      <c r="GG175" s="2">
        <v>2</v>
      </c>
      <c r="GH175" s="2">
        <v>4</v>
      </c>
      <c r="GI175" s="2">
        <v>-2</v>
      </c>
      <c r="GJ175" s="2">
        <v>0</v>
      </c>
      <c r="GK175" s="2">
        <v>0</v>
      </c>
      <c r="GL175" s="2">
        <f t="shared" si="196"/>
        <v>0</v>
      </c>
      <c r="GM175" s="2">
        <f t="shared" si="197"/>
        <v>7133.12</v>
      </c>
      <c r="GN175" s="2">
        <f t="shared" si="198"/>
        <v>0</v>
      </c>
      <c r="GO175" s="2">
        <f t="shared" si="199"/>
        <v>0</v>
      </c>
      <c r="GP175" s="2">
        <f t="shared" si="200"/>
        <v>0</v>
      </c>
      <c r="GQ175" s="2"/>
      <c r="GR175" s="2">
        <v>1</v>
      </c>
      <c r="GS175" s="2">
        <v>2</v>
      </c>
      <c r="GT175" s="2">
        <v>0</v>
      </c>
      <c r="GU175" s="2" t="s">
        <v>3</v>
      </c>
      <c r="GV175" s="2">
        <f t="shared" si="201"/>
        <v>0</v>
      </c>
      <c r="GW175" s="2">
        <v>1</v>
      </c>
      <c r="GX175" s="2">
        <f t="shared" si="202"/>
        <v>0</v>
      </c>
      <c r="GY175" s="2"/>
      <c r="GZ175" s="2"/>
      <c r="HA175" s="2">
        <v>0</v>
      </c>
      <c r="HB175" s="2">
        <v>0</v>
      </c>
      <c r="HC175" s="2">
        <f t="shared" si="203"/>
        <v>0</v>
      </c>
      <c r="HD175" s="2"/>
      <c r="HE175" s="2" t="s">
        <v>41</v>
      </c>
      <c r="HF175" s="2" t="s">
        <v>196</v>
      </c>
      <c r="HG175" s="2"/>
      <c r="HH175" s="2"/>
      <c r="HI175" s="2"/>
      <c r="HJ175" s="2"/>
      <c r="HK175" s="2"/>
      <c r="HL175" s="2"/>
      <c r="HM175" s="2" t="s">
        <v>3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3">
        <v>18</v>
      </c>
      <c r="B176" s="3">
        <v>1</v>
      </c>
      <c r="C176" s="3">
        <v>244</v>
      </c>
      <c r="E176" s="3" t="s">
        <v>322</v>
      </c>
      <c r="F176" s="3" t="s">
        <v>323</v>
      </c>
      <c r="G176" s="3" t="s">
        <v>324</v>
      </c>
      <c r="H176" s="3" t="s">
        <v>192</v>
      </c>
      <c r="I176" s="3">
        <f>I172*J176</f>
        <v>4</v>
      </c>
      <c r="J176" s="3">
        <v>1</v>
      </c>
      <c r="K176" s="3">
        <v>1</v>
      </c>
      <c r="O176" s="3">
        <f t="shared" si="181"/>
        <v>53997.72</v>
      </c>
      <c r="P176" s="3">
        <f t="shared" si="179"/>
        <v>53997.72</v>
      </c>
      <c r="Q176" s="3">
        <f>(ROUND((ROUND(((ET176)*AV176*I176),2)*BB176),2)+ROUND((ROUND(((AE176-(EU176))*AV176*I176),2)*BS176),2))</f>
        <v>0</v>
      </c>
      <c r="R176" s="3">
        <f>(ROUND((ROUND(((EU176)*AV176*I176),2)*BS176),2)+ROUND((ROUND(((AE176-(EU176))*AV176*I176),2)*BS176),2))</f>
        <v>0</v>
      </c>
      <c r="S176" s="3">
        <f t="shared" si="182"/>
        <v>0</v>
      </c>
      <c r="T176" s="3">
        <f t="shared" si="183"/>
        <v>0</v>
      </c>
      <c r="U176" s="3">
        <f t="shared" si="184"/>
        <v>0</v>
      </c>
      <c r="V176" s="3">
        <f t="shared" si="185"/>
        <v>0</v>
      </c>
      <c r="W176" s="3">
        <f t="shared" si="186"/>
        <v>0</v>
      </c>
      <c r="X176" s="3">
        <f>(ROUND((((S176+ROUND((ROUND(((EU176)*AV176*I176),2)*BS176),2))*AT176)/100),2)+ROUND(((ROUND((ROUND(((AE176-(EU176))*AV176*I176),2)*BS176),2)*AT176)/100),2))</f>
        <v>0</v>
      </c>
      <c r="Y176" s="3">
        <f>(ROUND((((S176+ROUND((ROUND(((EU176)*AV176*I176),2)*BS176),2))*AU176)/100),2)+ROUND(((ROUND((ROUND(((AE176-(EU176))*AV176*I176),2)*BS176),2)*AU176)/100),2))</f>
        <v>0</v>
      </c>
      <c r="AA176" s="3">
        <v>57248837</v>
      </c>
      <c r="AB176" s="3">
        <f t="shared" si="187"/>
        <v>1783.28</v>
      </c>
      <c r="AC176" s="3">
        <f>ROUND((ES176),6)</f>
        <v>1783.28</v>
      </c>
      <c r="AD176" s="3">
        <f>ROUND((((ET176)-(EU176))+AE176),6)</f>
        <v>0</v>
      </c>
      <c r="AE176" s="3">
        <f t="shared" si="206"/>
        <v>0</v>
      </c>
      <c r="AF176" s="3">
        <f t="shared" si="206"/>
        <v>0</v>
      </c>
      <c r="AG176" s="3">
        <f t="shared" si="188"/>
        <v>0</v>
      </c>
      <c r="AH176" s="3">
        <f t="shared" si="207"/>
        <v>0</v>
      </c>
      <c r="AI176" s="3">
        <f t="shared" si="207"/>
        <v>0</v>
      </c>
      <c r="AJ176" s="3">
        <f t="shared" si="189"/>
        <v>0</v>
      </c>
      <c r="AK176" s="3">
        <v>1783.28</v>
      </c>
      <c r="AL176" s="3">
        <v>1783.28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1</v>
      </c>
      <c r="AW176" s="3">
        <v>1</v>
      </c>
      <c r="AZ176" s="3">
        <v>1</v>
      </c>
      <c r="BA176" s="3">
        <v>1</v>
      </c>
      <c r="BB176" s="3">
        <v>1</v>
      </c>
      <c r="BC176" s="3">
        <v>7.57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3</v>
      </c>
      <c r="BI176" s="3">
        <v>3</v>
      </c>
      <c r="BJ176" s="3" t="s">
        <v>323</v>
      </c>
      <c r="BM176" s="3">
        <v>400007</v>
      </c>
      <c r="BN176" s="3">
        <v>0</v>
      </c>
      <c r="BO176" s="3" t="s">
        <v>3</v>
      </c>
      <c r="BP176" s="3">
        <v>0</v>
      </c>
      <c r="BQ176" s="3">
        <v>214</v>
      </c>
      <c r="BR176" s="3">
        <v>0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121</v>
      </c>
      <c r="CA176" s="3">
        <v>72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3</v>
      </c>
      <c r="CO176" s="3">
        <v>0</v>
      </c>
      <c r="CP176" s="3">
        <f t="shared" si="190"/>
        <v>53997.72</v>
      </c>
      <c r="CQ176" s="3">
        <f t="shared" si="180"/>
        <v>13499.43</v>
      </c>
      <c r="CR176" s="3">
        <f>(ROUND((ROUND(((ET176)*AV176*1),2)*BB176),2)+ROUND((ROUND(((AE176-(EU176))*AV176*1),2)*BS176),2))</f>
        <v>0</v>
      </c>
      <c r="CS176" s="3">
        <f>(ROUND((ROUND(((EU176)*AV176*1),2)*BS176),2)+ROUND((ROUND(((AE176-(EU176))*AV176*1),2)*BS176),2))</f>
        <v>0</v>
      </c>
      <c r="CT176" s="3">
        <f t="shared" si="191"/>
        <v>0</v>
      </c>
      <c r="CU176" s="3">
        <f t="shared" si="192"/>
        <v>0</v>
      </c>
      <c r="CV176" s="3">
        <f t="shared" si="193"/>
        <v>0</v>
      </c>
      <c r="CW176" s="3">
        <f t="shared" si="194"/>
        <v>0</v>
      </c>
      <c r="CX176" s="3">
        <f t="shared" si="195"/>
        <v>0</v>
      </c>
      <c r="CY176" s="3">
        <f>(ROUND((((S176+ROUND((ROUND(((EU176)*AV176*1),2)*BS176),2))*AT176)/100),2)+ROUND(((ROUND((ROUND(((AE176-(EU176))*AV176*1),2)*BS176),2)*AT176)/100),2))</f>
        <v>0</v>
      </c>
      <c r="CZ176" s="3">
        <f>(ROUND((((S176+ROUND((ROUND(((EU176)*AV176*1),2)*BS176),2))*AU176)/100),2)+ROUND(((ROUND((ROUND(((AE176-(EU176))*AV176*1),2)*BS176),2)*AU176)/100),2))</f>
        <v>0</v>
      </c>
      <c r="DC176" s="3" t="s">
        <v>3</v>
      </c>
      <c r="DD176" s="3" t="s">
        <v>3</v>
      </c>
      <c r="DE176" s="3" t="s">
        <v>3</v>
      </c>
      <c r="DF176" s="3" t="s">
        <v>3</v>
      </c>
      <c r="DG176" s="3" t="s">
        <v>3</v>
      </c>
      <c r="DH176" s="3" t="s">
        <v>3</v>
      </c>
      <c r="DI176" s="3" t="s">
        <v>3</v>
      </c>
      <c r="DJ176" s="3" t="s">
        <v>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1013</v>
      </c>
      <c r="DV176" s="3" t="s">
        <v>192</v>
      </c>
      <c r="DW176" s="3" t="s">
        <v>192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57248792</v>
      </c>
      <c r="EF176" s="3">
        <v>214</v>
      </c>
      <c r="EG176" s="3" t="s">
        <v>193</v>
      </c>
      <c r="EH176" s="3">
        <v>0</v>
      </c>
      <c r="EI176" s="3" t="s">
        <v>3</v>
      </c>
      <c r="EJ176" s="3">
        <v>3</v>
      </c>
      <c r="EK176" s="3">
        <v>400007</v>
      </c>
      <c r="EL176" s="3" t="s">
        <v>193</v>
      </c>
      <c r="EM176" s="3" t="s">
        <v>194</v>
      </c>
      <c r="EO176" s="3" t="s">
        <v>3</v>
      </c>
      <c r="EQ176" s="3">
        <v>16</v>
      </c>
      <c r="ER176" s="3">
        <v>0</v>
      </c>
      <c r="ES176" s="3">
        <v>1783.28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Z176" s="3">
        <v>5</v>
      </c>
      <c r="FC176" s="3">
        <v>1</v>
      </c>
      <c r="FD176" s="3">
        <v>18</v>
      </c>
      <c r="FF176" s="3">
        <v>15800</v>
      </c>
      <c r="FQ176" s="3">
        <v>0</v>
      </c>
      <c r="FR176" s="3">
        <f>P176</f>
        <v>53997.72</v>
      </c>
      <c r="FS176" s="3">
        <v>0</v>
      </c>
      <c r="FX176" s="3">
        <v>121</v>
      </c>
      <c r="FY176" s="3">
        <v>72</v>
      </c>
      <c r="GA176" s="3" t="s">
        <v>325</v>
      </c>
      <c r="GD176" s="3">
        <v>1</v>
      </c>
      <c r="GF176" s="3">
        <v>1753320395</v>
      </c>
      <c r="GG176" s="3">
        <v>2</v>
      </c>
      <c r="GH176" s="3">
        <v>3</v>
      </c>
      <c r="GI176" s="3">
        <v>5</v>
      </c>
      <c r="GJ176" s="3">
        <v>0</v>
      </c>
      <c r="GK176" s="3">
        <v>0</v>
      </c>
      <c r="GL176" s="3">
        <f t="shared" si="196"/>
        <v>0</v>
      </c>
      <c r="GM176" s="3">
        <f t="shared" si="197"/>
        <v>53997.72</v>
      </c>
      <c r="GN176" s="3">
        <f t="shared" si="198"/>
        <v>0</v>
      </c>
      <c r="GO176" s="3">
        <f t="shared" si="199"/>
        <v>0</v>
      </c>
      <c r="GP176" s="3">
        <f t="shared" si="200"/>
        <v>0</v>
      </c>
      <c r="GR176" s="3">
        <v>1</v>
      </c>
      <c r="GS176" s="3">
        <v>1</v>
      </c>
      <c r="GT176" s="3">
        <v>0</v>
      </c>
      <c r="GU176" s="3" t="s">
        <v>3</v>
      </c>
      <c r="GV176" s="3">
        <f t="shared" si="201"/>
        <v>0</v>
      </c>
      <c r="GW176" s="3">
        <v>1</v>
      </c>
      <c r="GX176" s="3">
        <f t="shared" si="202"/>
        <v>0</v>
      </c>
      <c r="HA176" s="3">
        <v>0</v>
      </c>
      <c r="HB176" s="3">
        <v>0</v>
      </c>
      <c r="HC176" s="3">
        <f t="shared" si="203"/>
        <v>0</v>
      </c>
      <c r="HE176" s="3" t="s">
        <v>41</v>
      </c>
      <c r="HF176" s="3" t="s">
        <v>196</v>
      </c>
      <c r="HM176" s="3" t="s">
        <v>3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">
      <c r="A177" s="2">
        <v>17</v>
      </c>
      <c r="B177" s="2">
        <v>1</v>
      </c>
      <c r="C177" s="2">
        <f>ROW(SmtRes!A250)</f>
        <v>250</v>
      </c>
      <c r="D177" s="2">
        <f>ROW(EtalonRes!A315)</f>
        <v>315</v>
      </c>
      <c r="E177" s="2" t="s">
        <v>326</v>
      </c>
      <c r="F177" s="2" t="s">
        <v>109</v>
      </c>
      <c r="G177" s="2" t="s">
        <v>327</v>
      </c>
      <c r="H177" s="2" t="s">
        <v>67</v>
      </c>
      <c r="I177" s="2">
        <f>ROUND(4/100,9)</f>
        <v>0.04</v>
      </c>
      <c r="J177" s="2">
        <v>0</v>
      </c>
      <c r="K177" s="2">
        <f>ROUND(4/100,9)</f>
        <v>0.04</v>
      </c>
      <c r="L177" s="2"/>
      <c r="M177" s="2"/>
      <c r="N177" s="2"/>
      <c r="O177" s="2">
        <f t="shared" si="181"/>
        <v>31.07</v>
      </c>
      <c r="P177" s="2">
        <f t="shared" si="179"/>
        <v>14.24</v>
      </c>
      <c r="Q177" s="2">
        <f>(ROUND((ROUND(((((ET177*1.25)*1.2))*AV177*I177),2)*BB177),2)+ROUND((ROUND(((AE177-(((EU177*1.25)*1.2)))*AV177*I177),2)*BS177),2))</f>
        <v>0.5</v>
      </c>
      <c r="R177" s="2">
        <f>(ROUND((ROUND(((((EU177*1.25)*1.2))*AV177*I177),2)*BS177),2)+ROUND((ROUND(((AE177-(((EU177*1.25)*1.2)))*AV177*I177),2)*BS177),2))</f>
        <v>0.02</v>
      </c>
      <c r="S177" s="2">
        <f t="shared" si="182"/>
        <v>16.329999999999998</v>
      </c>
      <c r="T177" s="2">
        <f t="shared" si="183"/>
        <v>0</v>
      </c>
      <c r="U177" s="2">
        <f t="shared" si="184"/>
        <v>1.4606803199999998</v>
      </c>
      <c r="V177" s="2">
        <f t="shared" si="185"/>
        <v>0</v>
      </c>
      <c r="W177" s="2">
        <f t="shared" si="186"/>
        <v>0</v>
      </c>
      <c r="X177" s="2">
        <f>(ROUND((((S177+ROUND((ROUND(((((EU177*1.25)*1.2))*AV177*I177),2)*BS177),2))*AT177)/100),2)+ROUND(((ROUND((ROUND(((AE177-(((EU177*1.25)*1.2)))*AV177*I177),2)*BS177),2)*AT177)/100),2))</f>
        <v>19.78</v>
      </c>
      <c r="Y177" s="2">
        <f>(ROUND((((S177+ROUND((ROUND(((((EU177*1.25)*1.2))*AV177*I177),2)*BS177),2))*AU177)/100),2)+ROUND(((ROUND((ROUND(((AE177-(((EU177*1.25)*1.2)))*AV177*I177),2)*BS177),2)*AU177)/100),2))</f>
        <v>11.77</v>
      </c>
      <c r="Z177" s="2"/>
      <c r="AA177" s="2">
        <v>57248835</v>
      </c>
      <c r="AB177" s="2">
        <f t="shared" si="187"/>
        <v>750.31979999999999</v>
      </c>
      <c r="AC177" s="2">
        <f>ROUND((((ES177*1)*1)),6)</f>
        <v>356.04</v>
      </c>
      <c r="AD177" s="2">
        <f>ROUND((((((ET177*1.25)*1.2))-(((EU177*1.25)*1.2)))+AE177),6)</f>
        <v>11.73</v>
      </c>
      <c r="AE177" s="2">
        <f>ROUND((((EU177*1.25)*1.2)),6)</f>
        <v>0.375</v>
      </c>
      <c r="AF177" s="2">
        <f>ROUND((((EV177*1.15)*1.2)),6)</f>
        <v>382.5498</v>
      </c>
      <c r="AG177" s="2">
        <f t="shared" si="188"/>
        <v>0</v>
      </c>
      <c r="AH177" s="2">
        <f>(((EW177*1.15)*1.2))</f>
        <v>34.223999999999997</v>
      </c>
      <c r="AI177" s="2">
        <f>(((EX177*1.25)*1.2))</f>
        <v>0</v>
      </c>
      <c r="AJ177" s="2">
        <f t="shared" si="189"/>
        <v>0</v>
      </c>
      <c r="AK177" s="2">
        <v>641.07000000000005</v>
      </c>
      <c r="AL177" s="2">
        <v>356.04</v>
      </c>
      <c r="AM177" s="2">
        <v>7.82</v>
      </c>
      <c r="AN177" s="2">
        <v>0.25</v>
      </c>
      <c r="AO177" s="2">
        <v>277.20999999999998</v>
      </c>
      <c r="AP177" s="2">
        <v>0</v>
      </c>
      <c r="AQ177" s="2">
        <v>24.8</v>
      </c>
      <c r="AR177" s="2">
        <v>0</v>
      </c>
      <c r="AS177" s="2">
        <v>0</v>
      </c>
      <c r="AT177" s="2">
        <v>121</v>
      </c>
      <c r="AU177" s="2">
        <v>72</v>
      </c>
      <c r="AV177" s="2">
        <v>1.0669999999999999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0</v>
      </c>
      <c r="BI177" s="2">
        <v>1</v>
      </c>
      <c r="BJ177" s="2" t="s">
        <v>111</v>
      </c>
      <c r="BK177" s="2"/>
      <c r="BL177" s="2"/>
      <c r="BM177" s="2">
        <v>22</v>
      </c>
      <c r="BN177" s="2">
        <v>0</v>
      </c>
      <c r="BO177" s="2" t="s">
        <v>109</v>
      </c>
      <c r="BP177" s="2">
        <v>1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121</v>
      </c>
      <c r="CA177" s="2">
        <v>72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824</v>
      </c>
      <c r="CO177" s="2">
        <v>0</v>
      </c>
      <c r="CP177" s="2">
        <f t="shared" si="190"/>
        <v>31.07</v>
      </c>
      <c r="CQ177" s="2">
        <f t="shared" si="180"/>
        <v>356.04</v>
      </c>
      <c r="CR177" s="2">
        <f>(ROUND((ROUND(((((ET177*1.25)*1.2))*AV177*1),2)*BB177),2)+ROUND((ROUND(((AE177-(((EU177*1.25)*1.2)))*AV177*1),2)*BS177),2))</f>
        <v>12.52</v>
      </c>
      <c r="CS177" s="2">
        <f>(ROUND((ROUND(((((EU177*1.25)*1.2))*AV177*1),2)*BS177),2)+ROUND((ROUND(((AE177-(((EU177*1.25)*1.2)))*AV177*1),2)*BS177),2))</f>
        <v>0.4</v>
      </c>
      <c r="CT177" s="2">
        <f t="shared" si="191"/>
        <v>408.18</v>
      </c>
      <c r="CU177" s="2">
        <f t="shared" si="192"/>
        <v>0</v>
      </c>
      <c r="CV177" s="2">
        <f t="shared" si="193"/>
        <v>36.517007999999997</v>
      </c>
      <c r="CW177" s="2">
        <f t="shared" si="194"/>
        <v>0</v>
      </c>
      <c r="CX177" s="2">
        <f t="shared" si="195"/>
        <v>0</v>
      </c>
      <c r="CY177" s="2">
        <f>(ROUND((((S177+ROUND((ROUND(((((EU177*1.25)*1.2))*AV177*1),2)*BS177),2))*AT177)/100),2)+ROUND(((ROUND((ROUND(((AE177-(((EU177*1.25)*1.2)))*AV177*1),2)*BS177),2)*AT177)/100),2))</f>
        <v>20.239999999999998</v>
      </c>
      <c r="CZ177" s="2">
        <f>(ROUND((((S177+ROUND((ROUND(((((EU177*1.25)*1.2))*AV177*1),2)*BS177),2))*AU177)/100),2)+ROUND(((ROUND((ROUND(((AE177-(((EU177*1.25)*1.2)))*AV177*1),2)*BS177),2)*AU177)/100),2))</f>
        <v>12.05</v>
      </c>
      <c r="DA177" s="2"/>
      <c r="DB177" s="2">
        <v>101</v>
      </c>
      <c r="DC177" s="2" t="s">
        <v>3</v>
      </c>
      <c r="DD177" s="2" t="s">
        <v>291</v>
      </c>
      <c r="DE177" s="2" t="s">
        <v>292</v>
      </c>
      <c r="DF177" s="2" t="s">
        <v>292</v>
      </c>
      <c r="DG177" s="2" t="s">
        <v>293</v>
      </c>
      <c r="DH177" s="2" t="s">
        <v>3</v>
      </c>
      <c r="DI177" s="2" t="s">
        <v>293</v>
      </c>
      <c r="DJ177" s="2" t="s">
        <v>292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1010</v>
      </c>
      <c r="DV177" s="2" t="s">
        <v>67</v>
      </c>
      <c r="DW177" s="2" t="s">
        <v>67</v>
      </c>
      <c r="DX177" s="2">
        <v>100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57248606</v>
      </c>
      <c r="EF177" s="2">
        <v>30</v>
      </c>
      <c r="EG177" s="2" t="s">
        <v>86</v>
      </c>
      <c r="EH177" s="2">
        <v>0</v>
      </c>
      <c r="EI177" s="2" t="s">
        <v>3</v>
      </c>
      <c r="EJ177" s="2">
        <v>1</v>
      </c>
      <c r="EK177" s="2">
        <v>22</v>
      </c>
      <c r="EL177" s="2" t="s">
        <v>112</v>
      </c>
      <c r="EM177" s="2" t="s">
        <v>113</v>
      </c>
      <c r="EN177" s="2"/>
      <c r="EO177" s="2" t="s">
        <v>294</v>
      </c>
      <c r="EP177" s="2"/>
      <c r="EQ177" s="2">
        <v>131072</v>
      </c>
      <c r="ER177" s="2">
        <v>641.07000000000005</v>
      </c>
      <c r="ES177" s="2">
        <v>356.04</v>
      </c>
      <c r="ET177" s="2">
        <v>7.82</v>
      </c>
      <c r="EU177" s="2">
        <v>0.25</v>
      </c>
      <c r="EV177" s="2">
        <v>277.20999999999998</v>
      </c>
      <c r="EW177" s="2">
        <v>24.8</v>
      </c>
      <c r="EX177" s="2">
        <v>0</v>
      </c>
      <c r="EY177" s="2">
        <v>0</v>
      </c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121</v>
      </c>
      <c r="FY177" s="2">
        <v>72</v>
      </c>
      <c r="FZ177" s="2"/>
      <c r="GA177" s="2" t="s">
        <v>3</v>
      </c>
      <c r="GB177" s="2"/>
      <c r="GC177" s="2"/>
      <c r="GD177" s="2">
        <v>1</v>
      </c>
      <c r="GE177" s="2"/>
      <c r="GF177" s="2">
        <v>630802187</v>
      </c>
      <c r="GG177" s="2">
        <v>2</v>
      </c>
      <c r="GH177" s="2">
        <v>1</v>
      </c>
      <c r="GI177" s="2">
        <v>2</v>
      </c>
      <c r="GJ177" s="2">
        <v>0</v>
      </c>
      <c r="GK177" s="2">
        <v>0</v>
      </c>
      <c r="GL177" s="2">
        <f t="shared" si="196"/>
        <v>0</v>
      </c>
      <c r="GM177" s="2">
        <f t="shared" si="197"/>
        <v>62.62</v>
      </c>
      <c r="GN177" s="2">
        <f t="shared" si="198"/>
        <v>62.62</v>
      </c>
      <c r="GO177" s="2">
        <f t="shared" si="199"/>
        <v>0</v>
      </c>
      <c r="GP177" s="2">
        <f t="shared" si="200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1"/>
        <v>0</v>
      </c>
      <c r="GW177" s="2">
        <v>1</v>
      </c>
      <c r="GX177" s="2">
        <f t="shared" si="202"/>
        <v>0</v>
      </c>
      <c r="GY177" s="2"/>
      <c r="GZ177" s="2"/>
      <c r="HA177" s="2">
        <v>0</v>
      </c>
      <c r="HB177" s="2">
        <v>0</v>
      </c>
      <c r="HC177" s="2">
        <f t="shared" si="203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3">
        <v>17</v>
      </c>
      <c r="B178" s="3">
        <v>1</v>
      </c>
      <c r="C178" s="3">
        <f>ROW(SmtRes!A256)</f>
        <v>256</v>
      </c>
      <c r="D178" s="3">
        <f>ROW(EtalonRes!A322)</f>
        <v>322</v>
      </c>
      <c r="E178" s="3" t="s">
        <v>326</v>
      </c>
      <c r="F178" s="3" t="s">
        <v>109</v>
      </c>
      <c r="G178" s="3" t="s">
        <v>327</v>
      </c>
      <c r="H178" s="3" t="s">
        <v>67</v>
      </c>
      <c r="I178" s="3">
        <f>ROUND(4/100,9)</f>
        <v>0.04</v>
      </c>
      <c r="J178" s="3">
        <v>0</v>
      </c>
      <c r="K178" s="3">
        <f>ROUND(4/100,9)</f>
        <v>0.04</v>
      </c>
      <c r="O178" s="3">
        <f t="shared" si="181"/>
        <v>974.48</v>
      </c>
      <c r="P178" s="3">
        <f t="shared" si="179"/>
        <v>48.7</v>
      </c>
      <c r="Q178" s="3">
        <f>(ROUND((ROUND(((((ET178*1.25)*1.2))*AV178*I178),2)*BB178),2)+ROUND((ROUND(((AE178-(((EU178*1.25)*1.2)))*AV178*I178),2)*BS178),2))</f>
        <v>5.58</v>
      </c>
      <c r="R178" s="3">
        <f>(ROUND((ROUND(((((EU178*1.25)*1.2))*AV178*I178),2)*BS178),2)+ROUND((ROUND(((AE178-(((EU178*1.25)*1.2)))*AV178*I178),2)*BS178),2))</f>
        <v>1.1299999999999999</v>
      </c>
      <c r="S178" s="3">
        <f t="shared" si="182"/>
        <v>920.2</v>
      </c>
      <c r="T178" s="3">
        <f t="shared" si="183"/>
        <v>0</v>
      </c>
      <c r="U178" s="3">
        <f t="shared" si="184"/>
        <v>1.4606803199999998</v>
      </c>
      <c r="V178" s="3">
        <f t="shared" si="185"/>
        <v>0</v>
      </c>
      <c r="W178" s="3">
        <f t="shared" si="186"/>
        <v>0</v>
      </c>
      <c r="X178" s="3">
        <f>(ROUND((((S178+ROUND((ROUND(((((EU178*1.25)*1.2))*AV178*I178),2)*BS178),2))*AT178)/100),2)+ROUND(((ROUND((ROUND(((AE178-(((EU178*1.25)*1.2)))*AV178*I178),2)*BS178),2)*AT178)/100),2))</f>
        <v>1114.81</v>
      </c>
      <c r="Y178" s="3">
        <f>(ROUND((((S178+ROUND((ROUND(((((EU178*1.25)*1.2))*AV178*I178),2)*BS178),2))*AU178)/100),2)+ROUND(((ROUND((ROUND(((AE178-(((EU178*1.25)*1.2)))*AV178*I178),2)*BS178),2)*AU178)/100),2))</f>
        <v>663.36</v>
      </c>
      <c r="AA178" s="3">
        <v>57248837</v>
      </c>
      <c r="AB178" s="3">
        <f t="shared" si="187"/>
        <v>750.31979999999999</v>
      </c>
      <c r="AC178" s="3">
        <f>ROUND((((ES178*1)*1)),6)</f>
        <v>356.04</v>
      </c>
      <c r="AD178" s="3">
        <f>ROUND((((((ET178*1.25)*1.2))-(((EU178*1.25)*1.2)))+AE178),6)</f>
        <v>11.73</v>
      </c>
      <c r="AE178" s="3">
        <f>ROUND((((EU178*1.25)*1.2)),6)</f>
        <v>0.375</v>
      </c>
      <c r="AF178" s="3">
        <f>ROUND((((EV178*1.15)*1.2)),6)</f>
        <v>382.5498</v>
      </c>
      <c r="AG178" s="3">
        <f t="shared" si="188"/>
        <v>0</v>
      </c>
      <c r="AH178" s="3">
        <f>(((EW178*1.15)*1.2))</f>
        <v>34.223999999999997</v>
      </c>
      <c r="AI178" s="3">
        <f>(((EX178*1.25)*1.2))</f>
        <v>0</v>
      </c>
      <c r="AJ178" s="3">
        <f t="shared" si="189"/>
        <v>0</v>
      </c>
      <c r="AK178" s="3">
        <v>641.07000000000005</v>
      </c>
      <c r="AL178" s="3">
        <v>356.04</v>
      </c>
      <c r="AM178" s="3">
        <v>7.82</v>
      </c>
      <c r="AN178" s="3">
        <v>0.25</v>
      </c>
      <c r="AO178" s="3">
        <v>277.20999999999998</v>
      </c>
      <c r="AP178" s="3">
        <v>0</v>
      </c>
      <c r="AQ178" s="3">
        <v>24.8</v>
      </c>
      <c r="AR178" s="3">
        <v>0</v>
      </c>
      <c r="AS178" s="3">
        <v>0</v>
      </c>
      <c r="AT178" s="3">
        <v>121</v>
      </c>
      <c r="AU178" s="3">
        <v>72</v>
      </c>
      <c r="AV178" s="3">
        <v>1.0669999999999999</v>
      </c>
      <c r="AW178" s="3">
        <v>1</v>
      </c>
      <c r="AZ178" s="3">
        <v>1</v>
      </c>
      <c r="BA178" s="3">
        <v>56.35</v>
      </c>
      <c r="BB178" s="3">
        <v>11.16</v>
      </c>
      <c r="BC178" s="3">
        <v>3.42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0</v>
      </c>
      <c r="BI178" s="3">
        <v>1</v>
      </c>
      <c r="BJ178" s="3" t="s">
        <v>111</v>
      </c>
      <c r="BM178" s="3">
        <v>22</v>
      </c>
      <c r="BN178" s="3">
        <v>0</v>
      </c>
      <c r="BO178" s="3" t="s">
        <v>109</v>
      </c>
      <c r="BP178" s="3">
        <v>1</v>
      </c>
      <c r="BQ178" s="3">
        <v>30</v>
      </c>
      <c r="BR178" s="3">
        <v>0</v>
      </c>
      <c r="BS178" s="3">
        <v>56.35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121</v>
      </c>
      <c r="CA178" s="3">
        <v>72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824</v>
      </c>
      <c r="CO178" s="3">
        <v>0</v>
      </c>
      <c r="CP178" s="3">
        <f t="shared" si="190"/>
        <v>974.48</v>
      </c>
      <c r="CQ178" s="3">
        <f t="shared" si="180"/>
        <v>1217.6600000000001</v>
      </c>
      <c r="CR178" s="3">
        <f>(ROUND((ROUND(((((ET178*1.25)*1.2))*AV178*1),2)*BB178),2)+ROUND((ROUND(((AE178-(((EU178*1.25)*1.2)))*AV178*1),2)*BS178),2))</f>
        <v>139.72</v>
      </c>
      <c r="CS178" s="3">
        <f>(ROUND((ROUND(((((EU178*1.25)*1.2))*AV178*1),2)*BS178),2)+ROUND((ROUND(((AE178-(((EU178*1.25)*1.2)))*AV178*1),2)*BS178),2))</f>
        <v>22.54</v>
      </c>
      <c r="CT178" s="3">
        <f t="shared" si="191"/>
        <v>23000.94</v>
      </c>
      <c r="CU178" s="3">
        <f t="shared" si="192"/>
        <v>0</v>
      </c>
      <c r="CV178" s="3">
        <f t="shared" si="193"/>
        <v>36.517007999999997</v>
      </c>
      <c r="CW178" s="3">
        <f t="shared" si="194"/>
        <v>0</v>
      </c>
      <c r="CX178" s="3">
        <f t="shared" si="195"/>
        <v>0</v>
      </c>
      <c r="CY178" s="3">
        <f>(ROUND((((S178+ROUND((ROUND(((((EU178*1.25)*1.2))*AV178*1),2)*BS178),2))*AT178)/100),2)+ROUND(((ROUND((ROUND(((AE178-(((EU178*1.25)*1.2)))*AV178*1),2)*BS178),2)*AT178)/100),2))</f>
        <v>1140.72</v>
      </c>
      <c r="CZ178" s="3">
        <f>(ROUND((((S178+ROUND((ROUND(((((EU178*1.25)*1.2))*AV178*1),2)*BS178),2))*AU178)/100),2)+ROUND(((ROUND((ROUND(((AE178-(((EU178*1.25)*1.2)))*AV178*1),2)*BS178),2)*AU178)/100),2))</f>
        <v>678.77</v>
      </c>
      <c r="DB178" s="3">
        <v>103</v>
      </c>
      <c r="DC178" s="3" t="s">
        <v>3</v>
      </c>
      <c r="DD178" s="3" t="s">
        <v>291</v>
      </c>
      <c r="DE178" s="3" t="s">
        <v>292</v>
      </c>
      <c r="DF178" s="3" t="s">
        <v>292</v>
      </c>
      <c r="DG178" s="3" t="s">
        <v>293</v>
      </c>
      <c r="DH178" s="3" t="s">
        <v>3</v>
      </c>
      <c r="DI178" s="3" t="s">
        <v>293</v>
      </c>
      <c r="DJ178" s="3" t="s">
        <v>292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1010</v>
      </c>
      <c r="DV178" s="3" t="s">
        <v>67</v>
      </c>
      <c r="DW178" s="3" t="s">
        <v>67</v>
      </c>
      <c r="DX178" s="3">
        <v>100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57248606</v>
      </c>
      <c r="EF178" s="3">
        <v>30</v>
      </c>
      <c r="EG178" s="3" t="s">
        <v>86</v>
      </c>
      <c r="EH178" s="3">
        <v>0</v>
      </c>
      <c r="EI178" s="3" t="s">
        <v>3</v>
      </c>
      <c r="EJ178" s="3">
        <v>1</v>
      </c>
      <c r="EK178" s="3">
        <v>22</v>
      </c>
      <c r="EL178" s="3" t="s">
        <v>112</v>
      </c>
      <c r="EM178" s="3" t="s">
        <v>113</v>
      </c>
      <c r="EO178" s="3" t="s">
        <v>294</v>
      </c>
      <c r="EQ178" s="3">
        <v>131072</v>
      </c>
      <c r="ER178" s="3">
        <v>641.07000000000005</v>
      </c>
      <c r="ES178" s="3">
        <v>356.04</v>
      </c>
      <c r="ET178" s="3">
        <v>7.82</v>
      </c>
      <c r="EU178" s="3">
        <v>0.25</v>
      </c>
      <c r="EV178" s="3">
        <v>277.20999999999998</v>
      </c>
      <c r="EW178" s="3">
        <v>24.8</v>
      </c>
      <c r="EX178" s="3">
        <v>0</v>
      </c>
      <c r="EY178" s="3">
        <v>0</v>
      </c>
      <c r="FQ178" s="3">
        <v>0</v>
      </c>
      <c r="FR178" s="3">
        <v>0</v>
      </c>
      <c r="FS178" s="3">
        <v>0</v>
      </c>
      <c r="FX178" s="3">
        <v>121</v>
      </c>
      <c r="FY178" s="3">
        <v>72</v>
      </c>
      <c r="GA178" s="3" t="s">
        <v>3</v>
      </c>
      <c r="GD178" s="3">
        <v>1</v>
      </c>
      <c r="GF178" s="3">
        <v>630802187</v>
      </c>
      <c r="GG178" s="3">
        <v>2</v>
      </c>
      <c r="GH178" s="3">
        <v>1</v>
      </c>
      <c r="GI178" s="3">
        <v>2</v>
      </c>
      <c r="GJ178" s="3">
        <v>0</v>
      </c>
      <c r="GK178" s="3">
        <v>0</v>
      </c>
      <c r="GL178" s="3">
        <f t="shared" si="196"/>
        <v>0</v>
      </c>
      <c r="GM178" s="3">
        <f t="shared" si="197"/>
        <v>2752.65</v>
      </c>
      <c r="GN178" s="3">
        <f t="shared" si="198"/>
        <v>2752.65</v>
      </c>
      <c r="GO178" s="3">
        <f t="shared" si="199"/>
        <v>0</v>
      </c>
      <c r="GP178" s="3">
        <f t="shared" si="200"/>
        <v>0</v>
      </c>
      <c r="GR178" s="3">
        <v>0</v>
      </c>
      <c r="GS178" s="3">
        <v>3</v>
      </c>
      <c r="GT178" s="3">
        <v>0</v>
      </c>
      <c r="GU178" s="3" t="s">
        <v>3</v>
      </c>
      <c r="GV178" s="3">
        <f t="shared" si="201"/>
        <v>0</v>
      </c>
      <c r="GW178" s="3">
        <v>1</v>
      </c>
      <c r="GX178" s="3">
        <f t="shared" si="202"/>
        <v>0</v>
      </c>
      <c r="HA178" s="3">
        <v>0</v>
      </c>
      <c r="HB178" s="3">
        <v>0</v>
      </c>
      <c r="HC178" s="3">
        <f t="shared" si="203"/>
        <v>0</v>
      </c>
      <c r="HE178" s="3" t="s">
        <v>3</v>
      </c>
      <c r="HF178" s="3" t="s">
        <v>3</v>
      </c>
      <c r="HM178" s="3" t="s">
        <v>3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">
      <c r="A179" s="2">
        <v>18</v>
      </c>
      <c r="B179" s="2">
        <v>1</v>
      </c>
      <c r="C179" s="2">
        <v>250</v>
      </c>
      <c r="D179" s="2"/>
      <c r="E179" s="2" t="s">
        <v>328</v>
      </c>
      <c r="F179" s="2" t="s">
        <v>329</v>
      </c>
      <c r="G179" s="2" t="s">
        <v>330</v>
      </c>
      <c r="H179" s="2" t="s">
        <v>192</v>
      </c>
      <c r="I179" s="2">
        <f>I177*J179</f>
        <v>4</v>
      </c>
      <c r="J179" s="2">
        <v>100</v>
      </c>
      <c r="K179" s="2">
        <v>100</v>
      </c>
      <c r="L179" s="2"/>
      <c r="M179" s="2"/>
      <c r="N179" s="2"/>
      <c r="O179" s="2">
        <f t="shared" si="181"/>
        <v>1019.6</v>
      </c>
      <c r="P179" s="2">
        <f t="shared" si="179"/>
        <v>1019.6</v>
      </c>
      <c r="Q179" s="2">
        <f>(ROUND((ROUND(((ET179)*AV179*I179),2)*BB179),2)+ROUND((ROUND(((AE179-(EU179))*AV179*I179),2)*BS179),2))</f>
        <v>0</v>
      </c>
      <c r="R179" s="2">
        <f>(ROUND((ROUND(((EU179)*AV179*I179),2)*BS179),2)+ROUND((ROUND(((AE179-(EU179))*AV179*I179),2)*BS179),2))</f>
        <v>0</v>
      </c>
      <c r="S179" s="2">
        <f t="shared" si="182"/>
        <v>0</v>
      </c>
      <c r="T179" s="2">
        <f t="shared" si="183"/>
        <v>0</v>
      </c>
      <c r="U179" s="2">
        <f t="shared" si="184"/>
        <v>0</v>
      </c>
      <c r="V179" s="2">
        <f t="shared" si="185"/>
        <v>0</v>
      </c>
      <c r="W179" s="2">
        <f t="shared" si="186"/>
        <v>0</v>
      </c>
      <c r="X179" s="2">
        <f>(ROUND((((S179+ROUND((ROUND(((EU179)*AV179*I179),2)*BS179),2))*AT179)/100),2)+ROUND(((ROUND((ROUND(((AE179-(EU179))*AV179*I179),2)*BS179),2)*AT179)/100),2))</f>
        <v>0</v>
      </c>
      <c r="Y179" s="2">
        <f>(ROUND((((S179+ROUND((ROUND(((EU179)*AV179*I179),2)*BS179),2))*AU179)/100),2)+ROUND(((ROUND((ROUND(((AE179-(EU179))*AV179*I179),2)*BS179),2)*AU179)/100),2))</f>
        <v>0</v>
      </c>
      <c r="Z179" s="2"/>
      <c r="AA179" s="2">
        <v>57248835</v>
      </c>
      <c r="AB179" s="2">
        <f t="shared" si="187"/>
        <v>254.9</v>
      </c>
      <c r="AC179" s="2">
        <f>ROUND((ES179),6)</f>
        <v>254.9</v>
      </c>
      <c r="AD179" s="2">
        <f>ROUND((((ET179)-(EU179))+AE179),6)</f>
        <v>0</v>
      </c>
      <c r="AE179" s="2">
        <f>ROUND((EU179),6)</f>
        <v>0</v>
      </c>
      <c r="AF179" s="2">
        <f>ROUND((EV179),6)</f>
        <v>0</v>
      </c>
      <c r="AG179" s="2">
        <f t="shared" si="188"/>
        <v>0</v>
      </c>
      <c r="AH179" s="2">
        <f>(EW179)</f>
        <v>0</v>
      </c>
      <c r="AI179" s="2">
        <f>(EX179)</f>
        <v>0</v>
      </c>
      <c r="AJ179" s="2">
        <f t="shared" si="189"/>
        <v>0</v>
      </c>
      <c r="AK179" s="2">
        <v>254.9</v>
      </c>
      <c r="AL179" s="2">
        <v>254.9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329</v>
      </c>
      <c r="BK179" s="2"/>
      <c r="BL179" s="2"/>
      <c r="BM179" s="2">
        <v>400005</v>
      </c>
      <c r="BN179" s="2">
        <v>0</v>
      </c>
      <c r="BO179" s="2" t="s">
        <v>3</v>
      </c>
      <c r="BP179" s="2">
        <v>0</v>
      </c>
      <c r="BQ179" s="2">
        <v>213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121</v>
      </c>
      <c r="CA179" s="2">
        <v>72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825</v>
      </c>
      <c r="CO179" s="2">
        <v>0</v>
      </c>
      <c r="CP179" s="2">
        <f t="shared" si="190"/>
        <v>1019.6</v>
      </c>
      <c r="CQ179" s="2">
        <f t="shared" si="180"/>
        <v>254.9</v>
      </c>
      <c r="CR179" s="2">
        <f>(ROUND((ROUND(((ET179)*AV179*1),2)*BB179),2)+ROUND((ROUND(((AE179-(EU179))*AV179*1),2)*BS179),2))</f>
        <v>0</v>
      </c>
      <c r="CS179" s="2">
        <f>(ROUND((ROUND(((EU179)*AV179*1),2)*BS179),2)+ROUND((ROUND(((AE179-(EU179))*AV179*1),2)*BS179),2))</f>
        <v>0</v>
      </c>
      <c r="CT179" s="2">
        <f t="shared" si="191"/>
        <v>0</v>
      </c>
      <c r="CU179" s="2">
        <f t="shared" si="192"/>
        <v>0</v>
      </c>
      <c r="CV179" s="2">
        <f t="shared" si="193"/>
        <v>0</v>
      </c>
      <c r="CW179" s="2">
        <f t="shared" si="194"/>
        <v>0</v>
      </c>
      <c r="CX179" s="2">
        <f t="shared" si="195"/>
        <v>0</v>
      </c>
      <c r="CY179" s="2">
        <f>(ROUND((((S179+ROUND((ROUND(((EU179)*AV179*1),2)*BS179),2))*AT179)/100),2)+ROUND(((ROUND((ROUND(((AE179-(EU179))*AV179*1),2)*BS179),2)*AT179)/100),2))</f>
        <v>0</v>
      </c>
      <c r="CZ179" s="2">
        <f>(ROUND((((S179+ROUND((ROUND(((EU179)*AV179*1),2)*BS179),2))*AU179)/100),2)+ROUND(((ROUND((ROUND(((AE179-(EU179))*AV179*1),2)*BS179),2)*AU179)/100),2))</f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1013</v>
      </c>
      <c r="DV179" s="2" t="s">
        <v>192</v>
      </c>
      <c r="DW179" s="2" t="s">
        <v>192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57248790</v>
      </c>
      <c r="EF179" s="2">
        <v>213</v>
      </c>
      <c r="EG179" s="2" t="s">
        <v>331</v>
      </c>
      <c r="EH179" s="2">
        <v>0</v>
      </c>
      <c r="EI179" s="2" t="s">
        <v>3</v>
      </c>
      <c r="EJ179" s="2">
        <v>1</v>
      </c>
      <c r="EK179" s="2">
        <v>400005</v>
      </c>
      <c r="EL179" s="2" t="s">
        <v>331</v>
      </c>
      <c r="EM179" s="2" t="s">
        <v>332</v>
      </c>
      <c r="EN179" s="2"/>
      <c r="EO179" s="2" t="s">
        <v>300</v>
      </c>
      <c r="EP179" s="2"/>
      <c r="EQ179" s="2">
        <v>16</v>
      </c>
      <c r="ER179" s="2">
        <v>0</v>
      </c>
      <c r="ES179" s="2">
        <v>254.9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121</v>
      </c>
      <c r="FY179" s="2">
        <v>72</v>
      </c>
      <c r="FZ179" s="2"/>
      <c r="GA179" s="2" t="s">
        <v>333</v>
      </c>
      <c r="GB179" s="2"/>
      <c r="GC179" s="2"/>
      <c r="GD179" s="2">
        <v>1</v>
      </c>
      <c r="GE179" s="2"/>
      <c r="GF179" s="2">
        <v>-1162098048</v>
      </c>
      <c r="GG179" s="2">
        <v>2</v>
      </c>
      <c r="GH179" s="2">
        <v>4</v>
      </c>
      <c r="GI179" s="2">
        <v>-2</v>
      </c>
      <c r="GJ179" s="2">
        <v>0</v>
      </c>
      <c r="GK179" s="2">
        <v>0</v>
      </c>
      <c r="GL179" s="2">
        <f t="shared" si="196"/>
        <v>0</v>
      </c>
      <c r="GM179" s="2">
        <f t="shared" si="197"/>
        <v>1019.6</v>
      </c>
      <c r="GN179" s="2">
        <f t="shared" si="198"/>
        <v>1019.6</v>
      </c>
      <c r="GO179" s="2">
        <f t="shared" si="199"/>
        <v>0</v>
      </c>
      <c r="GP179" s="2">
        <f t="shared" si="200"/>
        <v>0</v>
      </c>
      <c r="GQ179" s="2"/>
      <c r="GR179" s="2">
        <v>1</v>
      </c>
      <c r="GS179" s="2">
        <v>2</v>
      </c>
      <c r="GT179" s="2">
        <v>0</v>
      </c>
      <c r="GU179" s="2" t="s">
        <v>3</v>
      </c>
      <c r="GV179" s="2">
        <f t="shared" si="201"/>
        <v>0</v>
      </c>
      <c r="GW179" s="2">
        <v>1</v>
      </c>
      <c r="GX179" s="2">
        <f t="shared" si="202"/>
        <v>0</v>
      </c>
      <c r="GY179" s="2"/>
      <c r="GZ179" s="2"/>
      <c r="HA179" s="2">
        <v>0</v>
      </c>
      <c r="HB179" s="2">
        <v>0</v>
      </c>
      <c r="HC179" s="2">
        <f t="shared" si="203"/>
        <v>0</v>
      </c>
      <c r="HD179" s="2"/>
      <c r="HE179" s="2" t="s">
        <v>334</v>
      </c>
      <c r="HF179" s="2" t="s">
        <v>37</v>
      </c>
      <c r="HG179" s="2"/>
      <c r="HH179" s="2"/>
      <c r="HI179" s="2"/>
      <c r="HJ179" s="2"/>
      <c r="HK179" s="2"/>
      <c r="HL179" s="2"/>
      <c r="HM179" s="2" t="s">
        <v>291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 s="3">
        <v>18</v>
      </c>
      <c r="B180" s="3">
        <v>1</v>
      </c>
      <c r="C180" s="3">
        <v>256</v>
      </c>
      <c r="E180" s="3" t="s">
        <v>328</v>
      </c>
      <c r="F180" s="3" t="s">
        <v>329</v>
      </c>
      <c r="G180" s="3" t="s">
        <v>330</v>
      </c>
      <c r="H180" s="3" t="s">
        <v>192</v>
      </c>
      <c r="I180" s="3">
        <f>I178*J180</f>
        <v>4</v>
      </c>
      <c r="J180" s="3">
        <v>100</v>
      </c>
      <c r="K180" s="3">
        <v>100</v>
      </c>
      <c r="O180" s="3">
        <f t="shared" si="181"/>
        <v>10032.86</v>
      </c>
      <c r="P180" s="3">
        <f t="shared" si="179"/>
        <v>10032.86</v>
      </c>
      <c r="Q180" s="3">
        <f>(ROUND((ROUND(((ET180)*AV180*I180),2)*BB180),2)+ROUND((ROUND(((AE180-(EU180))*AV180*I180),2)*BS180),2))</f>
        <v>0</v>
      </c>
      <c r="R180" s="3">
        <f>(ROUND((ROUND(((EU180)*AV180*I180),2)*BS180),2)+ROUND((ROUND(((AE180-(EU180))*AV180*I180),2)*BS180),2))</f>
        <v>0</v>
      </c>
      <c r="S180" s="3">
        <f t="shared" si="182"/>
        <v>0</v>
      </c>
      <c r="T180" s="3">
        <f t="shared" si="183"/>
        <v>0</v>
      </c>
      <c r="U180" s="3">
        <f t="shared" si="184"/>
        <v>0</v>
      </c>
      <c r="V180" s="3">
        <f t="shared" si="185"/>
        <v>0</v>
      </c>
      <c r="W180" s="3">
        <f t="shared" si="186"/>
        <v>0</v>
      </c>
      <c r="X180" s="3">
        <f>(ROUND((((S180+ROUND((ROUND(((EU180)*AV180*I180),2)*BS180),2))*AT180)/100),2)+ROUND(((ROUND((ROUND(((AE180-(EU180))*AV180*I180),2)*BS180),2)*AT180)/100),2))</f>
        <v>0</v>
      </c>
      <c r="Y180" s="3">
        <f>(ROUND((((S180+ROUND((ROUND(((EU180)*AV180*I180),2)*BS180),2))*AU180)/100),2)+ROUND(((ROUND((ROUND(((AE180-(EU180))*AV180*I180),2)*BS180),2)*AU180)/100),2))</f>
        <v>0</v>
      </c>
      <c r="AA180" s="3">
        <v>57248837</v>
      </c>
      <c r="AB180" s="3">
        <f t="shared" si="187"/>
        <v>254.9</v>
      </c>
      <c r="AC180" s="3">
        <f>ROUND((ES180),6)</f>
        <v>254.9</v>
      </c>
      <c r="AD180" s="3">
        <f>ROUND((((ET180)-(EU180))+AE180),6)</f>
        <v>0</v>
      </c>
      <c r="AE180" s="3">
        <f>ROUND((EU180),6)</f>
        <v>0</v>
      </c>
      <c r="AF180" s="3">
        <f>ROUND((EV180),6)</f>
        <v>0</v>
      </c>
      <c r="AG180" s="3">
        <f t="shared" si="188"/>
        <v>0</v>
      </c>
      <c r="AH180" s="3">
        <f>(EW180)</f>
        <v>0</v>
      </c>
      <c r="AI180" s="3">
        <f>(EX180)</f>
        <v>0</v>
      </c>
      <c r="AJ180" s="3">
        <f t="shared" si="189"/>
        <v>0</v>
      </c>
      <c r="AK180" s="3">
        <v>254.9</v>
      </c>
      <c r="AL180" s="3">
        <v>254.9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1</v>
      </c>
      <c r="AW180" s="3">
        <v>1</v>
      </c>
      <c r="AZ180" s="3">
        <v>1</v>
      </c>
      <c r="BA180" s="3">
        <v>1</v>
      </c>
      <c r="BB180" s="3">
        <v>1</v>
      </c>
      <c r="BC180" s="3">
        <v>9.84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3</v>
      </c>
      <c r="BI180" s="3">
        <v>1</v>
      </c>
      <c r="BJ180" s="3" t="s">
        <v>329</v>
      </c>
      <c r="BM180" s="3">
        <v>400005</v>
      </c>
      <c r="BN180" s="3">
        <v>0</v>
      </c>
      <c r="BO180" s="3" t="s">
        <v>3</v>
      </c>
      <c r="BP180" s="3">
        <v>0</v>
      </c>
      <c r="BQ180" s="3">
        <v>213</v>
      </c>
      <c r="BR180" s="3">
        <v>0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121</v>
      </c>
      <c r="CA180" s="3">
        <v>72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825</v>
      </c>
      <c r="CO180" s="3">
        <v>0</v>
      </c>
      <c r="CP180" s="3">
        <f t="shared" si="190"/>
        <v>10032.86</v>
      </c>
      <c r="CQ180" s="3">
        <f t="shared" si="180"/>
        <v>2508.2199999999998</v>
      </c>
      <c r="CR180" s="3">
        <f>(ROUND((ROUND(((ET180)*AV180*1),2)*BB180),2)+ROUND((ROUND(((AE180-(EU180))*AV180*1),2)*BS180),2))</f>
        <v>0</v>
      </c>
      <c r="CS180" s="3">
        <f>(ROUND((ROUND(((EU180)*AV180*1),2)*BS180),2)+ROUND((ROUND(((AE180-(EU180))*AV180*1),2)*BS180),2))</f>
        <v>0</v>
      </c>
      <c r="CT180" s="3">
        <f t="shared" si="191"/>
        <v>0</v>
      </c>
      <c r="CU180" s="3">
        <f t="shared" si="192"/>
        <v>0</v>
      </c>
      <c r="CV180" s="3">
        <f t="shared" si="193"/>
        <v>0</v>
      </c>
      <c r="CW180" s="3">
        <f t="shared" si="194"/>
        <v>0</v>
      </c>
      <c r="CX180" s="3">
        <f t="shared" si="195"/>
        <v>0</v>
      </c>
      <c r="CY180" s="3">
        <f>(ROUND((((S180+ROUND((ROUND(((EU180)*AV180*1),2)*BS180),2))*AT180)/100),2)+ROUND(((ROUND((ROUND(((AE180-(EU180))*AV180*1),2)*BS180),2)*AT180)/100),2))</f>
        <v>0</v>
      </c>
      <c r="CZ180" s="3">
        <f>(ROUND((((S180+ROUND((ROUND(((EU180)*AV180*1),2)*BS180),2))*AU180)/100),2)+ROUND(((ROUND((ROUND(((AE180-(EU180))*AV180*1),2)*BS180),2)*AU180)/100),2))</f>
        <v>0</v>
      </c>
      <c r="DC180" s="3" t="s">
        <v>3</v>
      </c>
      <c r="DD180" s="3" t="s">
        <v>3</v>
      </c>
      <c r="DE180" s="3" t="s">
        <v>3</v>
      </c>
      <c r="DF180" s="3" t="s">
        <v>3</v>
      </c>
      <c r="DG180" s="3" t="s">
        <v>3</v>
      </c>
      <c r="DH180" s="3" t="s">
        <v>3</v>
      </c>
      <c r="DI180" s="3" t="s">
        <v>3</v>
      </c>
      <c r="DJ180" s="3" t="s">
        <v>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1013</v>
      </c>
      <c r="DV180" s="3" t="s">
        <v>192</v>
      </c>
      <c r="DW180" s="3" t="s">
        <v>192</v>
      </c>
      <c r="DX180" s="3">
        <v>1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57248790</v>
      </c>
      <c r="EF180" s="3">
        <v>213</v>
      </c>
      <c r="EG180" s="3" t="s">
        <v>331</v>
      </c>
      <c r="EH180" s="3">
        <v>0</v>
      </c>
      <c r="EI180" s="3" t="s">
        <v>3</v>
      </c>
      <c r="EJ180" s="3">
        <v>1</v>
      </c>
      <c r="EK180" s="3">
        <v>400005</v>
      </c>
      <c r="EL180" s="3" t="s">
        <v>331</v>
      </c>
      <c r="EM180" s="3" t="s">
        <v>332</v>
      </c>
      <c r="EO180" s="3" t="s">
        <v>300</v>
      </c>
      <c r="EQ180" s="3">
        <v>16</v>
      </c>
      <c r="ER180" s="3">
        <v>0</v>
      </c>
      <c r="ES180" s="3">
        <v>254.9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Z180" s="3">
        <v>5</v>
      </c>
      <c r="FC180" s="3">
        <v>1</v>
      </c>
      <c r="FD180" s="3">
        <v>18</v>
      </c>
      <c r="FF180" s="3">
        <v>3000</v>
      </c>
      <c r="FQ180" s="3">
        <v>0</v>
      </c>
      <c r="FR180" s="3">
        <v>0</v>
      </c>
      <c r="FS180" s="3">
        <v>0</v>
      </c>
      <c r="FX180" s="3">
        <v>121</v>
      </c>
      <c r="FY180" s="3">
        <v>72</v>
      </c>
      <c r="GA180" s="3" t="s">
        <v>333</v>
      </c>
      <c r="GD180" s="3">
        <v>1</v>
      </c>
      <c r="GF180" s="3">
        <v>-1162098048</v>
      </c>
      <c r="GG180" s="3">
        <v>2</v>
      </c>
      <c r="GH180" s="3">
        <v>3</v>
      </c>
      <c r="GI180" s="3">
        <v>5</v>
      </c>
      <c r="GJ180" s="3">
        <v>0</v>
      </c>
      <c r="GK180" s="3">
        <v>0</v>
      </c>
      <c r="GL180" s="3">
        <f t="shared" si="196"/>
        <v>0</v>
      </c>
      <c r="GM180" s="3">
        <f t="shared" si="197"/>
        <v>10032.86</v>
      </c>
      <c r="GN180" s="3">
        <f t="shared" si="198"/>
        <v>10032.86</v>
      </c>
      <c r="GO180" s="3">
        <f t="shared" si="199"/>
        <v>0</v>
      </c>
      <c r="GP180" s="3">
        <f t="shared" si="200"/>
        <v>0</v>
      </c>
      <c r="GR180" s="3">
        <v>1</v>
      </c>
      <c r="GS180" s="3">
        <v>1</v>
      </c>
      <c r="GT180" s="3">
        <v>0</v>
      </c>
      <c r="GU180" s="3" t="s">
        <v>3</v>
      </c>
      <c r="GV180" s="3">
        <f t="shared" si="201"/>
        <v>0</v>
      </c>
      <c r="GW180" s="3">
        <v>1</v>
      </c>
      <c r="GX180" s="3">
        <f t="shared" si="202"/>
        <v>0</v>
      </c>
      <c r="HA180" s="3">
        <v>0</v>
      </c>
      <c r="HB180" s="3">
        <v>0</v>
      </c>
      <c r="HC180" s="3">
        <f t="shared" si="203"/>
        <v>0</v>
      </c>
      <c r="HE180" s="3" t="s">
        <v>334</v>
      </c>
      <c r="HF180" s="3" t="s">
        <v>37</v>
      </c>
      <c r="HM180" s="3" t="s">
        <v>291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2" spans="1:255" x14ac:dyDescent="0.2">
      <c r="A182" s="11">
        <v>51</v>
      </c>
      <c r="B182" s="11">
        <f>B95</f>
        <v>1</v>
      </c>
      <c r="C182" s="11">
        <f>A95</f>
        <v>4</v>
      </c>
      <c r="D182" s="11">
        <f>ROW(A95)</f>
        <v>95</v>
      </c>
      <c r="E182" s="11"/>
      <c r="F182" s="11" t="str">
        <f>IF(F95&lt;&gt;"",F95,"")</f>
        <v>1</v>
      </c>
      <c r="G182" s="11" t="str">
        <f>IF(G95&lt;&gt;"",G95,"")</f>
        <v>Оборудование</v>
      </c>
      <c r="H182" s="11">
        <v>0</v>
      </c>
      <c r="I182" s="11"/>
      <c r="J182" s="11"/>
      <c r="K182" s="11"/>
      <c r="L182" s="11"/>
      <c r="M182" s="11"/>
      <c r="N182" s="11"/>
      <c r="O182" s="11">
        <f t="shared" ref="O182:T182" si="208">ROUND(AB182,2)</f>
        <v>270562.49</v>
      </c>
      <c r="P182" s="11">
        <f t="shared" si="208"/>
        <v>268955.95</v>
      </c>
      <c r="Q182" s="11">
        <f t="shared" si="208"/>
        <v>99.01</v>
      </c>
      <c r="R182" s="11">
        <f t="shared" si="208"/>
        <v>14.41</v>
      </c>
      <c r="S182" s="11">
        <f t="shared" si="208"/>
        <v>1507.53</v>
      </c>
      <c r="T182" s="11">
        <f t="shared" si="208"/>
        <v>0</v>
      </c>
      <c r="U182" s="11">
        <f>AH182</f>
        <v>116.93944696799997</v>
      </c>
      <c r="V182" s="11">
        <f>AI182</f>
        <v>0</v>
      </c>
      <c r="W182" s="11">
        <f>ROUND(AJ182,2)</f>
        <v>0</v>
      </c>
      <c r="X182" s="11">
        <f>ROUND(AK182,2)</f>
        <v>1418.28</v>
      </c>
      <c r="Y182" s="11">
        <f>ROUND(AL182,2)</f>
        <v>762.25</v>
      </c>
      <c r="Z182" s="11"/>
      <c r="AA182" s="11"/>
      <c r="AB182" s="11">
        <f>ROUND(SUMIF(AA99:AA180,"=57248835",O99:O180),2)</f>
        <v>270562.49</v>
      </c>
      <c r="AC182" s="11">
        <f>ROUND(SUMIF(AA99:AA180,"=57248835",P99:P180),2)</f>
        <v>268955.95</v>
      </c>
      <c r="AD182" s="11">
        <f>ROUND(SUMIF(AA99:AA180,"=57248835",Q99:Q180),2)</f>
        <v>99.01</v>
      </c>
      <c r="AE182" s="11">
        <f>ROUND(SUMIF(AA99:AA180,"=57248835",R99:R180),2)</f>
        <v>14.41</v>
      </c>
      <c r="AF182" s="11">
        <f>ROUND(SUMIF(AA99:AA180,"=57248835",S99:S180),2)</f>
        <v>1507.53</v>
      </c>
      <c r="AG182" s="11">
        <f>ROUND(SUMIF(AA99:AA180,"=57248835",T99:T180),2)</f>
        <v>0</v>
      </c>
      <c r="AH182" s="11">
        <f>SUMIF(AA99:AA180,"=57248835",U99:U180)</f>
        <v>116.93944696799997</v>
      </c>
      <c r="AI182" s="11">
        <f>SUMIF(AA99:AA180,"=57248835",V99:V180)</f>
        <v>0</v>
      </c>
      <c r="AJ182" s="11">
        <f>ROUND(SUMIF(AA99:AA180,"=57248835",W99:W180),2)</f>
        <v>0</v>
      </c>
      <c r="AK182" s="11">
        <f>ROUND(SUMIF(AA99:AA180,"=57248835",X99:X180),2)</f>
        <v>1418.28</v>
      </c>
      <c r="AL182" s="11">
        <f>ROUND(SUMIF(AA99:AA180,"=57248835",Y99:Y180),2)</f>
        <v>762.25</v>
      </c>
      <c r="AM182" s="11"/>
      <c r="AN182" s="11"/>
      <c r="AO182" s="11">
        <f t="shared" ref="AO182:BD182" si="209">ROUND(BX182,2)</f>
        <v>0</v>
      </c>
      <c r="AP182" s="11">
        <f t="shared" si="209"/>
        <v>245990.04</v>
      </c>
      <c r="AQ182" s="11">
        <f t="shared" si="209"/>
        <v>0</v>
      </c>
      <c r="AR182" s="11">
        <f t="shared" si="209"/>
        <v>272743.02</v>
      </c>
      <c r="AS182" s="11">
        <f t="shared" si="209"/>
        <v>23554.62</v>
      </c>
      <c r="AT182" s="11">
        <f t="shared" si="209"/>
        <v>3198.36</v>
      </c>
      <c r="AU182" s="11">
        <f t="shared" si="209"/>
        <v>0</v>
      </c>
      <c r="AV182" s="11">
        <f t="shared" si="209"/>
        <v>268955.95</v>
      </c>
      <c r="AW182" s="11">
        <f t="shared" si="209"/>
        <v>22965.91</v>
      </c>
      <c r="AX182" s="11">
        <f t="shared" si="209"/>
        <v>0</v>
      </c>
      <c r="AY182" s="11">
        <f t="shared" si="209"/>
        <v>22965.91</v>
      </c>
      <c r="AZ182" s="11">
        <f t="shared" si="209"/>
        <v>245990.04</v>
      </c>
      <c r="BA182" s="11">
        <f t="shared" si="209"/>
        <v>0</v>
      </c>
      <c r="BB182" s="11">
        <f t="shared" si="209"/>
        <v>0</v>
      </c>
      <c r="BC182" s="11">
        <f t="shared" si="209"/>
        <v>0</v>
      </c>
      <c r="BD182" s="11">
        <f t="shared" si="209"/>
        <v>0</v>
      </c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>
        <f>ROUND(SUMIF(AA99:AA180,"=57248835",FQ99:FQ180),2)</f>
        <v>0</v>
      </c>
      <c r="BY182" s="11">
        <f>ROUND(SUMIF(AA99:AA180,"=57248835",FR99:FR180),2)</f>
        <v>245990.04</v>
      </c>
      <c r="BZ182" s="11">
        <f>ROUND(SUMIF(AA99:AA180,"=57248835",GL99:GL180),2)</f>
        <v>0</v>
      </c>
      <c r="CA182" s="11">
        <f>ROUND(SUMIF(AA99:AA180,"=57248835",GM99:GM180),2)</f>
        <v>272743.02</v>
      </c>
      <c r="CB182" s="11">
        <f>ROUND(SUMIF(AA99:AA180,"=57248835",GN99:GN180),2)</f>
        <v>23554.62</v>
      </c>
      <c r="CC182" s="11">
        <f>ROUND(SUMIF(AA99:AA180,"=57248835",GO99:GO180),2)</f>
        <v>3198.36</v>
      </c>
      <c r="CD182" s="11">
        <f>ROUND(SUMIF(AA99:AA180,"=57248835",GP99:GP180),2)</f>
        <v>0</v>
      </c>
      <c r="CE182" s="11">
        <f>AC182-BX182</f>
        <v>268955.95</v>
      </c>
      <c r="CF182" s="11">
        <f>AC182-BY182</f>
        <v>22965.910000000003</v>
      </c>
      <c r="CG182" s="11">
        <f>BX182-BZ182</f>
        <v>0</v>
      </c>
      <c r="CH182" s="11">
        <f>AC182-BX182-BY182+BZ182</f>
        <v>22965.910000000003</v>
      </c>
      <c r="CI182" s="11">
        <f>BY182-BZ182</f>
        <v>245990.04</v>
      </c>
      <c r="CJ182" s="11">
        <f>ROUND(SUMIF(AA99:AA180,"=57248835",GX99:GX180),2)</f>
        <v>0</v>
      </c>
      <c r="CK182" s="11">
        <f>ROUND(SUMIF(AA99:AA180,"=57248835",GY99:GY180),2)</f>
        <v>0</v>
      </c>
      <c r="CL182" s="11">
        <f>ROUND(SUMIF(AA99:AA180,"=57248835",GZ99:GZ180),2)</f>
        <v>0</v>
      </c>
      <c r="CM182" s="11">
        <f>ROUND(SUMIF(AA99:AA180,"=57248835",HD99:HD180),2)</f>
        <v>0</v>
      </c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2">
        <f t="shared" ref="DG182:DL182" si="210">ROUND(DT182,2)</f>
        <v>2011206.47</v>
      </c>
      <c r="DH182" s="12">
        <f t="shared" si="210"/>
        <v>1924599.05</v>
      </c>
      <c r="DI182" s="12">
        <f t="shared" si="210"/>
        <v>1658.1</v>
      </c>
      <c r="DJ182" s="12">
        <f t="shared" si="210"/>
        <v>812.02</v>
      </c>
      <c r="DK182" s="12">
        <f t="shared" si="210"/>
        <v>84949.32</v>
      </c>
      <c r="DL182" s="12">
        <f t="shared" si="210"/>
        <v>0</v>
      </c>
      <c r="DM182" s="12">
        <f>DZ182</f>
        <v>116.93944696799997</v>
      </c>
      <c r="DN182" s="12">
        <f>EA182</f>
        <v>0</v>
      </c>
      <c r="DO182" s="12">
        <f>ROUND(EB182,2)</f>
        <v>0</v>
      </c>
      <c r="DP182" s="12">
        <f>ROUND(EC182,2)</f>
        <v>79920.19</v>
      </c>
      <c r="DQ182" s="12">
        <f>ROUND(ED182,2)</f>
        <v>42952.86</v>
      </c>
      <c r="DR182" s="12"/>
      <c r="DS182" s="12"/>
      <c r="DT182" s="12">
        <f>ROUND(SUMIF(AA99:AA180,"=57248837",O99:O180),2)</f>
        <v>2011206.47</v>
      </c>
      <c r="DU182" s="12">
        <f>ROUND(SUMIF(AA99:AA180,"=57248837",P99:P180),2)</f>
        <v>1924599.05</v>
      </c>
      <c r="DV182" s="12">
        <f>ROUND(SUMIF(AA99:AA180,"=57248837",Q99:Q180),2)</f>
        <v>1658.1</v>
      </c>
      <c r="DW182" s="12">
        <f>ROUND(SUMIF(AA99:AA180,"=57248837",R99:R180),2)</f>
        <v>812.02</v>
      </c>
      <c r="DX182" s="12">
        <f>ROUND(SUMIF(AA99:AA180,"=57248837",S99:S180),2)</f>
        <v>84949.32</v>
      </c>
      <c r="DY182" s="12">
        <f>ROUND(SUMIF(AA99:AA180,"=57248837",T99:T180),2)</f>
        <v>0</v>
      </c>
      <c r="DZ182" s="12">
        <f>SUMIF(AA99:AA180,"=57248837",U99:U180)</f>
        <v>116.93944696799997</v>
      </c>
      <c r="EA182" s="12">
        <f>SUMIF(AA99:AA180,"=57248837",V99:V180)</f>
        <v>0</v>
      </c>
      <c r="EB182" s="12">
        <f>ROUND(SUMIF(AA99:AA180,"=57248837",W99:W180),2)</f>
        <v>0</v>
      </c>
      <c r="EC182" s="12">
        <f>ROUND(SUMIF(AA99:AA180,"=57248837",X99:X180),2)</f>
        <v>79920.19</v>
      </c>
      <c r="ED182" s="12">
        <f>ROUND(SUMIF(AA99:AA180,"=57248837",Y99:Y180),2)</f>
        <v>42952.86</v>
      </c>
      <c r="EE182" s="12"/>
      <c r="EF182" s="12"/>
      <c r="EG182" s="12">
        <f t="shared" ref="EG182:EV182" si="211">ROUND(FP182,2)</f>
        <v>0</v>
      </c>
      <c r="EH182" s="12">
        <f t="shared" si="211"/>
        <v>1849917.89</v>
      </c>
      <c r="EI182" s="12">
        <f t="shared" si="211"/>
        <v>0</v>
      </c>
      <c r="EJ182" s="12">
        <f t="shared" si="211"/>
        <v>2134079.52</v>
      </c>
      <c r="EK182" s="12">
        <f t="shared" si="211"/>
        <v>109845.81</v>
      </c>
      <c r="EL182" s="12">
        <f t="shared" si="211"/>
        <v>174315.82</v>
      </c>
      <c r="EM182" s="12">
        <f t="shared" si="211"/>
        <v>0</v>
      </c>
      <c r="EN182" s="12">
        <f t="shared" si="211"/>
        <v>1924599.05</v>
      </c>
      <c r="EO182" s="12">
        <f t="shared" si="211"/>
        <v>74681.16</v>
      </c>
      <c r="EP182" s="12">
        <f t="shared" si="211"/>
        <v>0</v>
      </c>
      <c r="EQ182" s="12">
        <f t="shared" si="211"/>
        <v>74681.16</v>
      </c>
      <c r="ER182" s="12">
        <f t="shared" si="211"/>
        <v>1849917.89</v>
      </c>
      <c r="ES182" s="12">
        <f t="shared" si="211"/>
        <v>0</v>
      </c>
      <c r="ET182" s="12">
        <f t="shared" si="211"/>
        <v>0</v>
      </c>
      <c r="EU182" s="12">
        <f t="shared" si="211"/>
        <v>0</v>
      </c>
      <c r="EV182" s="12">
        <f t="shared" si="211"/>
        <v>0</v>
      </c>
      <c r="EW182" s="12"/>
      <c r="EX182" s="12"/>
      <c r="EY182" s="12"/>
      <c r="EZ182" s="12"/>
      <c r="FA182" s="12"/>
      <c r="FB182" s="12"/>
      <c r="FC182" s="12"/>
      <c r="FD182" s="12"/>
      <c r="FE182" s="12"/>
      <c r="FF182" s="12"/>
      <c r="FG182" s="12"/>
      <c r="FH182" s="12"/>
      <c r="FI182" s="12"/>
      <c r="FJ182" s="12"/>
      <c r="FK182" s="12"/>
      <c r="FL182" s="12"/>
      <c r="FM182" s="12"/>
      <c r="FN182" s="12"/>
      <c r="FO182" s="12"/>
      <c r="FP182" s="12">
        <f>ROUND(SUMIF(AA99:AA180,"=57248837",FQ99:FQ180),2)</f>
        <v>0</v>
      </c>
      <c r="FQ182" s="12">
        <f>ROUND(SUMIF(AA99:AA180,"=57248837",FR99:FR180),2)</f>
        <v>1849917.89</v>
      </c>
      <c r="FR182" s="12">
        <f>ROUND(SUMIF(AA99:AA180,"=57248837",GL99:GL180),2)</f>
        <v>0</v>
      </c>
      <c r="FS182" s="12">
        <f>ROUND(SUMIF(AA99:AA180,"=57248837",GM99:GM180),2)</f>
        <v>2134079.52</v>
      </c>
      <c r="FT182" s="12">
        <f>ROUND(SUMIF(AA99:AA180,"=57248837",GN99:GN180),2)</f>
        <v>109845.81</v>
      </c>
      <c r="FU182" s="12">
        <f>ROUND(SUMIF(AA99:AA180,"=57248837",GO99:GO180),2)</f>
        <v>174315.82</v>
      </c>
      <c r="FV182" s="12">
        <f>ROUND(SUMIF(AA99:AA180,"=57248837",GP99:GP180),2)</f>
        <v>0</v>
      </c>
      <c r="FW182" s="12">
        <f>DU182-FP182</f>
        <v>1924599.05</v>
      </c>
      <c r="FX182" s="12">
        <f>DU182-FQ182</f>
        <v>74681.160000000149</v>
      </c>
      <c r="FY182" s="12">
        <f>FP182-FR182</f>
        <v>0</v>
      </c>
      <c r="FZ182" s="12">
        <f>DU182-FP182-FQ182+FR182</f>
        <v>74681.160000000149</v>
      </c>
      <c r="GA182" s="12">
        <f>FQ182-FR182</f>
        <v>1849917.89</v>
      </c>
      <c r="GB182" s="12">
        <f>ROUND(SUMIF(AA99:AA180,"=57248837",GX99:GX180),2)</f>
        <v>0</v>
      </c>
      <c r="GC182" s="12">
        <f>ROUND(SUMIF(AA99:AA180,"=57248837",GY99:GY180),2)</f>
        <v>0</v>
      </c>
      <c r="GD182" s="12">
        <f>ROUND(SUMIF(AA99:AA180,"=57248837",GZ99:GZ180),2)</f>
        <v>0</v>
      </c>
      <c r="GE182" s="12">
        <f>ROUND(SUMIF(AA99:AA180,"=57248837",HD99:HD180),2)</f>
        <v>0</v>
      </c>
      <c r="GF182" s="12"/>
      <c r="GG182" s="12"/>
      <c r="GH182" s="12"/>
      <c r="GI182" s="12"/>
      <c r="GJ182" s="12"/>
      <c r="GK182" s="12"/>
      <c r="GL182" s="12"/>
      <c r="GM182" s="12"/>
      <c r="GN182" s="12"/>
      <c r="GO182" s="12"/>
      <c r="GP182" s="12"/>
      <c r="GQ182" s="12"/>
      <c r="GR182" s="12"/>
      <c r="GS182" s="12"/>
      <c r="GT182" s="12"/>
      <c r="GU182" s="12"/>
      <c r="GV182" s="12"/>
      <c r="GW182" s="12"/>
      <c r="GX182" s="12">
        <v>0</v>
      </c>
    </row>
    <row r="184" spans="1:255" x14ac:dyDescent="0.2">
      <c r="A184" s="13">
        <v>50</v>
      </c>
      <c r="B184" s="13">
        <v>0</v>
      </c>
      <c r="C184" s="13">
        <v>0</v>
      </c>
      <c r="D184" s="13">
        <v>1</v>
      </c>
      <c r="E184" s="13">
        <v>201</v>
      </c>
      <c r="F184" s="13">
        <f>ROUND(Source!O182,O184)</f>
        <v>270562.49</v>
      </c>
      <c r="G184" s="13" t="s">
        <v>132</v>
      </c>
      <c r="H184" s="13" t="s">
        <v>133</v>
      </c>
      <c r="I184" s="13"/>
      <c r="J184" s="13"/>
      <c r="K184" s="13">
        <v>201</v>
      </c>
      <c r="L184" s="13">
        <v>1</v>
      </c>
      <c r="M184" s="13">
        <v>3</v>
      </c>
      <c r="N184" s="13" t="s">
        <v>3</v>
      </c>
      <c r="O184" s="13">
        <v>2</v>
      </c>
      <c r="P184" s="13">
        <f>ROUND(Source!DG182,O184)</f>
        <v>2011206.47</v>
      </c>
      <c r="Q184" s="13"/>
      <c r="R184" s="13"/>
      <c r="S184" s="13"/>
      <c r="T184" s="13"/>
      <c r="U184" s="13"/>
      <c r="V184" s="13"/>
      <c r="W184" s="13">
        <v>270562.49</v>
      </c>
      <c r="X184" s="13">
        <v>1</v>
      </c>
      <c r="Y184" s="13">
        <v>270562.49</v>
      </c>
      <c r="Z184" s="13">
        <v>2011206.47</v>
      </c>
      <c r="AA184" s="13">
        <v>1</v>
      </c>
      <c r="AB184" s="13">
        <v>2011206.47</v>
      </c>
    </row>
    <row r="185" spans="1:255" x14ac:dyDescent="0.2">
      <c r="A185" s="13">
        <v>50</v>
      </c>
      <c r="B185" s="13">
        <v>0</v>
      </c>
      <c r="C185" s="13">
        <v>0</v>
      </c>
      <c r="D185" s="13">
        <v>1</v>
      </c>
      <c r="E185" s="13">
        <v>202</v>
      </c>
      <c r="F185" s="13">
        <f>ROUND(Source!P182,O185)</f>
        <v>268955.95</v>
      </c>
      <c r="G185" s="13" t="s">
        <v>134</v>
      </c>
      <c r="H185" s="13" t="s">
        <v>135</v>
      </c>
      <c r="I185" s="13"/>
      <c r="J185" s="13"/>
      <c r="K185" s="13">
        <v>202</v>
      </c>
      <c r="L185" s="13">
        <v>2</v>
      </c>
      <c r="M185" s="13">
        <v>3</v>
      </c>
      <c r="N185" s="13" t="s">
        <v>3</v>
      </c>
      <c r="O185" s="13">
        <v>2</v>
      </c>
      <c r="P185" s="13">
        <f>ROUND(Source!DH182,O185)</f>
        <v>1924599.05</v>
      </c>
      <c r="Q185" s="13"/>
      <c r="R185" s="13"/>
      <c r="S185" s="13"/>
      <c r="T185" s="13"/>
      <c r="U185" s="13"/>
      <c r="V185" s="13"/>
      <c r="W185" s="13">
        <v>268955.95</v>
      </c>
      <c r="X185" s="13">
        <v>1</v>
      </c>
      <c r="Y185" s="13">
        <v>268955.95</v>
      </c>
      <c r="Z185" s="13">
        <v>1924599.05</v>
      </c>
      <c r="AA185" s="13">
        <v>1</v>
      </c>
      <c r="AB185" s="13">
        <v>1924599.05</v>
      </c>
    </row>
    <row r="186" spans="1:255" x14ac:dyDescent="0.2">
      <c r="A186" s="13">
        <v>50</v>
      </c>
      <c r="B186" s="13">
        <v>0</v>
      </c>
      <c r="C186" s="13">
        <v>0</v>
      </c>
      <c r="D186" s="13">
        <v>1</v>
      </c>
      <c r="E186" s="13">
        <v>222</v>
      </c>
      <c r="F186" s="13">
        <f>ROUND(Source!AO182,O186)</f>
        <v>0</v>
      </c>
      <c r="G186" s="13" t="s">
        <v>136</v>
      </c>
      <c r="H186" s="13" t="s">
        <v>137</v>
      </c>
      <c r="I186" s="13"/>
      <c r="J186" s="13"/>
      <c r="K186" s="13">
        <v>222</v>
      </c>
      <c r="L186" s="13">
        <v>3</v>
      </c>
      <c r="M186" s="13">
        <v>3</v>
      </c>
      <c r="N186" s="13" t="s">
        <v>3</v>
      </c>
      <c r="O186" s="13">
        <v>2</v>
      </c>
      <c r="P186" s="13">
        <f>ROUND(Source!EG182,O186)</f>
        <v>0</v>
      </c>
      <c r="Q186" s="13"/>
      <c r="R186" s="13"/>
      <c r="S186" s="13"/>
      <c r="T186" s="13"/>
      <c r="U186" s="13"/>
      <c r="V186" s="13"/>
      <c r="W186" s="13">
        <v>0</v>
      </c>
      <c r="X186" s="13">
        <v>1</v>
      </c>
      <c r="Y186" s="13">
        <v>0</v>
      </c>
      <c r="Z186" s="13">
        <v>0</v>
      </c>
      <c r="AA186" s="13">
        <v>1</v>
      </c>
      <c r="AB186" s="13">
        <v>0</v>
      </c>
    </row>
    <row r="187" spans="1:255" x14ac:dyDescent="0.2">
      <c r="A187" s="13">
        <v>50</v>
      </c>
      <c r="B187" s="13">
        <v>0</v>
      </c>
      <c r="C187" s="13">
        <v>0</v>
      </c>
      <c r="D187" s="13">
        <v>1</v>
      </c>
      <c r="E187" s="13">
        <v>225</v>
      </c>
      <c r="F187" s="13">
        <f>ROUND(Source!AV182,O187)</f>
        <v>268955.95</v>
      </c>
      <c r="G187" s="13" t="s">
        <v>138</v>
      </c>
      <c r="H187" s="13" t="s">
        <v>139</v>
      </c>
      <c r="I187" s="13"/>
      <c r="J187" s="13"/>
      <c r="K187" s="13">
        <v>225</v>
      </c>
      <c r="L187" s="13">
        <v>4</v>
      </c>
      <c r="M187" s="13">
        <v>3</v>
      </c>
      <c r="N187" s="13" t="s">
        <v>3</v>
      </c>
      <c r="O187" s="13">
        <v>2</v>
      </c>
      <c r="P187" s="13">
        <f>ROUND(Source!EN182,O187)</f>
        <v>1924599.05</v>
      </c>
      <c r="Q187" s="13"/>
      <c r="R187" s="13"/>
      <c r="S187" s="13"/>
      <c r="T187" s="13"/>
      <c r="U187" s="13"/>
      <c r="V187" s="13"/>
      <c r="W187" s="13">
        <v>268955.95</v>
      </c>
      <c r="X187" s="13">
        <v>1</v>
      </c>
      <c r="Y187" s="13">
        <v>268955.95</v>
      </c>
      <c r="Z187" s="13">
        <v>1924599.05</v>
      </c>
      <c r="AA187" s="13">
        <v>1</v>
      </c>
      <c r="AB187" s="13">
        <v>1924599.05</v>
      </c>
    </row>
    <row r="188" spans="1:255" x14ac:dyDescent="0.2">
      <c r="A188" s="13">
        <v>50</v>
      </c>
      <c r="B188" s="13">
        <v>0</v>
      </c>
      <c r="C188" s="13">
        <v>0</v>
      </c>
      <c r="D188" s="13">
        <v>1</v>
      </c>
      <c r="E188" s="13">
        <v>226</v>
      </c>
      <c r="F188" s="13">
        <f>ROUND(Source!AW182,O188)</f>
        <v>22965.91</v>
      </c>
      <c r="G188" s="13" t="s">
        <v>140</v>
      </c>
      <c r="H188" s="13" t="s">
        <v>141</v>
      </c>
      <c r="I188" s="13"/>
      <c r="J188" s="13"/>
      <c r="K188" s="13">
        <v>226</v>
      </c>
      <c r="L188" s="13">
        <v>5</v>
      </c>
      <c r="M188" s="13">
        <v>3</v>
      </c>
      <c r="N188" s="13" t="s">
        <v>3</v>
      </c>
      <c r="O188" s="13">
        <v>2</v>
      </c>
      <c r="P188" s="13">
        <f>ROUND(Source!EO182,O188)</f>
        <v>74681.16</v>
      </c>
      <c r="Q188" s="13"/>
      <c r="R188" s="13"/>
      <c r="S188" s="13"/>
      <c r="T188" s="13"/>
      <c r="U188" s="13"/>
      <c r="V188" s="13"/>
      <c r="W188" s="13">
        <v>22965.91</v>
      </c>
      <c r="X188" s="13">
        <v>1</v>
      </c>
      <c r="Y188" s="13">
        <v>22965.91</v>
      </c>
      <c r="Z188" s="13">
        <v>74681.16</v>
      </c>
      <c r="AA188" s="13">
        <v>1</v>
      </c>
      <c r="AB188" s="13">
        <v>74681.16</v>
      </c>
    </row>
    <row r="189" spans="1:255" x14ac:dyDescent="0.2">
      <c r="A189" s="13">
        <v>50</v>
      </c>
      <c r="B189" s="13">
        <v>0</v>
      </c>
      <c r="C189" s="13">
        <v>0</v>
      </c>
      <c r="D189" s="13">
        <v>1</v>
      </c>
      <c r="E189" s="13">
        <v>227</v>
      </c>
      <c r="F189" s="13">
        <f>ROUND(Source!AX182,O189)</f>
        <v>0</v>
      </c>
      <c r="G189" s="13" t="s">
        <v>142</v>
      </c>
      <c r="H189" s="13" t="s">
        <v>143</v>
      </c>
      <c r="I189" s="13"/>
      <c r="J189" s="13"/>
      <c r="K189" s="13">
        <v>227</v>
      </c>
      <c r="L189" s="13">
        <v>6</v>
      </c>
      <c r="M189" s="13">
        <v>3</v>
      </c>
      <c r="N189" s="13" t="s">
        <v>3</v>
      </c>
      <c r="O189" s="13">
        <v>2</v>
      </c>
      <c r="P189" s="13">
        <f>ROUND(Source!EP182,O189)</f>
        <v>0</v>
      </c>
      <c r="Q189" s="13"/>
      <c r="R189" s="13"/>
      <c r="S189" s="13"/>
      <c r="T189" s="13"/>
      <c r="U189" s="13"/>
      <c r="V189" s="13"/>
      <c r="W189" s="13">
        <v>0</v>
      </c>
      <c r="X189" s="13">
        <v>1</v>
      </c>
      <c r="Y189" s="13">
        <v>0</v>
      </c>
      <c r="Z189" s="13">
        <v>0</v>
      </c>
      <c r="AA189" s="13">
        <v>1</v>
      </c>
      <c r="AB189" s="13">
        <v>0</v>
      </c>
    </row>
    <row r="190" spans="1:255" x14ac:dyDescent="0.2">
      <c r="A190" s="13">
        <v>50</v>
      </c>
      <c r="B190" s="13">
        <v>0</v>
      </c>
      <c r="C190" s="13">
        <v>0</v>
      </c>
      <c r="D190" s="13">
        <v>1</v>
      </c>
      <c r="E190" s="13">
        <v>228</v>
      </c>
      <c r="F190" s="13">
        <f>ROUND(Source!AY182,O190)</f>
        <v>22965.91</v>
      </c>
      <c r="G190" s="13" t="s">
        <v>144</v>
      </c>
      <c r="H190" s="13" t="s">
        <v>145</v>
      </c>
      <c r="I190" s="13"/>
      <c r="J190" s="13"/>
      <c r="K190" s="13">
        <v>228</v>
      </c>
      <c r="L190" s="13">
        <v>7</v>
      </c>
      <c r="M190" s="13">
        <v>3</v>
      </c>
      <c r="N190" s="13" t="s">
        <v>3</v>
      </c>
      <c r="O190" s="13">
        <v>2</v>
      </c>
      <c r="P190" s="13">
        <f>ROUND(Source!EQ182,O190)</f>
        <v>74681.16</v>
      </c>
      <c r="Q190" s="13"/>
      <c r="R190" s="13"/>
      <c r="S190" s="13"/>
      <c r="T190" s="13"/>
      <c r="U190" s="13"/>
      <c r="V190" s="13"/>
      <c r="W190" s="13">
        <v>22965.91</v>
      </c>
      <c r="X190" s="13">
        <v>1</v>
      </c>
      <c r="Y190" s="13">
        <v>22965.91</v>
      </c>
      <c r="Z190" s="13">
        <v>74681.16</v>
      </c>
      <c r="AA190" s="13">
        <v>1</v>
      </c>
      <c r="AB190" s="13">
        <v>74681.16</v>
      </c>
    </row>
    <row r="191" spans="1:255" x14ac:dyDescent="0.2">
      <c r="A191" s="13">
        <v>50</v>
      </c>
      <c r="B191" s="13">
        <v>0</v>
      </c>
      <c r="C191" s="13">
        <v>0</v>
      </c>
      <c r="D191" s="13">
        <v>1</v>
      </c>
      <c r="E191" s="13">
        <v>216</v>
      </c>
      <c r="F191" s="13">
        <f>ROUND(Source!AP182,O191)</f>
        <v>245990.04</v>
      </c>
      <c r="G191" s="13" t="s">
        <v>146</v>
      </c>
      <c r="H191" s="13" t="s">
        <v>147</v>
      </c>
      <c r="I191" s="13"/>
      <c r="J191" s="13"/>
      <c r="K191" s="13">
        <v>216</v>
      </c>
      <c r="L191" s="13">
        <v>8</v>
      </c>
      <c r="M191" s="13">
        <v>3</v>
      </c>
      <c r="N191" s="13" t="s">
        <v>3</v>
      </c>
      <c r="O191" s="13">
        <v>2</v>
      </c>
      <c r="P191" s="13">
        <f>ROUND(Source!EH182,O191)</f>
        <v>1849917.89</v>
      </c>
      <c r="Q191" s="13"/>
      <c r="R191" s="13"/>
      <c r="S191" s="13"/>
      <c r="T191" s="13"/>
      <c r="U191" s="13"/>
      <c r="V191" s="13"/>
      <c r="W191" s="13">
        <v>245990.04</v>
      </c>
      <c r="X191" s="13">
        <v>1</v>
      </c>
      <c r="Y191" s="13">
        <v>245990.04</v>
      </c>
      <c r="Z191" s="13">
        <v>1849917.89</v>
      </c>
      <c r="AA191" s="13">
        <v>1</v>
      </c>
      <c r="AB191" s="13">
        <v>1849917.89</v>
      </c>
    </row>
    <row r="192" spans="1:255" x14ac:dyDescent="0.2">
      <c r="A192" s="13">
        <v>50</v>
      </c>
      <c r="B192" s="13">
        <v>0</v>
      </c>
      <c r="C192" s="13">
        <v>0</v>
      </c>
      <c r="D192" s="13">
        <v>1</v>
      </c>
      <c r="E192" s="13">
        <v>223</v>
      </c>
      <c r="F192" s="13">
        <f>ROUND(Source!AQ182,O192)</f>
        <v>0</v>
      </c>
      <c r="G192" s="13" t="s">
        <v>148</v>
      </c>
      <c r="H192" s="13" t="s">
        <v>149</v>
      </c>
      <c r="I192" s="13"/>
      <c r="J192" s="13"/>
      <c r="K192" s="13">
        <v>223</v>
      </c>
      <c r="L192" s="13">
        <v>9</v>
      </c>
      <c r="M192" s="13">
        <v>3</v>
      </c>
      <c r="N192" s="13" t="s">
        <v>3</v>
      </c>
      <c r="O192" s="13">
        <v>2</v>
      </c>
      <c r="P192" s="13">
        <f>ROUND(Source!EI182,O192)</f>
        <v>0</v>
      </c>
      <c r="Q192" s="13"/>
      <c r="R192" s="13"/>
      <c r="S192" s="13"/>
      <c r="T192" s="13"/>
      <c r="U192" s="13"/>
      <c r="V192" s="13"/>
      <c r="W192" s="13">
        <v>0</v>
      </c>
      <c r="X192" s="13">
        <v>1</v>
      </c>
      <c r="Y192" s="13">
        <v>0</v>
      </c>
      <c r="Z192" s="13">
        <v>0</v>
      </c>
      <c r="AA192" s="13">
        <v>1</v>
      </c>
      <c r="AB192" s="13">
        <v>0</v>
      </c>
    </row>
    <row r="193" spans="1:28" x14ac:dyDescent="0.2">
      <c r="A193" s="13">
        <v>50</v>
      </c>
      <c r="B193" s="13">
        <v>0</v>
      </c>
      <c r="C193" s="13">
        <v>0</v>
      </c>
      <c r="D193" s="13">
        <v>1</v>
      </c>
      <c r="E193" s="13">
        <v>229</v>
      </c>
      <c r="F193" s="13">
        <f>ROUND(Source!AZ182,O193)</f>
        <v>245990.04</v>
      </c>
      <c r="G193" s="13" t="s">
        <v>150</v>
      </c>
      <c r="H193" s="13" t="s">
        <v>151</v>
      </c>
      <c r="I193" s="13"/>
      <c r="J193" s="13"/>
      <c r="K193" s="13">
        <v>229</v>
      </c>
      <c r="L193" s="13">
        <v>10</v>
      </c>
      <c r="M193" s="13">
        <v>3</v>
      </c>
      <c r="N193" s="13" t="s">
        <v>3</v>
      </c>
      <c r="O193" s="13">
        <v>2</v>
      </c>
      <c r="P193" s="13">
        <f>ROUND(Source!ER182,O193)</f>
        <v>1849917.89</v>
      </c>
      <c r="Q193" s="13"/>
      <c r="R193" s="13"/>
      <c r="S193" s="13"/>
      <c r="T193" s="13"/>
      <c r="U193" s="13"/>
      <c r="V193" s="13"/>
      <c r="W193" s="13">
        <v>245990.04</v>
      </c>
      <c r="X193" s="13">
        <v>1</v>
      </c>
      <c r="Y193" s="13">
        <v>245990.04</v>
      </c>
      <c r="Z193" s="13">
        <v>1849917.89</v>
      </c>
      <c r="AA193" s="13">
        <v>1</v>
      </c>
      <c r="AB193" s="13">
        <v>1849917.89</v>
      </c>
    </row>
    <row r="194" spans="1:28" x14ac:dyDescent="0.2">
      <c r="A194" s="13">
        <v>50</v>
      </c>
      <c r="B194" s="13">
        <v>0</v>
      </c>
      <c r="C194" s="13">
        <v>0</v>
      </c>
      <c r="D194" s="13">
        <v>1</v>
      </c>
      <c r="E194" s="13">
        <v>203</v>
      </c>
      <c r="F194" s="13">
        <f>ROUND(Source!Q182,O194)</f>
        <v>99.01</v>
      </c>
      <c r="G194" s="13" t="s">
        <v>152</v>
      </c>
      <c r="H194" s="13" t="s">
        <v>153</v>
      </c>
      <c r="I194" s="13"/>
      <c r="J194" s="13"/>
      <c r="K194" s="13">
        <v>203</v>
      </c>
      <c r="L194" s="13">
        <v>11</v>
      </c>
      <c r="M194" s="13">
        <v>3</v>
      </c>
      <c r="N194" s="13" t="s">
        <v>3</v>
      </c>
      <c r="O194" s="13">
        <v>2</v>
      </c>
      <c r="P194" s="13">
        <f>ROUND(Source!DI182,O194)</f>
        <v>1658.1</v>
      </c>
      <c r="Q194" s="13"/>
      <c r="R194" s="13"/>
      <c r="S194" s="13"/>
      <c r="T194" s="13"/>
      <c r="U194" s="13"/>
      <c r="V194" s="13"/>
      <c r="W194" s="13">
        <v>99.01</v>
      </c>
      <c r="X194" s="13">
        <v>1</v>
      </c>
      <c r="Y194" s="13">
        <v>99.01</v>
      </c>
      <c r="Z194" s="13">
        <v>1658.1</v>
      </c>
      <c r="AA194" s="13">
        <v>1</v>
      </c>
      <c r="AB194" s="13">
        <v>1658.1</v>
      </c>
    </row>
    <row r="195" spans="1:28" x14ac:dyDescent="0.2">
      <c r="A195" s="13">
        <v>50</v>
      </c>
      <c r="B195" s="13">
        <v>0</v>
      </c>
      <c r="C195" s="13">
        <v>0</v>
      </c>
      <c r="D195" s="13">
        <v>1</v>
      </c>
      <c r="E195" s="13">
        <v>231</v>
      </c>
      <c r="F195" s="13">
        <f>ROUND(Source!BB182,O195)</f>
        <v>0</v>
      </c>
      <c r="G195" s="13" t="s">
        <v>154</v>
      </c>
      <c r="H195" s="13" t="s">
        <v>155</v>
      </c>
      <c r="I195" s="13"/>
      <c r="J195" s="13"/>
      <c r="K195" s="13">
        <v>231</v>
      </c>
      <c r="L195" s="13">
        <v>12</v>
      </c>
      <c r="M195" s="13">
        <v>3</v>
      </c>
      <c r="N195" s="13" t="s">
        <v>3</v>
      </c>
      <c r="O195" s="13">
        <v>2</v>
      </c>
      <c r="P195" s="13">
        <f>ROUND(Source!ET182,O195)</f>
        <v>0</v>
      </c>
      <c r="Q195" s="13"/>
      <c r="R195" s="13"/>
      <c r="S195" s="13"/>
      <c r="T195" s="13"/>
      <c r="U195" s="13"/>
      <c r="V195" s="13"/>
      <c r="W195" s="13">
        <v>0</v>
      </c>
      <c r="X195" s="13">
        <v>1</v>
      </c>
      <c r="Y195" s="13">
        <v>0</v>
      </c>
      <c r="Z195" s="13">
        <v>0</v>
      </c>
      <c r="AA195" s="13">
        <v>1</v>
      </c>
      <c r="AB195" s="13">
        <v>0</v>
      </c>
    </row>
    <row r="196" spans="1:28" x14ac:dyDescent="0.2">
      <c r="A196" s="13">
        <v>50</v>
      </c>
      <c r="B196" s="13">
        <v>0</v>
      </c>
      <c r="C196" s="13">
        <v>0</v>
      </c>
      <c r="D196" s="13">
        <v>1</v>
      </c>
      <c r="E196" s="13">
        <v>204</v>
      </c>
      <c r="F196" s="13">
        <f>ROUND(Source!R182,O196)</f>
        <v>14.41</v>
      </c>
      <c r="G196" s="13" t="s">
        <v>156</v>
      </c>
      <c r="H196" s="13" t="s">
        <v>157</v>
      </c>
      <c r="I196" s="13"/>
      <c r="J196" s="13"/>
      <c r="K196" s="13">
        <v>204</v>
      </c>
      <c r="L196" s="13">
        <v>13</v>
      </c>
      <c r="M196" s="13">
        <v>3</v>
      </c>
      <c r="N196" s="13" t="s">
        <v>3</v>
      </c>
      <c r="O196" s="13">
        <v>2</v>
      </c>
      <c r="P196" s="13">
        <f>ROUND(Source!DJ182,O196)</f>
        <v>812.02</v>
      </c>
      <c r="Q196" s="13"/>
      <c r="R196" s="13"/>
      <c r="S196" s="13"/>
      <c r="T196" s="13"/>
      <c r="U196" s="13"/>
      <c r="V196" s="13"/>
      <c r="W196" s="13">
        <v>14.41</v>
      </c>
      <c r="X196" s="13">
        <v>1</v>
      </c>
      <c r="Y196" s="13">
        <v>14.41</v>
      </c>
      <c r="Z196" s="13">
        <v>812.02</v>
      </c>
      <c r="AA196" s="13">
        <v>1</v>
      </c>
      <c r="AB196" s="13">
        <v>812.02</v>
      </c>
    </row>
    <row r="197" spans="1:28" x14ac:dyDescent="0.2">
      <c r="A197" s="13">
        <v>50</v>
      </c>
      <c r="B197" s="13">
        <v>0</v>
      </c>
      <c r="C197" s="13">
        <v>0</v>
      </c>
      <c r="D197" s="13">
        <v>1</v>
      </c>
      <c r="E197" s="13">
        <v>205</v>
      </c>
      <c r="F197" s="13">
        <f>ROUND(Source!S182,O197)</f>
        <v>1507.53</v>
      </c>
      <c r="G197" s="13" t="s">
        <v>158</v>
      </c>
      <c r="H197" s="13" t="s">
        <v>159</v>
      </c>
      <c r="I197" s="13"/>
      <c r="J197" s="13"/>
      <c r="K197" s="13">
        <v>205</v>
      </c>
      <c r="L197" s="13">
        <v>14</v>
      </c>
      <c r="M197" s="13">
        <v>3</v>
      </c>
      <c r="N197" s="13" t="s">
        <v>3</v>
      </c>
      <c r="O197" s="13">
        <v>2</v>
      </c>
      <c r="P197" s="13">
        <f>ROUND(Source!DK182,O197)</f>
        <v>84949.32</v>
      </c>
      <c r="Q197" s="13"/>
      <c r="R197" s="13"/>
      <c r="S197" s="13"/>
      <c r="T197" s="13"/>
      <c r="U197" s="13"/>
      <c r="V197" s="13"/>
      <c r="W197" s="13">
        <v>1507.53</v>
      </c>
      <c r="X197" s="13">
        <v>1</v>
      </c>
      <c r="Y197" s="13">
        <v>1507.53</v>
      </c>
      <c r="Z197" s="13">
        <v>84949.32</v>
      </c>
      <c r="AA197" s="13">
        <v>1</v>
      </c>
      <c r="AB197" s="13">
        <v>84949.32</v>
      </c>
    </row>
    <row r="198" spans="1:28" x14ac:dyDescent="0.2">
      <c r="A198" s="13">
        <v>50</v>
      </c>
      <c r="B198" s="13">
        <v>0</v>
      </c>
      <c r="C198" s="13">
        <v>0</v>
      </c>
      <c r="D198" s="13">
        <v>1</v>
      </c>
      <c r="E198" s="13">
        <v>232</v>
      </c>
      <c r="F198" s="13">
        <f>ROUND(Source!BC182,O198)</f>
        <v>0</v>
      </c>
      <c r="G198" s="13" t="s">
        <v>160</v>
      </c>
      <c r="H198" s="13" t="s">
        <v>161</v>
      </c>
      <c r="I198" s="13"/>
      <c r="J198" s="13"/>
      <c r="K198" s="13">
        <v>232</v>
      </c>
      <c r="L198" s="13">
        <v>15</v>
      </c>
      <c r="M198" s="13">
        <v>3</v>
      </c>
      <c r="N198" s="13" t="s">
        <v>3</v>
      </c>
      <c r="O198" s="13">
        <v>2</v>
      </c>
      <c r="P198" s="13">
        <f>ROUND(Source!EU182,O198)</f>
        <v>0</v>
      </c>
      <c r="Q198" s="13"/>
      <c r="R198" s="13"/>
      <c r="S198" s="13"/>
      <c r="T198" s="13"/>
      <c r="U198" s="13"/>
      <c r="V198" s="13"/>
      <c r="W198" s="13">
        <v>0</v>
      </c>
      <c r="X198" s="13">
        <v>1</v>
      </c>
      <c r="Y198" s="13">
        <v>0</v>
      </c>
      <c r="Z198" s="13">
        <v>0</v>
      </c>
      <c r="AA198" s="13">
        <v>1</v>
      </c>
      <c r="AB198" s="13">
        <v>0</v>
      </c>
    </row>
    <row r="199" spans="1:28" x14ac:dyDescent="0.2">
      <c r="A199" s="13">
        <v>50</v>
      </c>
      <c r="B199" s="13">
        <v>0</v>
      </c>
      <c r="C199" s="13">
        <v>0</v>
      </c>
      <c r="D199" s="13">
        <v>1</v>
      </c>
      <c r="E199" s="13">
        <v>214</v>
      </c>
      <c r="F199" s="13">
        <f>ROUND(Source!AS182,O199)</f>
        <v>23554.62</v>
      </c>
      <c r="G199" s="13" t="s">
        <v>162</v>
      </c>
      <c r="H199" s="13" t="s">
        <v>163</v>
      </c>
      <c r="I199" s="13"/>
      <c r="J199" s="13"/>
      <c r="K199" s="13">
        <v>214</v>
      </c>
      <c r="L199" s="13">
        <v>16</v>
      </c>
      <c r="M199" s="13">
        <v>3</v>
      </c>
      <c r="N199" s="13" t="s">
        <v>3</v>
      </c>
      <c r="O199" s="13">
        <v>2</v>
      </c>
      <c r="P199" s="13">
        <f>ROUND(Source!EK182,O199)</f>
        <v>109845.81</v>
      </c>
      <c r="Q199" s="13"/>
      <c r="R199" s="13"/>
      <c r="S199" s="13"/>
      <c r="T199" s="13"/>
      <c r="U199" s="13"/>
      <c r="V199" s="13"/>
      <c r="W199" s="13">
        <v>23554.62</v>
      </c>
      <c r="X199" s="13">
        <v>1</v>
      </c>
      <c r="Y199" s="13">
        <v>23554.62</v>
      </c>
      <c r="Z199" s="13">
        <v>109845.81</v>
      </c>
      <c r="AA199" s="13">
        <v>1</v>
      </c>
      <c r="AB199" s="13">
        <v>109845.81</v>
      </c>
    </row>
    <row r="200" spans="1:28" x14ac:dyDescent="0.2">
      <c r="A200" s="13">
        <v>50</v>
      </c>
      <c r="B200" s="13">
        <v>0</v>
      </c>
      <c r="C200" s="13">
        <v>0</v>
      </c>
      <c r="D200" s="13">
        <v>1</v>
      </c>
      <c r="E200" s="13">
        <v>215</v>
      </c>
      <c r="F200" s="13">
        <f>ROUND(Source!AT182,O200)</f>
        <v>3198.36</v>
      </c>
      <c r="G200" s="13" t="s">
        <v>164</v>
      </c>
      <c r="H200" s="13" t="s">
        <v>165</v>
      </c>
      <c r="I200" s="13"/>
      <c r="J200" s="13"/>
      <c r="K200" s="13">
        <v>215</v>
      </c>
      <c r="L200" s="13">
        <v>17</v>
      </c>
      <c r="M200" s="13">
        <v>3</v>
      </c>
      <c r="N200" s="13" t="s">
        <v>3</v>
      </c>
      <c r="O200" s="13">
        <v>2</v>
      </c>
      <c r="P200" s="13">
        <f>ROUND(Source!EL182,O200)</f>
        <v>174315.82</v>
      </c>
      <c r="Q200" s="13"/>
      <c r="R200" s="13"/>
      <c r="S200" s="13"/>
      <c r="T200" s="13"/>
      <c r="U200" s="13"/>
      <c r="V200" s="13"/>
      <c r="W200" s="13">
        <v>3198.36</v>
      </c>
      <c r="X200" s="13">
        <v>1</v>
      </c>
      <c r="Y200" s="13">
        <v>3198.36</v>
      </c>
      <c r="Z200" s="13">
        <v>174315.82</v>
      </c>
      <c r="AA200" s="13">
        <v>1</v>
      </c>
      <c r="AB200" s="13">
        <v>174315.82</v>
      </c>
    </row>
    <row r="201" spans="1:28" x14ac:dyDescent="0.2">
      <c r="A201" s="13">
        <v>50</v>
      </c>
      <c r="B201" s="13">
        <v>0</v>
      </c>
      <c r="C201" s="13">
        <v>0</v>
      </c>
      <c r="D201" s="13">
        <v>1</v>
      </c>
      <c r="E201" s="13">
        <v>217</v>
      </c>
      <c r="F201" s="13">
        <f>ROUND(Source!AU182,O201)</f>
        <v>0</v>
      </c>
      <c r="G201" s="13" t="s">
        <v>166</v>
      </c>
      <c r="H201" s="13" t="s">
        <v>167</v>
      </c>
      <c r="I201" s="13"/>
      <c r="J201" s="13"/>
      <c r="K201" s="13">
        <v>217</v>
      </c>
      <c r="L201" s="13">
        <v>18</v>
      </c>
      <c r="M201" s="13">
        <v>3</v>
      </c>
      <c r="N201" s="13" t="s">
        <v>3</v>
      </c>
      <c r="O201" s="13">
        <v>2</v>
      </c>
      <c r="P201" s="13">
        <f>ROUND(Source!EM182,O201)</f>
        <v>0</v>
      </c>
      <c r="Q201" s="13"/>
      <c r="R201" s="13"/>
      <c r="S201" s="13"/>
      <c r="T201" s="13"/>
      <c r="U201" s="13"/>
      <c r="V201" s="13"/>
      <c r="W201" s="13">
        <v>0</v>
      </c>
      <c r="X201" s="13">
        <v>1</v>
      </c>
      <c r="Y201" s="13">
        <v>0</v>
      </c>
      <c r="Z201" s="13">
        <v>0</v>
      </c>
      <c r="AA201" s="13">
        <v>1</v>
      </c>
      <c r="AB201" s="13">
        <v>0</v>
      </c>
    </row>
    <row r="202" spans="1:28" x14ac:dyDescent="0.2">
      <c r="A202" s="13">
        <v>50</v>
      </c>
      <c r="B202" s="13">
        <v>0</v>
      </c>
      <c r="C202" s="13">
        <v>0</v>
      </c>
      <c r="D202" s="13">
        <v>1</v>
      </c>
      <c r="E202" s="13">
        <v>230</v>
      </c>
      <c r="F202" s="13">
        <f>ROUND(Source!BA182,O202)</f>
        <v>0</v>
      </c>
      <c r="G202" s="13" t="s">
        <v>168</v>
      </c>
      <c r="H202" s="13" t="s">
        <v>169</v>
      </c>
      <c r="I202" s="13"/>
      <c r="J202" s="13"/>
      <c r="K202" s="13">
        <v>230</v>
      </c>
      <c r="L202" s="13">
        <v>19</v>
      </c>
      <c r="M202" s="13">
        <v>3</v>
      </c>
      <c r="N202" s="13" t="s">
        <v>3</v>
      </c>
      <c r="O202" s="13">
        <v>2</v>
      </c>
      <c r="P202" s="13">
        <f>ROUND(Source!ES182,O202)</f>
        <v>0</v>
      </c>
      <c r="Q202" s="13"/>
      <c r="R202" s="13"/>
      <c r="S202" s="13"/>
      <c r="T202" s="13"/>
      <c r="U202" s="13"/>
      <c r="V202" s="13"/>
      <c r="W202" s="13">
        <v>0</v>
      </c>
      <c r="X202" s="13">
        <v>1</v>
      </c>
      <c r="Y202" s="13">
        <v>0</v>
      </c>
      <c r="Z202" s="13">
        <v>0</v>
      </c>
      <c r="AA202" s="13">
        <v>1</v>
      </c>
      <c r="AB202" s="13">
        <v>0</v>
      </c>
    </row>
    <row r="203" spans="1:28" x14ac:dyDescent="0.2">
      <c r="A203" s="13">
        <v>50</v>
      </c>
      <c r="B203" s="13">
        <v>0</v>
      </c>
      <c r="C203" s="13">
        <v>0</v>
      </c>
      <c r="D203" s="13">
        <v>1</v>
      </c>
      <c r="E203" s="13">
        <v>206</v>
      </c>
      <c r="F203" s="13">
        <f>ROUND(Source!T182,O203)</f>
        <v>0</v>
      </c>
      <c r="G203" s="13" t="s">
        <v>170</v>
      </c>
      <c r="H203" s="13" t="s">
        <v>171</v>
      </c>
      <c r="I203" s="13"/>
      <c r="J203" s="13"/>
      <c r="K203" s="13">
        <v>206</v>
      </c>
      <c r="L203" s="13">
        <v>20</v>
      </c>
      <c r="M203" s="13">
        <v>3</v>
      </c>
      <c r="N203" s="13" t="s">
        <v>3</v>
      </c>
      <c r="O203" s="13">
        <v>2</v>
      </c>
      <c r="P203" s="13">
        <f>ROUND(Source!DL182,O203)</f>
        <v>0</v>
      </c>
      <c r="Q203" s="13"/>
      <c r="R203" s="13"/>
      <c r="S203" s="13"/>
      <c r="T203" s="13"/>
      <c r="U203" s="13"/>
      <c r="V203" s="13"/>
      <c r="W203" s="13">
        <v>0</v>
      </c>
      <c r="X203" s="13">
        <v>1</v>
      </c>
      <c r="Y203" s="13">
        <v>0</v>
      </c>
      <c r="Z203" s="13">
        <v>0</v>
      </c>
      <c r="AA203" s="13">
        <v>1</v>
      </c>
      <c r="AB203" s="13">
        <v>0</v>
      </c>
    </row>
    <row r="204" spans="1:28" x14ac:dyDescent="0.2">
      <c r="A204" s="13">
        <v>50</v>
      </c>
      <c r="B204" s="13">
        <v>0</v>
      </c>
      <c r="C204" s="13">
        <v>0</v>
      </c>
      <c r="D204" s="13">
        <v>1</v>
      </c>
      <c r="E204" s="13">
        <v>207</v>
      </c>
      <c r="F204" s="13">
        <f>Source!U182</f>
        <v>116.93944696799997</v>
      </c>
      <c r="G204" s="13" t="s">
        <v>172</v>
      </c>
      <c r="H204" s="13" t="s">
        <v>173</v>
      </c>
      <c r="I204" s="13"/>
      <c r="J204" s="13"/>
      <c r="K204" s="13">
        <v>207</v>
      </c>
      <c r="L204" s="13">
        <v>21</v>
      </c>
      <c r="M204" s="13">
        <v>3</v>
      </c>
      <c r="N204" s="13" t="s">
        <v>3</v>
      </c>
      <c r="O204" s="13">
        <v>-1</v>
      </c>
      <c r="P204" s="13">
        <f>Source!DM182</f>
        <v>116.93944696799997</v>
      </c>
      <c r="Q204" s="13"/>
      <c r="R204" s="13"/>
      <c r="S204" s="13"/>
      <c r="T204" s="13"/>
      <c r="U204" s="13"/>
      <c r="V204" s="13"/>
      <c r="W204" s="13">
        <v>116.93944696799998</v>
      </c>
      <c r="X204" s="13">
        <v>1</v>
      </c>
      <c r="Y204" s="13">
        <v>116.93944696799998</v>
      </c>
      <c r="Z204" s="13">
        <v>116.93944696799998</v>
      </c>
      <c r="AA204" s="13">
        <v>1</v>
      </c>
      <c r="AB204" s="13">
        <v>116.93944696799998</v>
      </c>
    </row>
    <row r="205" spans="1:28" x14ac:dyDescent="0.2">
      <c r="A205" s="13">
        <v>50</v>
      </c>
      <c r="B205" s="13">
        <v>0</v>
      </c>
      <c r="C205" s="13">
        <v>0</v>
      </c>
      <c r="D205" s="13">
        <v>1</v>
      </c>
      <c r="E205" s="13">
        <v>208</v>
      </c>
      <c r="F205" s="13">
        <f>Source!V182</f>
        <v>0</v>
      </c>
      <c r="G205" s="13" t="s">
        <v>174</v>
      </c>
      <c r="H205" s="13" t="s">
        <v>175</v>
      </c>
      <c r="I205" s="13"/>
      <c r="J205" s="13"/>
      <c r="K205" s="13">
        <v>208</v>
      </c>
      <c r="L205" s="13">
        <v>22</v>
      </c>
      <c r="M205" s="13">
        <v>3</v>
      </c>
      <c r="N205" s="13" t="s">
        <v>3</v>
      </c>
      <c r="O205" s="13">
        <v>-1</v>
      </c>
      <c r="P205" s="13">
        <f>Source!DN182</f>
        <v>0</v>
      </c>
      <c r="Q205" s="13"/>
      <c r="R205" s="13"/>
      <c r="S205" s="13"/>
      <c r="T205" s="13"/>
      <c r="U205" s="13"/>
      <c r="V205" s="13"/>
      <c r="W205" s="13">
        <v>0</v>
      </c>
      <c r="X205" s="13">
        <v>1</v>
      </c>
      <c r="Y205" s="13">
        <v>0</v>
      </c>
      <c r="Z205" s="13">
        <v>0</v>
      </c>
      <c r="AA205" s="13">
        <v>1</v>
      </c>
      <c r="AB205" s="13">
        <v>0</v>
      </c>
    </row>
    <row r="206" spans="1:28" x14ac:dyDescent="0.2">
      <c r="A206" s="13">
        <v>50</v>
      </c>
      <c r="B206" s="13">
        <v>0</v>
      </c>
      <c r="C206" s="13">
        <v>0</v>
      </c>
      <c r="D206" s="13">
        <v>1</v>
      </c>
      <c r="E206" s="13">
        <v>209</v>
      </c>
      <c r="F206" s="13">
        <f>ROUND(Source!W182,O206)</f>
        <v>0</v>
      </c>
      <c r="G206" s="13" t="s">
        <v>176</v>
      </c>
      <c r="H206" s="13" t="s">
        <v>177</v>
      </c>
      <c r="I206" s="13"/>
      <c r="J206" s="13"/>
      <c r="K206" s="13">
        <v>209</v>
      </c>
      <c r="L206" s="13">
        <v>23</v>
      </c>
      <c r="M206" s="13">
        <v>3</v>
      </c>
      <c r="N206" s="13" t="s">
        <v>3</v>
      </c>
      <c r="O206" s="13">
        <v>2</v>
      </c>
      <c r="P206" s="13">
        <f>ROUND(Source!DO182,O206)</f>
        <v>0</v>
      </c>
      <c r="Q206" s="13"/>
      <c r="R206" s="13"/>
      <c r="S206" s="13"/>
      <c r="T206" s="13"/>
      <c r="U206" s="13"/>
      <c r="V206" s="13"/>
      <c r="W206" s="13">
        <v>0</v>
      </c>
      <c r="X206" s="13">
        <v>1</v>
      </c>
      <c r="Y206" s="13">
        <v>0</v>
      </c>
      <c r="Z206" s="13">
        <v>0</v>
      </c>
      <c r="AA206" s="13">
        <v>1</v>
      </c>
      <c r="AB206" s="13">
        <v>0</v>
      </c>
    </row>
    <row r="207" spans="1:28" x14ac:dyDescent="0.2">
      <c r="A207" s="13">
        <v>50</v>
      </c>
      <c r="B207" s="13">
        <v>0</v>
      </c>
      <c r="C207" s="13">
        <v>0</v>
      </c>
      <c r="D207" s="13">
        <v>1</v>
      </c>
      <c r="E207" s="13">
        <v>233</v>
      </c>
      <c r="F207" s="13">
        <f>ROUND(Source!BD182,O207)</f>
        <v>0</v>
      </c>
      <c r="G207" s="13" t="s">
        <v>178</v>
      </c>
      <c r="H207" s="13" t="s">
        <v>179</v>
      </c>
      <c r="I207" s="13"/>
      <c r="J207" s="13"/>
      <c r="K207" s="13">
        <v>233</v>
      </c>
      <c r="L207" s="13">
        <v>24</v>
      </c>
      <c r="M207" s="13">
        <v>3</v>
      </c>
      <c r="N207" s="13" t="s">
        <v>3</v>
      </c>
      <c r="O207" s="13">
        <v>2</v>
      </c>
      <c r="P207" s="13">
        <f>ROUND(Source!EV182,O207)</f>
        <v>0</v>
      </c>
      <c r="Q207" s="13"/>
      <c r="R207" s="13"/>
      <c r="S207" s="13"/>
      <c r="T207" s="13"/>
      <c r="U207" s="13"/>
      <c r="V207" s="13"/>
      <c r="W207" s="13">
        <v>0</v>
      </c>
      <c r="X207" s="13">
        <v>1</v>
      </c>
      <c r="Y207" s="13">
        <v>0</v>
      </c>
      <c r="Z207" s="13">
        <v>0</v>
      </c>
      <c r="AA207" s="13">
        <v>1</v>
      </c>
      <c r="AB207" s="13">
        <v>0</v>
      </c>
    </row>
    <row r="208" spans="1:28" x14ac:dyDescent="0.2">
      <c r="A208" s="13">
        <v>50</v>
      </c>
      <c r="B208" s="13">
        <v>0</v>
      </c>
      <c r="C208" s="13">
        <v>0</v>
      </c>
      <c r="D208" s="13">
        <v>1</v>
      </c>
      <c r="E208" s="13">
        <v>210</v>
      </c>
      <c r="F208" s="13">
        <f>ROUND(Source!X182,O208)</f>
        <v>1418.28</v>
      </c>
      <c r="G208" s="13" t="s">
        <v>180</v>
      </c>
      <c r="H208" s="13" t="s">
        <v>181</v>
      </c>
      <c r="I208" s="13"/>
      <c r="J208" s="13"/>
      <c r="K208" s="13">
        <v>210</v>
      </c>
      <c r="L208" s="13">
        <v>25</v>
      </c>
      <c r="M208" s="13">
        <v>3</v>
      </c>
      <c r="N208" s="13" t="s">
        <v>3</v>
      </c>
      <c r="O208" s="13">
        <v>2</v>
      </c>
      <c r="P208" s="13">
        <f>ROUND(Source!DP182,O208)</f>
        <v>79920.19</v>
      </c>
      <c r="Q208" s="13"/>
      <c r="R208" s="13"/>
      <c r="S208" s="13"/>
      <c r="T208" s="13"/>
      <c r="U208" s="13"/>
      <c r="V208" s="13"/>
      <c r="W208" s="13">
        <v>1418.28</v>
      </c>
      <c r="X208" s="13">
        <v>1</v>
      </c>
      <c r="Y208" s="13">
        <v>1418.28</v>
      </c>
      <c r="Z208" s="13">
        <v>79920.19</v>
      </c>
      <c r="AA208" s="13">
        <v>1</v>
      </c>
      <c r="AB208" s="13">
        <v>79920.19</v>
      </c>
    </row>
    <row r="209" spans="1:255" x14ac:dyDescent="0.2">
      <c r="A209" s="13">
        <v>50</v>
      </c>
      <c r="B209" s="13">
        <v>0</v>
      </c>
      <c r="C209" s="13">
        <v>0</v>
      </c>
      <c r="D209" s="13">
        <v>1</v>
      </c>
      <c r="E209" s="13">
        <v>211</v>
      </c>
      <c r="F209" s="13">
        <f>ROUND(Source!Y182,O209)</f>
        <v>762.25</v>
      </c>
      <c r="G209" s="13" t="s">
        <v>182</v>
      </c>
      <c r="H209" s="13" t="s">
        <v>183</v>
      </c>
      <c r="I209" s="13"/>
      <c r="J209" s="13"/>
      <c r="K209" s="13">
        <v>211</v>
      </c>
      <c r="L209" s="13">
        <v>26</v>
      </c>
      <c r="M209" s="13">
        <v>3</v>
      </c>
      <c r="N209" s="13" t="s">
        <v>3</v>
      </c>
      <c r="O209" s="13">
        <v>2</v>
      </c>
      <c r="P209" s="13">
        <f>ROUND(Source!DQ182,O209)</f>
        <v>42952.86</v>
      </c>
      <c r="Q209" s="13"/>
      <c r="R209" s="13"/>
      <c r="S209" s="13"/>
      <c r="T209" s="13"/>
      <c r="U209" s="13"/>
      <c r="V209" s="13"/>
      <c r="W209" s="13">
        <v>762.25</v>
      </c>
      <c r="X209" s="13">
        <v>1</v>
      </c>
      <c r="Y209" s="13">
        <v>762.25</v>
      </c>
      <c r="Z209" s="13">
        <v>42952.86</v>
      </c>
      <c r="AA209" s="13">
        <v>1</v>
      </c>
      <c r="AB209" s="13">
        <v>42952.86</v>
      </c>
    </row>
    <row r="210" spans="1:255" x14ac:dyDescent="0.2">
      <c r="A210" s="13">
        <v>50</v>
      </c>
      <c r="B210" s="13">
        <v>0</v>
      </c>
      <c r="C210" s="13">
        <v>0</v>
      </c>
      <c r="D210" s="13">
        <v>1</v>
      </c>
      <c r="E210" s="13">
        <v>224</v>
      </c>
      <c r="F210" s="13">
        <f>ROUND(Source!AR182,O210)</f>
        <v>272743.02</v>
      </c>
      <c r="G210" s="13" t="s">
        <v>184</v>
      </c>
      <c r="H210" s="13" t="s">
        <v>185</v>
      </c>
      <c r="I210" s="13"/>
      <c r="J210" s="13"/>
      <c r="K210" s="13">
        <v>224</v>
      </c>
      <c r="L210" s="13">
        <v>27</v>
      </c>
      <c r="M210" s="13">
        <v>3</v>
      </c>
      <c r="N210" s="13" t="s">
        <v>3</v>
      </c>
      <c r="O210" s="13">
        <v>2</v>
      </c>
      <c r="P210" s="13">
        <f>ROUND(Source!EJ182,O210)</f>
        <v>2134079.52</v>
      </c>
      <c r="Q210" s="13"/>
      <c r="R210" s="13"/>
      <c r="S210" s="13"/>
      <c r="T210" s="13"/>
      <c r="U210" s="13"/>
      <c r="V210" s="13"/>
      <c r="W210" s="13">
        <v>272743.02</v>
      </c>
      <c r="X210" s="13">
        <v>1</v>
      </c>
      <c r="Y210" s="13">
        <v>272743.02</v>
      </c>
      <c r="Z210" s="13">
        <v>2134079.52</v>
      </c>
      <c r="AA210" s="13">
        <v>1</v>
      </c>
      <c r="AB210" s="13">
        <v>2134079.52</v>
      </c>
    </row>
    <row r="212" spans="1:255" x14ac:dyDescent="0.2">
      <c r="A212" s="10">
        <v>4</v>
      </c>
      <c r="B212" s="10">
        <v>1</v>
      </c>
      <c r="C212" s="10"/>
      <c r="D212" s="10">
        <f>ROW(A289)</f>
        <v>289</v>
      </c>
      <c r="E212" s="10"/>
      <c r="F212" s="10" t="s">
        <v>37</v>
      </c>
      <c r="G212" s="10" t="s">
        <v>335</v>
      </c>
      <c r="H212" s="10" t="s">
        <v>3</v>
      </c>
      <c r="I212" s="10">
        <v>0</v>
      </c>
      <c r="J212" s="10"/>
      <c r="K212" s="10">
        <v>-1</v>
      </c>
      <c r="L212" s="10"/>
      <c r="M212" s="10" t="s">
        <v>3</v>
      </c>
      <c r="N212" s="10"/>
      <c r="O212" s="10"/>
      <c r="P212" s="10"/>
      <c r="Q212" s="10"/>
      <c r="R212" s="10"/>
      <c r="S212" s="10">
        <v>0</v>
      </c>
      <c r="T212" s="10">
        <v>0</v>
      </c>
      <c r="U212" s="10" t="s">
        <v>3</v>
      </c>
      <c r="V212" s="10">
        <v>0</v>
      </c>
      <c r="W212" s="10"/>
      <c r="X212" s="10"/>
      <c r="Y212" s="10"/>
      <c r="Z212" s="10"/>
      <c r="AA212" s="10"/>
      <c r="AB212" s="10" t="s">
        <v>3</v>
      </c>
      <c r="AC212" s="10" t="s">
        <v>3</v>
      </c>
      <c r="AD212" s="10" t="s">
        <v>3</v>
      </c>
      <c r="AE212" s="10" t="s">
        <v>3</v>
      </c>
      <c r="AF212" s="10" t="s">
        <v>3</v>
      </c>
      <c r="AG212" s="10" t="s">
        <v>3</v>
      </c>
      <c r="AH212" s="10"/>
      <c r="AI212" s="10"/>
      <c r="AJ212" s="10"/>
      <c r="AK212" s="10"/>
      <c r="AL212" s="10"/>
      <c r="AM212" s="10"/>
      <c r="AN212" s="10"/>
      <c r="AO212" s="10"/>
      <c r="AP212" s="10" t="s">
        <v>3</v>
      </c>
      <c r="AQ212" s="10" t="s">
        <v>3</v>
      </c>
      <c r="AR212" s="10" t="s">
        <v>3</v>
      </c>
      <c r="AS212" s="10"/>
      <c r="AT212" s="10"/>
      <c r="AU212" s="10"/>
      <c r="AV212" s="10"/>
      <c r="AW212" s="10"/>
      <c r="AX212" s="10"/>
      <c r="AY212" s="10"/>
      <c r="AZ212" s="10" t="s">
        <v>3</v>
      </c>
      <c r="BA212" s="10"/>
      <c r="BB212" s="10" t="s">
        <v>3</v>
      </c>
      <c r="BC212" s="10" t="s">
        <v>3</v>
      </c>
      <c r="BD212" s="10" t="s">
        <v>3</v>
      </c>
      <c r="BE212" s="10" t="s">
        <v>3</v>
      </c>
      <c r="BF212" s="10" t="s">
        <v>3</v>
      </c>
      <c r="BG212" s="10" t="s">
        <v>3</v>
      </c>
      <c r="BH212" s="10" t="s">
        <v>3</v>
      </c>
      <c r="BI212" s="10" t="s">
        <v>3</v>
      </c>
      <c r="BJ212" s="10" t="s">
        <v>3</v>
      </c>
      <c r="BK212" s="10" t="s">
        <v>3</v>
      </c>
      <c r="BL212" s="10" t="s">
        <v>3</v>
      </c>
      <c r="BM212" s="10" t="s">
        <v>3</v>
      </c>
      <c r="BN212" s="10" t="s">
        <v>3</v>
      </c>
      <c r="BO212" s="10" t="s">
        <v>3</v>
      </c>
      <c r="BP212" s="10" t="s">
        <v>3</v>
      </c>
      <c r="BQ212" s="10"/>
      <c r="BR212" s="10"/>
      <c r="BS212" s="10"/>
      <c r="BT212" s="10"/>
      <c r="BU212" s="10"/>
      <c r="BV212" s="10"/>
      <c r="BW212" s="10"/>
      <c r="BX212" s="10">
        <v>0</v>
      </c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>
        <v>0</v>
      </c>
    </row>
    <row r="214" spans="1:255" x14ac:dyDescent="0.2">
      <c r="A214" s="11">
        <v>52</v>
      </c>
      <c r="B214" s="11">
        <f t="shared" ref="B214:G214" si="212">B289</f>
        <v>1</v>
      </c>
      <c r="C214" s="11">
        <f t="shared" si="212"/>
        <v>4</v>
      </c>
      <c r="D214" s="11">
        <f t="shared" si="212"/>
        <v>212</v>
      </c>
      <c r="E214" s="11">
        <f t="shared" si="212"/>
        <v>0</v>
      </c>
      <c r="F214" s="11" t="str">
        <f t="shared" si="212"/>
        <v>2</v>
      </c>
      <c r="G214" s="11" t="str">
        <f t="shared" si="212"/>
        <v>Кабельные изделия</v>
      </c>
      <c r="H214" s="11"/>
      <c r="I214" s="11"/>
      <c r="J214" s="11"/>
      <c r="K214" s="11"/>
      <c r="L214" s="11"/>
      <c r="M214" s="11"/>
      <c r="N214" s="11"/>
      <c r="O214" s="11">
        <f t="shared" ref="O214:AT214" si="213">O289</f>
        <v>25383.85</v>
      </c>
      <c r="P214" s="11">
        <f t="shared" si="213"/>
        <v>21450.43</v>
      </c>
      <c r="Q214" s="11">
        <f t="shared" si="213"/>
        <v>57.5</v>
      </c>
      <c r="R214" s="11">
        <f t="shared" si="213"/>
        <v>0.6</v>
      </c>
      <c r="S214" s="11">
        <f t="shared" si="213"/>
        <v>3875.92</v>
      </c>
      <c r="T214" s="11">
        <f t="shared" si="213"/>
        <v>0</v>
      </c>
      <c r="U214" s="11">
        <f t="shared" si="213"/>
        <v>322.14864599999999</v>
      </c>
      <c r="V214" s="11">
        <f t="shared" si="213"/>
        <v>0</v>
      </c>
      <c r="W214" s="11">
        <f t="shared" si="213"/>
        <v>0</v>
      </c>
      <c r="X214" s="11">
        <f t="shared" si="213"/>
        <v>3529.48</v>
      </c>
      <c r="Y214" s="11">
        <f t="shared" si="213"/>
        <v>1812.21</v>
      </c>
      <c r="Z214" s="11">
        <f t="shared" si="213"/>
        <v>0</v>
      </c>
      <c r="AA214" s="11">
        <f t="shared" si="213"/>
        <v>0</v>
      </c>
      <c r="AB214" s="11">
        <f t="shared" si="213"/>
        <v>25383.85</v>
      </c>
      <c r="AC214" s="11">
        <f t="shared" si="213"/>
        <v>21450.43</v>
      </c>
      <c r="AD214" s="11">
        <f t="shared" si="213"/>
        <v>57.5</v>
      </c>
      <c r="AE214" s="11">
        <f t="shared" si="213"/>
        <v>0.6</v>
      </c>
      <c r="AF214" s="11">
        <f t="shared" si="213"/>
        <v>3875.92</v>
      </c>
      <c r="AG214" s="11">
        <f t="shared" si="213"/>
        <v>0</v>
      </c>
      <c r="AH214" s="11">
        <f t="shared" si="213"/>
        <v>322.14864599999999</v>
      </c>
      <c r="AI214" s="11">
        <f t="shared" si="213"/>
        <v>0</v>
      </c>
      <c r="AJ214" s="11">
        <f t="shared" si="213"/>
        <v>0</v>
      </c>
      <c r="AK214" s="11">
        <f t="shared" si="213"/>
        <v>3529.48</v>
      </c>
      <c r="AL214" s="11">
        <f t="shared" si="213"/>
        <v>1812.21</v>
      </c>
      <c r="AM214" s="11">
        <f t="shared" si="213"/>
        <v>0</v>
      </c>
      <c r="AN214" s="11">
        <f t="shared" si="213"/>
        <v>0</v>
      </c>
      <c r="AO214" s="11">
        <f t="shared" si="213"/>
        <v>0</v>
      </c>
      <c r="AP214" s="11">
        <f t="shared" si="213"/>
        <v>0</v>
      </c>
      <c r="AQ214" s="11">
        <f t="shared" si="213"/>
        <v>0</v>
      </c>
      <c r="AR214" s="11">
        <f t="shared" si="213"/>
        <v>30725.54</v>
      </c>
      <c r="AS214" s="11">
        <f t="shared" si="213"/>
        <v>0</v>
      </c>
      <c r="AT214" s="11">
        <f t="shared" si="213"/>
        <v>30725.54</v>
      </c>
      <c r="AU214" s="11">
        <f t="shared" ref="AU214:BZ214" si="214">AU289</f>
        <v>0</v>
      </c>
      <c r="AV214" s="11">
        <f t="shared" si="214"/>
        <v>21450.43</v>
      </c>
      <c r="AW214" s="11">
        <f t="shared" si="214"/>
        <v>21450.43</v>
      </c>
      <c r="AX214" s="11">
        <f t="shared" si="214"/>
        <v>0</v>
      </c>
      <c r="AY214" s="11">
        <f t="shared" si="214"/>
        <v>21450.43</v>
      </c>
      <c r="AZ214" s="11">
        <f t="shared" si="214"/>
        <v>0</v>
      </c>
      <c r="BA214" s="11">
        <f t="shared" si="214"/>
        <v>0</v>
      </c>
      <c r="BB214" s="11">
        <f t="shared" si="214"/>
        <v>0</v>
      </c>
      <c r="BC214" s="11">
        <f t="shared" si="214"/>
        <v>0</v>
      </c>
      <c r="BD214" s="11">
        <f t="shared" si="214"/>
        <v>0</v>
      </c>
      <c r="BE214" s="11">
        <f t="shared" si="214"/>
        <v>0</v>
      </c>
      <c r="BF214" s="11">
        <f t="shared" si="214"/>
        <v>0</v>
      </c>
      <c r="BG214" s="11">
        <f t="shared" si="214"/>
        <v>0</v>
      </c>
      <c r="BH214" s="11">
        <f t="shared" si="214"/>
        <v>0</v>
      </c>
      <c r="BI214" s="11">
        <f t="shared" si="214"/>
        <v>0</v>
      </c>
      <c r="BJ214" s="11">
        <f t="shared" si="214"/>
        <v>0</v>
      </c>
      <c r="BK214" s="11">
        <f t="shared" si="214"/>
        <v>0</v>
      </c>
      <c r="BL214" s="11">
        <f t="shared" si="214"/>
        <v>0</v>
      </c>
      <c r="BM214" s="11">
        <f t="shared" si="214"/>
        <v>0</v>
      </c>
      <c r="BN214" s="11">
        <f t="shared" si="214"/>
        <v>0</v>
      </c>
      <c r="BO214" s="11">
        <f t="shared" si="214"/>
        <v>0</v>
      </c>
      <c r="BP214" s="11">
        <f t="shared" si="214"/>
        <v>0</v>
      </c>
      <c r="BQ214" s="11">
        <f t="shared" si="214"/>
        <v>0</v>
      </c>
      <c r="BR214" s="11">
        <f t="shared" si="214"/>
        <v>0</v>
      </c>
      <c r="BS214" s="11">
        <f t="shared" si="214"/>
        <v>0</v>
      </c>
      <c r="BT214" s="11">
        <f t="shared" si="214"/>
        <v>0</v>
      </c>
      <c r="BU214" s="11">
        <f t="shared" si="214"/>
        <v>0</v>
      </c>
      <c r="BV214" s="11">
        <f t="shared" si="214"/>
        <v>0</v>
      </c>
      <c r="BW214" s="11">
        <f t="shared" si="214"/>
        <v>0</v>
      </c>
      <c r="BX214" s="11">
        <f t="shared" si="214"/>
        <v>0</v>
      </c>
      <c r="BY214" s="11">
        <f t="shared" si="214"/>
        <v>0</v>
      </c>
      <c r="BZ214" s="11">
        <f t="shared" si="214"/>
        <v>0</v>
      </c>
      <c r="CA214" s="11">
        <f t="shared" ref="CA214:DF214" si="215">CA289</f>
        <v>30725.54</v>
      </c>
      <c r="CB214" s="11">
        <f t="shared" si="215"/>
        <v>0</v>
      </c>
      <c r="CC214" s="11">
        <f t="shared" si="215"/>
        <v>30725.54</v>
      </c>
      <c r="CD214" s="11">
        <f t="shared" si="215"/>
        <v>0</v>
      </c>
      <c r="CE214" s="11">
        <f t="shared" si="215"/>
        <v>21450.43</v>
      </c>
      <c r="CF214" s="11">
        <f t="shared" si="215"/>
        <v>21450.43</v>
      </c>
      <c r="CG214" s="11">
        <f t="shared" si="215"/>
        <v>0</v>
      </c>
      <c r="CH214" s="11">
        <f t="shared" si="215"/>
        <v>21450.43</v>
      </c>
      <c r="CI214" s="11">
        <f t="shared" si="215"/>
        <v>0</v>
      </c>
      <c r="CJ214" s="11">
        <f t="shared" si="215"/>
        <v>0</v>
      </c>
      <c r="CK214" s="11">
        <f t="shared" si="215"/>
        <v>0</v>
      </c>
      <c r="CL214" s="11">
        <f t="shared" si="215"/>
        <v>0</v>
      </c>
      <c r="CM214" s="11">
        <f t="shared" si="215"/>
        <v>0</v>
      </c>
      <c r="CN214" s="11">
        <f t="shared" si="215"/>
        <v>0</v>
      </c>
      <c r="CO214" s="11">
        <f t="shared" si="215"/>
        <v>0</v>
      </c>
      <c r="CP214" s="11">
        <f t="shared" si="215"/>
        <v>0</v>
      </c>
      <c r="CQ214" s="11">
        <f t="shared" si="215"/>
        <v>0</v>
      </c>
      <c r="CR214" s="11">
        <f t="shared" si="215"/>
        <v>0</v>
      </c>
      <c r="CS214" s="11">
        <f t="shared" si="215"/>
        <v>0</v>
      </c>
      <c r="CT214" s="11">
        <f t="shared" si="215"/>
        <v>0</v>
      </c>
      <c r="CU214" s="11">
        <f t="shared" si="215"/>
        <v>0</v>
      </c>
      <c r="CV214" s="11">
        <f t="shared" si="215"/>
        <v>0</v>
      </c>
      <c r="CW214" s="11">
        <f t="shared" si="215"/>
        <v>0</v>
      </c>
      <c r="CX214" s="11">
        <f t="shared" si="215"/>
        <v>0</v>
      </c>
      <c r="CY214" s="11">
        <f t="shared" si="215"/>
        <v>0</v>
      </c>
      <c r="CZ214" s="11">
        <f t="shared" si="215"/>
        <v>0</v>
      </c>
      <c r="DA214" s="11">
        <f t="shared" si="215"/>
        <v>0</v>
      </c>
      <c r="DB214" s="11">
        <f t="shared" si="215"/>
        <v>0</v>
      </c>
      <c r="DC214" s="11">
        <f t="shared" si="215"/>
        <v>0</v>
      </c>
      <c r="DD214" s="11">
        <f t="shared" si="215"/>
        <v>0</v>
      </c>
      <c r="DE214" s="11">
        <f t="shared" si="215"/>
        <v>0</v>
      </c>
      <c r="DF214" s="11">
        <f t="shared" si="215"/>
        <v>0</v>
      </c>
      <c r="DG214" s="12">
        <f t="shared" ref="DG214:EL214" si="216">DG289</f>
        <v>362827.84</v>
      </c>
      <c r="DH214" s="12">
        <f t="shared" si="216"/>
        <v>143836.74</v>
      </c>
      <c r="DI214" s="12">
        <f t="shared" si="216"/>
        <v>583.01</v>
      </c>
      <c r="DJ214" s="12">
        <f t="shared" si="216"/>
        <v>33.81</v>
      </c>
      <c r="DK214" s="12">
        <f t="shared" si="216"/>
        <v>218408.09</v>
      </c>
      <c r="DL214" s="12">
        <f t="shared" si="216"/>
        <v>0</v>
      </c>
      <c r="DM214" s="12">
        <f t="shared" si="216"/>
        <v>322.14864599999999</v>
      </c>
      <c r="DN214" s="12">
        <f t="shared" si="216"/>
        <v>0</v>
      </c>
      <c r="DO214" s="12">
        <f t="shared" si="216"/>
        <v>0</v>
      </c>
      <c r="DP214" s="12">
        <f t="shared" si="216"/>
        <v>198885.99</v>
      </c>
      <c r="DQ214" s="12">
        <f t="shared" si="216"/>
        <v>102117.75999999999</v>
      </c>
      <c r="DR214" s="12">
        <f t="shared" si="216"/>
        <v>0</v>
      </c>
      <c r="DS214" s="12">
        <f t="shared" si="216"/>
        <v>0</v>
      </c>
      <c r="DT214" s="12">
        <f t="shared" si="216"/>
        <v>362827.84</v>
      </c>
      <c r="DU214" s="12">
        <f t="shared" si="216"/>
        <v>143836.74</v>
      </c>
      <c r="DV214" s="12">
        <f t="shared" si="216"/>
        <v>583.01</v>
      </c>
      <c r="DW214" s="12">
        <f t="shared" si="216"/>
        <v>33.81</v>
      </c>
      <c r="DX214" s="12">
        <f t="shared" si="216"/>
        <v>218408.09</v>
      </c>
      <c r="DY214" s="12">
        <f t="shared" si="216"/>
        <v>0</v>
      </c>
      <c r="DZ214" s="12">
        <f t="shared" si="216"/>
        <v>322.14864599999999</v>
      </c>
      <c r="EA214" s="12">
        <f t="shared" si="216"/>
        <v>0</v>
      </c>
      <c r="EB214" s="12">
        <f t="shared" si="216"/>
        <v>0</v>
      </c>
      <c r="EC214" s="12">
        <f t="shared" si="216"/>
        <v>198885.99</v>
      </c>
      <c r="ED214" s="12">
        <f t="shared" si="216"/>
        <v>102117.75999999999</v>
      </c>
      <c r="EE214" s="12">
        <f t="shared" si="216"/>
        <v>0</v>
      </c>
      <c r="EF214" s="12">
        <f t="shared" si="216"/>
        <v>0</v>
      </c>
      <c r="EG214" s="12">
        <f t="shared" si="216"/>
        <v>0</v>
      </c>
      <c r="EH214" s="12">
        <f t="shared" si="216"/>
        <v>0</v>
      </c>
      <c r="EI214" s="12">
        <f t="shared" si="216"/>
        <v>0</v>
      </c>
      <c r="EJ214" s="12">
        <f t="shared" si="216"/>
        <v>663831.59</v>
      </c>
      <c r="EK214" s="12">
        <f t="shared" si="216"/>
        <v>0</v>
      </c>
      <c r="EL214" s="12">
        <f t="shared" si="216"/>
        <v>663831.59</v>
      </c>
      <c r="EM214" s="12">
        <f t="shared" ref="EM214:FR214" si="217">EM289</f>
        <v>0</v>
      </c>
      <c r="EN214" s="12">
        <f t="shared" si="217"/>
        <v>143836.74</v>
      </c>
      <c r="EO214" s="12">
        <f t="shared" si="217"/>
        <v>143836.74</v>
      </c>
      <c r="EP214" s="12">
        <f t="shared" si="217"/>
        <v>0</v>
      </c>
      <c r="EQ214" s="12">
        <f t="shared" si="217"/>
        <v>143836.74</v>
      </c>
      <c r="ER214" s="12">
        <f t="shared" si="217"/>
        <v>0</v>
      </c>
      <c r="ES214" s="12">
        <f t="shared" si="217"/>
        <v>0</v>
      </c>
      <c r="ET214" s="12">
        <f t="shared" si="217"/>
        <v>0</v>
      </c>
      <c r="EU214" s="12">
        <f t="shared" si="217"/>
        <v>0</v>
      </c>
      <c r="EV214" s="12">
        <f t="shared" si="217"/>
        <v>0</v>
      </c>
      <c r="EW214" s="12">
        <f t="shared" si="217"/>
        <v>0</v>
      </c>
      <c r="EX214" s="12">
        <f t="shared" si="217"/>
        <v>0</v>
      </c>
      <c r="EY214" s="12">
        <f t="shared" si="217"/>
        <v>0</v>
      </c>
      <c r="EZ214" s="12">
        <f t="shared" si="217"/>
        <v>0</v>
      </c>
      <c r="FA214" s="12">
        <f t="shared" si="217"/>
        <v>0</v>
      </c>
      <c r="FB214" s="12">
        <f t="shared" si="217"/>
        <v>0</v>
      </c>
      <c r="FC214" s="12">
        <f t="shared" si="217"/>
        <v>0</v>
      </c>
      <c r="FD214" s="12">
        <f t="shared" si="217"/>
        <v>0</v>
      </c>
      <c r="FE214" s="12">
        <f t="shared" si="217"/>
        <v>0</v>
      </c>
      <c r="FF214" s="12">
        <f t="shared" si="217"/>
        <v>0</v>
      </c>
      <c r="FG214" s="12">
        <f t="shared" si="217"/>
        <v>0</v>
      </c>
      <c r="FH214" s="12">
        <f t="shared" si="217"/>
        <v>0</v>
      </c>
      <c r="FI214" s="12">
        <f t="shared" si="217"/>
        <v>0</v>
      </c>
      <c r="FJ214" s="12">
        <f t="shared" si="217"/>
        <v>0</v>
      </c>
      <c r="FK214" s="12">
        <f t="shared" si="217"/>
        <v>0</v>
      </c>
      <c r="FL214" s="12">
        <f t="shared" si="217"/>
        <v>0</v>
      </c>
      <c r="FM214" s="12">
        <f t="shared" si="217"/>
        <v>0</v>
      </c>
      <c r="FN214" s="12">
        <f t="shared" si="217"/>
        <v>0</v>
      </c>
      <c r="FO214" s="12">
        <f t="shared" si="217"/>
        <v>0</v>
      </c>
      <c r="FP214" s="12">
        <f t="shared" si="217"/>
        <v>0</v>
      </c>
      <c r="FQ214" s="12">
        <f t="shared" si="217"/>
        <v>0</v>
      </c>
      <c r="FR214" s="12">
        <f t="shared" si="217"/>
        <v>0</v>
      </c>
      <c r="FS214" s="12">
        <f t="shared" ref="FS214:GX214" si="218">FS289</f>
        <v>663831.59</v>
      </c>
      <c r="FT214" s="12">
        <f t="shared" si="218"/>
        <v>0</v>
      </c>
      <c r="FU214" s="12">
        <f t="shared" si="218"/>
        <v>663831.59</v>
      </c>
      <c r="FV214" s="12">
        <f t="shared" si="218"/>
        <v>0</v>
      </c>
      <c r="FW214" s="12">
        <f t="shared" si="218"/>
        <v>143836.74</v>
      </c>
      <c r="FX214" s="12">
        <f t="shared" si="218"/>
        <v>143836.74</v>
      </c>
      <c r="FY214" s="12">
        <f t="shared" si="218"/>
        <v>0</v>
      </c>
      <c r="FZ214" s="12">
        <f t="shared" si="218"/>
        <v>143836.74</v>
      </c>
      <c r="GA214" s="12">
        <f t="shared" si="218"/>
        <v>0</v>
      </c>
      <c r="GB214" s="12">
        <f t="shared" si="218"/>
        <v>0</v>
      </c>
      <c r="GC214" s="12">
        <f t="shared" si="218"/>
        <v>0</v>
      </c>
      <c r="GD214" s="12">
        <f t="shared" si="218"/>
        <v>0</v>
      </c>
      <c r="GE214" s="12">
        <f t="shared" si="218"/>
        <v>0</v>
      </c>
      <c r="GF214" s="12">
        <f t="shared" si="218"/>
        <v>0</v>
      </c>
      <c r="GG214" s="12">
        <f t="shared" si="218"/>
        <v>0</v>
      </c>
      <c r="GH214" s="12">
        <f t="shared" si="218"/>
        <v>0</v>
      </c>
      <c r="GI214" s="12">
        <f t="shared" si="218"/>
        <v>0</v>
      </c>
      <c r="GJ214" s="12">
        <f t="shared" si="218"/>
        <v>0</v>
      </c>
      <c r="GK214" s="12">
        <f t="shared" si="218"/>
        <v>0</v>
      </c>
      <c r="GL214" s="12">
        <f t="shared" si="218"/>
        <v>0</v>
      </c>
      <c r="GM214" s="12">
        <f t="shared" si="218"/>
        <v>0</v>
      </c>
      <c r="GN214" s="12">
        <f t="shared" si="218"/>
        <v>0</v>
      </c>
      <c r="GO214" s="12">
        <f t="shared" si="218"/>
        <v>0</v>
      </c>
      <c r="GP214" s="12">
        <f t="shared" si="218"/>
        <v>0</v>
      </c>
      <c r="GQ214" s="12">
        <f t="shared" si="218"/>
        <v>0</v>
      </c>
      <c r="GR214" s="12">
        <f t="shared" si="218"/>
        <v>0</v>
      </c>
      <c r="GS214" s="12">
        <f t="shared" si="218"/>
        <v>0</v>
      </c>
      <c r="GT214" s="12">
        <f t="shared" si="218"/>
        <v>0</v>
      </c>
      <c r="GU214" s="12">
        <f t="shared" si="218"/>
        <v>0</v>
      </c>
      <c r="GV214" s="12">
        <f t="shared" si="218"/>
        <v>0</v>
      </c>
      <c r="GW214" s="12">
        <f t="shared" si="218"/>
        <v>0</v>
      </c>
      <c r="GX214" s="12">
        <f t="shared" si="218"/>
        <v>0</v>
      </c>
    </row>
    <row r="216" spans="1:255" x14ac:dyDescent="0.2">
      <c r="A216" s="2">
        <v>17</v>
      </c>
      <c r="B216" s="2">
        <v>1</v>
      </c>
      <c r="C216" s="2">
        <f>ROW(SmtRes!A260)</f>
        <v>260</v>
      </c>
      <c r="D216" s="2">
        <f>ROW(EtalonRes!A326)</f>
        <v>326</v>
      </c>
      <c r="E216" s="2" t="s">
        <v>3</v>
      </c>
      <c r="F216" s="2" t="s">
        <v>336</v>
      </c>
      <c r="G216" s="2" t="s">
        <v>337</v>
      </c>
      <c r="H216" s="2" t="s">
        <v>117</v>
      </c>
      <c r="I216" s="2">
        <f>ROUND((642)/100,9)</f>
        <v>6.42</v>
      </c>
      <c r="J216" s="2">
        <v>0</v>
      </c>
      <c r="K216" s="2">
        <f>ROUND((642)/100,9)</f>
        <v>6.42</v>
      </c>
      <c r="L216" s="2"/>
      <c r="M216" s="2"/>
      <c r="N216" s="2"/>
      <c r="O216" s="2">
        <f t="shared" ref="O216:O247" si="219">ROUND(CP216,2)</f>
        <v>3833.66</v>
      </c>
      <c r="P216" s="2">
        <f t="shared" ref="P216:P247" si="220">ROUND((ROUND((AC216*AW216*I216),2)*BC216),2)</f>
        <v>2017.74</v>
      </c>
      <c r="Q216" s="2">
        <f>(ROUND((ROUND((((ET216*1.2))*AV216*I216),2)*BB216),2)+ROUND((ROUND(((AE216-((EU216*1.2)))*AV216*I216),2)*BS216),2))</f>
        <v>265.13</v>
      </c>
      <c r="R216" s="2">
        <f>(ROUND((ROUND((((EU216*1.2))*AV216*I216),2)*BS216),2)+ROUND((ROUND(((AE216-((EU216*1.2)))*AV216*I216),2)*BS216),2))</f>
        <v>46.06</v>
      </c>
      <c r="S216" s="2">
        <f t="shared" ref="S216:S247" si="221">ROUND((ROUND((AF216*AV216*I216),2)*BA216),2)</f>
        <v>1550.79</v>
      </c>
      <c r="T216" s="2">
        <f t="shared" ref="T216:T247" si="222">ROUND(CU216*I216,2)</f>
        <v>0</v>
      </c>
      <c r="U216" s="2">
        <f t="shared" ref="U216:U247" si="223">CV216*I216</f>
        <v>120.99132</v>
      </c>
      <c r="V216" s="2">
        <f t="shared" ref="V216:V247" si="224">CW216*I216</f>
        <v>0</v>
      </c>
      <c r="W216" s="2">
        <f t="shared" ref="W216:W247" si="225">ROUND(CX216*I216,2)</f>
        <v>0</v>
      </c>
      <c r="X216" s="2">
        <f>(ROUND((((S216+ROUND((ROUND((((EU216*1.2))*AV216*I216),2)*BS216),2))*AT216)/100),2)+ROUND(((ROUND((ROUND(((AE216-((EU216*1.2)))*AV216*I216),2)*BS216),2)*AT216)/100),2))</f>
        <v>1548.94</v>
      </c>
      <c r="Y216" s="2">
        <f>(ROUND((((S216+ROUND((ROUND((((EU216*1.2))*AV216*I216),2)*BS216),2))*AU216)/100),2)+ROUND(((ROUND((ROUND(((AE216-((EU216*1.2)))*AV216*I216),2)*BS216),2)*AU216)/100),2))</f>
        <v>814.39</v>
      </c>
      <c r="Z216" s="2"/>
      <c r="AA216" s="2">
        <v>-1</v>
      </c>
      <c r="AB216" s="2">
        <f t="shared" ref="AB216:AB247" si="226">ROUND((AC216+AD216+AF216),6)</f>
        <v>584.44600000000003</v>
      </c>
      <c r="AC216" s="2">
        <f>ROUND(((ES216*1)),6)</f>
        <v>314.29000000000002</v>
      </c>
      <c r="AD216" s="2">
        <f>ROUND(((((ET216*1.2))-((EU216*1.2)))+AE216),6)</f>
        <v>39.444000000000003</v>
      </c>
      <c r="AE216" s="2">
        <f>ROUND(((EU216*1.2)),6)</f>
        <v>6.8520000000000003</v>
      </c>
      <c r="AF216" s="2">
        <f>ROUND(((EV216*1.2)),6)</f>
        <v>230.71199999999999</v>
      </c>
      <c r="AG216" s="2">
        <f t="shared" ref="AG216:AG247" si="227">ROUND((AP216),6)</f>
        <v>0</v>
      </c>
      <c r="AH216" s="2">
        <f>((EW216*1.2))</f>
        <v>18</v>
      </c>
      <c r="AI216" s="2">
        <f>((EX216*1.2))</f>
        <v>0</v>
      </c>
      <c r="AJ216" s="2">
        <f t="shared" ref="AJ216:AJ247" si="228">(AS216)</f>
        <v>0</v>
      </c>
      <c r="AK216" s="2">
        <v>539.41999999999996</v>
      </c>
      <c r="AL216" s="2">
        <v>314.29000000000002</v>
      </c>
      <c r="AM216" s="2">
        <v>32.869999999999997</v>
      </c>
      <c r="AN216" s="2">
        <v>5.71</v>
      </c>
      <c r="AO216" s="2">
        <v>192.26</v>
      </c>
      <c r="AP216" s="2">
        <v>0</v>
      </c>
      <c r="AQ216" s="2">
        <v>15</v>
      </c>
      <c r="AR216" s="2">
        <v>0</v>
      </c>
      <c r="AS216" s="2">
        <v>0</v>
      </c>
      <c r="AT216" s="2">
        <v>97</v>
      </c>
      <c r="AU216" s="2">
        <v>51</v>
      </c>
      <c r="AV216" s="2">
        <v>1.0469999999999999</v>
      </c>
      <c r="AW216" s="2">
        <v>1</v>
      </c>
      <c r="AX216" s="2"/>
      <c r="AY216" s="2"/>
      <c r="AZ216" s="2">
        <v>1</v>
      </c>
      <c r="BA216" s="2">
        <v>1</v>
      </c>
      <c r="BB216" s="2">
        <v>1</v>
      </c>
      <c r="BC216" s="2">
        <v>1</v>
      </c>
      <c r="BD216" s="2" t="s">
        <v>3</v>
      </c>
      <c r="BE216" s="2" t="s">
        <v>3</v>
      </c>
      <c r="BF216" s="2" t="s">
        <v>3</v>
      </c>
      <c r="BG216" s="2" t="s">
        <v>3</v>
      </c>
      <c r="BH216" s="2">
        <v>0</v>
      </c>
      <c r="BI216" s="2">
        <v>2</v>
      </c>
      <c r="BJ216" s="2" t="s">
        <v>338</v>
      </c>
      <c r="BK216" s="2"/>
      <c r="BL216" s="2"/>
      <c r="BM216" s="2">
        <v>67</v>
      </c>
      <c r="BN216" s="2">
        <v>0</v>
      </c>
      <c r="BO216" s="2" t="s">
        <v>336</v>
      </c>
      <c r="BP216" s="2">
        <v>1</v>
      </c>
      <c r="BQ216" s="2">
        <v>40</v>
      </c>
      <c r="BR216" s="2">
        <v>0</v>
      </c>
      <c r="BS216" s="2">
        <v>1</v>
      </c>
      <c r="BT216" s="2">
        <v>1</v>
      </c>
      <c r="BU216" s="2">
        <v>1</v>
      </c>
      <c r="BV216" s="2">
        <v>1</v>
      </c>
      <c r="BW216" s="2">
        <v>1</v>
      </c>
      <c r="BX216" s="2">
        <v>1</v>
      </c>
      <c r="BY216" s="2" t="s">
        <v>3</v>
      </c>
      <c r="BZ216" s="2">
        <v>97</v>
      </c>
      <c r="CA216" s="2">
        <v>51</v>
      </c>
      <c r="CB216" s="2" t="s">
        <v>3</v>
      </c>
      <c r="CC216" s="2"/>
      <c r="CD216" s="2"/>
      <c r="CE216" s="2">
        <v>1566</v>
      </c>
      <c r="CF216" s="2">
        <v>0</v>
      </c>
      <c r="CG216" s="2">
        <v>0</v>
      </c>
      <c r="CH216" s="2"/>
      <c r="CI216" s="2"/>
      <c r="CJ216" s="2"/>
      <c r="CK216" s="2"/>
      <c r="CL216" s="2"/>
      <c r="CM216" s="2">
        <v>0</v>
      </c>
      <c r="CN216" s="2" t="s">
        <v>820</v>
      </c>
      <c r="CO216" s="2">
        <v>0</v>
      </c>
      <c r="CP216" s="2">
        <f t="shared" ref="CP216:CP247" si="229">(P216+Q216+S216)</f>
        <v>3833.66</v>
      </c>
      <c r="CQ216" s="2">
        <f t="shared" ref="CQ216:CQ247" si="230">ROUND((ROUND((AC216*AW216*1),2)*BC216),2)</f>
        <v>314.29000000000002</v>
      </c>
      <c r="CR216" s="2">
        <f>(ROUND((ROUND((((ET216*1.2))*AV216*1),2)*BB216),2)+ROUND((ROUND(((AE216-((EU216*1.2)))*AV216*1),2)*BS216),2))</f>
        <v>41.3</v>
      </c>
      <c r="CS216" s="2">
        <f>(ROUND((ROUND((((EU216*1.2))*AV216*1),2)*BS216),2)+ROUND((ROUND(((AE216-((EU216*1.2)))*AV216*1),2)*BS216),2))</f>
        <v>7.17</v>
      </c>
      <c r="CT216" s="2">
        <f t="shared" ref="CT216:CT247" si="231">ROUND((ROUND((AF216*AV216*1),2)*BA216),2)</f>
        <v>241.56</v>
      </c>
      <c r="CU216" s="2">
        <f t="shared" ref="CU216:CU247" si="232">AG216</f>
        <v>0</v>
      </c>
      <c r="CV216" s="2">
        <f t="shared" ref="CV216:CV247" si="233">(AH216*AV216)</f>
        <v>18.846</v>
      </c>
      <c r="CW216" s="2">
        <f t="shared" ref="CW216:CW247" si="234">AI216</f>
        <v>0</v>
      </c>
      <c r="CX216" s="2">
        <f t="shared" ref="CX216:CX247" si="235">AJ216</f>
        <v>0</v>
      </c>
      <c r="CY216" s="2">
        <f>(ROUND((((S216+ROUND((ROUND((((EU216*1.2))*AV216*1),2)*BS216),2))*AT216)/100),2)+ROUND(((ROUND((ROUND(((AE216-((EU216*1.2)))*AV216*1),2)*BS216),2)*AT216)/100),2))</f>
        <v>1511.22</v>
      </c>
      <c r="CZ216" s="2">
        <f>(ROUND((((S216+ROUND((ROUND((((EU216*1.2))*AV216*1),2)*BS216),2))*AU216)/100),2)+ROUND(((ROUND((ROUND(((AE216-((EU216*1.2)))*AV216*1),2)*BS216),2)*AU216)/100),2))</f>
        <v>794.56</v>
      </c>
      <c r="DA216" s="2"/>
      <c r="DB216" s="2">
        <v>105</v>
      </c>
      <c r="DC216" s="2" t="s">
        <v>3</v>
      </c>
      <c r="DD216" s="2" t="s">
        <v>119</v>
      </c>
      <c r="DE216" s="2" t="s">
        <v>120</v>
      </c>
      <c r="DF216" s="2" t="s">
        <v>120</v>
      </c>
      <c r="DG216" s="2" t="s">
        <v>120</v>
      </c>
      <c r="DH216" s="2" t="s">
        <v>3</v>
      </c>
      <c r="DI216" s="2" t="s">
        <v>120</v>
      </c>
      <c r="DJ216" s="2" t="s">
        <v>120</v>
      </c>
      <c r="DK216" s="2" t="s">
        <v>3</v>
      </c>
      <c r="DL216" s="2" t="s">
        <v>3</v>
      </c>
      <c r="DM216" s="2" t="s">
        <v>3</v>
      </c>
      <c r="DN216" s="2">
        <v>0</v>
      </c>
      <c r="DO216" s="2">
        <v>0</v>
      </c>
      <c r="DP216" s="2">
        <v>1</v>
      </c>
      <c r="DQ216" s="2">
        <v>1</v>
      </c>
      <c r="DR216" s="2"/>
      <c r="DS216" s="2"/>
      <c r="DT216" s="2"/>
      <c r="DU216" s="2">
        <v>1003</v>
      </c>
      <c r="DV216" s="2" t="s">
        <v>117</v>
      </c>
      <c r="DW216" s="2" t="s">
        <v>117</v>
      </c>
      <c r="DX216" s="2">
        <v>100</v>
      </c>
      <c r="DY216" s="2"/>
      <c r="DZ216" s="2" t="s">
        <v>3</v>
      </c>
      <c r="EA216" s="2" t="s">
        <v>3</v>
      </c>
      <c r="EB216" s="2" t="s">
        <v>3</v>
      </c>
      <c r="EC216" s="2" t="s">
        <v>3</v>
      </c>
      <c r="ED216" s="2"/>
      <c r="EE216" s="2">
        <v>57248651</v>
      </c>
      <c r="EF216" s="2">
        <v>40</v>
      </c>
      <c r="EG216" s="2" t="s">
        <v>33</v>
      </c>
      <c r="EH216" s="2">
        <v>0</v>
      </c>
      <c r="EI216" s="2" t="s">
        <v>3</v>
      </c>
      <c r="EJ216" s="2">
        <v>2</v>
      </c>
      <c r="EK216" s="2">
        <v>67</v>
      </c>
      <c r="EL216" s="2" t="s">
        <v>69</v>
      </c>
      <c r="EM216" s="2" t="s">
        <v>70</v>
      </c>
      <c r="EN216" s="2"/>
      <c r="EO216" s="2" t="s">
        <v>124</v>
      </c>
      <c r="EP216" s="2"/>
      <c r="EQ216" s="2">
        <v>132096</v>
      </c>
      <c r="ER216" s="2">
        <v>539.41999999999996</v>
      </c>
      <c r="ES216" s="2">
        <v>314.29000000000002</v>
      </c>
      <c r="ET216" s="2">
        <v>32.869999999999997</v>
      </c>
      <c r="EU216" s="2">
        <v>5.71</v>
      </c>
      <c r="EV216" s="2">
        <v>192.26</v>
      </c>
      <c r="EW216" s="2">
        <v>15</v>
      </c>
      <c r="EX216" s="2">
        <v>0</v>
      </c>
      <c r="EY216" s="2">
        <v>0</v>
      </c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>
        <v>0</v>
      </c>
      <c r="FR216" s="2">
        <v>0</v>
      </c>
      <c r="FS216" s="2">
        <v>0</v>
      </c>
      <c r="FT216" s="2"/>
      <c r="FU216" s="2"/>
      <c r="FV216" s="2"/>
      <c r="FW216" s="2"/>
      <c r="FX216" s="2">
        <v>97</v>
      </c>
      <c r="FY216" s="2">
        <v>51</v>
      </c>
      <c r="FZ216" s="2"/>
      <c r="GA216" s="2" t="s">
        <v>3</v>
      </c>
      <c r="GB216" s="2"/>
      <c r="GC216" s="2"/>
      <c r="GD216" s="2">
        <v>1</v>
      </c>
      <c r="GE216" s="2"/>
      <c r="GF216" s="2">
        <v>823412492</v>
      </c>
      <c r="GG216" s="2">
        <v>2</v>
      </c>
      <c r="GH216" s="2">
        <v>1</v>
      </c>
      <c r="GI216" s="2">
        <v>2</v>
      </c>
      <c r="GJ216" s="2">
        <v>0</v>
      </c>
      <c r="GK216" s="2">
        <v>0</v>
      </c>
      <c r="GL216" s="2">
        <f t="shared" ref="GL216:GL247" si="236">ROUND(IF(AND(BH216=3,BI216=3,FS216&lt;&gt;0),P216,0),2)</f>
        <v>0</v>
      </c>
      <c r="GM216" s="2">
        <f t="shared" ref="GM216:GM247" si="237">ROUND(O216+X216+Y216,2)+GX216</f>
        <v>6196.99</v>
      </c>
      <c r="GN216" s="2">
        <f t="shared" ref="GN216:GN247" si="238">IF(OR(BI216=0,BI216=1),GM216-GX216,0)</f>
        <v>0</v>
      </c>
      <c r="GO216" s="2">
        <f t="shared" ref="GO216:GO247" si="239">IF(BI216=2,GM216-GX216,0)</f>
        <v>6196.99</v>
      </c>
      <c r="GP216" s="2">
        <f t="shared" ref="GP216:GP247" si="240">IF(BI216=4,GM216-GX216,0)</f>
        <v>0</v>
      </c>
      <c r="GQ216" s="2"/>
      <c r="GR216" s="2">
        <v>0</v>
      </c>
      <c r="GS216" s="2">
        <v>3</v>
      </c>
      <c r="GT216" s="2">
        <v>0</v>
      </c>
      <c r="GU216" s="2" t="s">
        <v>3</v>
      </c>
      <c r="GV216" s="2">
        <f t="shared" ref="GV216:GV247" si="241">ROUND((GT216),6)</f>
        <v>0</v>
      </c>
      <c r="GW216" s="2">
        <v>1</v>
      </c>
      <c r="GX216" s="2">
        <f t="shared" ref="GX216:GX247" si="242">ROUND(HC216*I216,2)</f>
        <v>0</v>
      </c>
      <c r="GY216" s="2"/>
      <c r="GZ216" s="2"/>
      <c r="HA216" s="2">
        <v>0</v>
      </c>
      <c r="HB216" s="2">
        <v>0</v>
      </c>
      <c r="HC216" s="2">
        <f t="shared" ref="HC216:HC247" si="243">GV216*GW216</f>
        <v>0</v>
      </c>
      <c r="HD216" s="2"/>
      <c r="HE216" s="2" t="s">
        <v>3</v>
      </c>
      <c r="HF216" s="2" t="s">
        <v>3</v>
      </c>
      <c r="HG216" s="2"/>
      <c r="HH216" s="2"/>
      <c r="HI216" s="2"/>
      <c r="HJ216" s="2"/>
      <c r="HK216" s="2"/>
      <c r="HL216" s="2"/>
      <c r="HM216" s="2" t="s">
        <v>3</v>
      </c>
      <c r="HN216" s="2" t="s">
        <v>3</v>
      </c>
      <c r="HO216" s="2" t="s">
        <v>3</v>
      </c>
      <c r="HP216" s="2" t="s">
        <v>3</v>
      </c>
      <c r="HQ216" s="2" t="s">
        <v>3</v>
      </c>
      <c r="HR216" s="2"/>
      <c r="HS216" s="2">
        <v>0</v>
      </c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>
        <v>0</v>
      </c>
      <c r="IL216" s="2"/>
      <c r="IM216" s="2"/>
      <c r="IN216" s="2"/>
      <c r="IO216" s="2"/>
      <c r="IP216" s="2"/>
      <c r="IQ216" s="2"/>
      <c r="IR216" s="2"/>
      <c r="IS216" s="2"/>
      <c r="IT216" s="2"/>
      <c r="IU216" s="2"/>
    </row>
    <row r="217" spans="1:255" x14ac:dyDescent="0.2">
      <c r="A217" s="3">
        <v>17</v>
      </c>
      <c r="B217" s="3">
        <v>1</v>
      </c>
      <c r="C217" s="3">
        <f>ROW(SmtRes!A264)</f>
        <v>264</v>
      </c>
      <c r="D217" s="3">
        <f>ROW(EtalonRes!A330)</f>
        <v>330</v>
      </c>
      <c r="E217" s="3" t="s">
        <v>3</v>
      </c>
      <c r="F217" s="3" t="s">
        <v>336</v>
      </c>
      <c r="G217" s="3" t="s">
        <v>337</v>
      </c>
      <c r="H217" s="3" t="s">
        <v>117</v>
      </c>
      <c r="I217" s="3">
        <f>ROUND((642)/100,9)</f>
        <v>6.42</v>
      </c>
      <c r="J217" s="3">
        <v>0</v>
      </c>
      <c r="K217" s="3">
        <f>ROUND((642)/100,9)</f>
        <v>6.42</v>
      </c>
      <c r="O217" s="3">
        <f t="shared" si="219"/>
        <v>112236.63</v>
      </c>
      <c r="P217" s="3">
        <f t="shared" si="220"/>
        <v>19854.560000000001</v>
      </c>
      <c r="Q217" s="3">
        <f>(ROUND((ROUND((((ET217*1.2))*AV217*I217),2)*BB217),2)+ROUND((ROUND(((AE217-((EU217*1.2)))*AV217*I217),2)*BS217),2))</f>
        <v>4995.05</v>
      </c>
      <c r="R217" s="3">
        <f>(ROUND((ROUND((((EU217*1.2))*AV217*I217),2)*BS217),2)+ROUND((ROUND(((AE217-((EU217*1.2)))*AV217*I217),2)*BS217),2))</f>
        <v>2595.48</v>
      </c>
      <c r="S217" s="3">
        <f t="shared" si="221"/>
        <v>87387.02</v>
      </c>
      <c r="T217" s="3">
        <f t="shared" si="222"/>
        <v>0</v>
      </c>
      <c r="U217" s="3">
        <f t="shared" si="223"/>
        <v>120.99132</v>
      </c>
      <c r="V217" s="3">
        <f t="shared" si="224"/>
        <v>0</v>
      </c>
      <c r="W217" s="3">
        <f t="shared" si="225"/>
        <v>0</v>
      </c>
      <c r="X217" s="3">
        <f>(ROUND((((S217+ROUND((ROUND((((EU217*1.2))*AV217*I217),2)*BS217),2))*AT217)/100),2)+ROUND(((ROUND((ROUND(((AE217-((EU217*1.2)))*AV217*I217),2)*BS217),2)*AT217)/100),2))</f>
        <v>87283.03</v>
      </c>
      <c r="Y217" s="3">
        <f>(ROUND((((S217+ROUND((ROUND((((EU217*1.2))*AV217*I217),2)*BS217),2))*AU217)/100),2)+ROUND(((ROUND((ROUND(((AE217-((EU217*1.2)))*AV217*I217),2)*BS217),2)*AU217)/100),2))</f>
        <v>45891.08</v>
      </c>
      <c r="AA217" s="3">
        <v>-1</v>
      </c>
      <c r="AB217" s="3">
        <f t="shared" si="226"/>
        <v>584.44600000000003</v>
      </c>
      <c r="AC217" s="3">
        <f>ROUND(((ES217*1)),6)</f>
        <v>314.29000000000002</v>
      </c>
      <c r="AD217" s="3">
        <f>ROUND(((((ET217*1.2))-((EU217*1.2)))+AE217),6)</f>
        <v>39.444000000000003</v>
      </c>
      <c r="AE217" s="3">
        <f>ROUND(((EU217*1.2)),6)</f>
        <v>6.8520000000000003</v>
      </c>
      <c r="AF217" s="3">
        <f>ROUND(((EV217*1.2)),6)</f>
        <v>230.71199999999999</v>
      </c>
      <c r="AG217" s="3">
        <f t="shared" si="227"/>
        <v>0</v>
      </c>
      <c r="AH217" s="3">
        <f>((EW217*1.2))</f>
        <v>18</v>
      </c>
      <c r="AI217" s="3">
        <f>((EX217*1.2))</f>
        <v>0</v>
      </c>
      <c r="AJ217" s="3">
        <f t="shared" si="228"/>
        <v>0</v>
      </c>
      <c r="AK217" s="3">
        <v>539.41999999999996</v>
      </c>
      <c r="AL217" s="3">
        <v>314.29000000000002</v>
      </c>
      <c r="AM217" s="3">
        <v>32.869999999999997</v>
      </c>
      <c r="AN217" s="3">
        <v>5.71</v>
      </c>
      <c r="AO217" s="3">
        <v>192.26</v>
      </c>
      <c r="AP217" s="3">
        <v>0</v>
      </c>
      <c r="AQ217" s="3">
        <v>15</v>
      </c>
      <c r="AR217" s="3">
        <v>0</v>
      </c>
      <c r="AS217" s="3">
        <v>0</v>
      </c>
      <c r="AT217" s="3">
        <v>97</v>
      </c>
      <c r="AU217" s="3">
        <v>51</v>
      </c>
      <c r="AV217" s="3">
        <v>1.0469999999999999</v>
      </c>
      <c r="AW217" s="3">
        <v>1</v>
      </c>
      <c r="AZ217" s="3">
        <v>1</v>
      </c>
      <c r="BA217" s="3">
        <v>56.35</v>
      </c>
      <c r="BB217" s="3">
        <v>18.84</v>
      </c>
      <c r="BC217" s="3">
        <v>9.84</v>
      </c>
      <c r="BD217" s="3" t="s">
        <v>3</v>
      </c>
      <c r="BE217" s="3" t="s">
        <v>3</v>
      </c>
      <c r="BF217" s="3" t="s">
        <v>3</v>
      </c>
      <c r="BG217" s="3" t="s">
        <v>3</v>
      </c>
      <c r="BH217" s="3">
        <v>0</v>
      </c>
      <c r="BI217" s="3">
        <v>2</v>
      </c>
      <c r="BJ217" s="3" t="s">
        <v>338</v>
      </c>
      <c r="BM217" s="3">
        <v>67</v>
      </c>
      <c r="BN217" s="3">
        <v>0</v>
      </c>
      <c r="BO217" s="3" t="s">
        <v>336</v>
      </c>
      <c r="BP217" s="3">
        <v>1</v>
      </c>
      <c r="BQ217" s="3">
        <v>40</v>
      </c>
      <c r="BR217" s="3">
        <v>0</v>
      </c>
      <c r="BS217" s="3">
        <v>56.35</v>
      </c>
      <c r="BT217" s="3">
        <v>1</v>
      </c>
      <c r="BU217" s="3">
        <v>1</v>
      </c>
      <c r="BV217" s="3">
        <v>1</v>
      </c>
      <c r="BW217" s="3">
        <v>1</v>
      </c>
      <c r="BX217" s="3">
        <v>1</v>
      </c>
      <c r="BY217" s="3" t="s">
        <v>3</v>
      </c>
      <c r="BZ217" s="3">
        <v>97</v>
      </c>
      <c r="CA217" s="3">
        <v>51</v>
      </c>
      <c r="CB217" s="3" t="s">
        <v>3</v>
      </c>
      <c r="CE217" s="3">
        <v>1566</v>
      </c>
      <c r="CF217" s="3">
        <v>0</v>
      </c>
      <c r="CG217" s="3">
        <v>0</v>
      </c>
      <c r="CM217" s="3">
        <v>0</v>
      </c>
      <c r="CN217" s="3" t="s">
        <v>820</v>
      </c>
      <c r="CO217" s="3">
        <v>0</v>
      </c>
      <c r="CP217" s="3">
        <f t="shared" si="229"/>
        <v>112236.63</v>
      </c>
      <c r="CQ217" s="3">
        <f t="shared" si="230"/>
        <v>3092.61</v>
      </c>
      <c r="CR217" s="3">
        <f>(ROUND((ROUND((((ET217*1.2))*AV217*1),2)*BB217),2)+ROUND((ROUND(((AE217-((EU217*1.2)))*AV217*1),2)*BS217),2))</f>
        <v>778.09</v>
      </c>
      <c r="CS217" s="3">
        <f>(ROUND((ROUND((((EU217*1.2))*AV217*1),2)*BS217),2)+ROUND((ROUND(((AE217-((EU217*1.2)))*AV217*1),2)*BS217),2))</f>
        <v>404.03</v>
      </c>
      <c r="CT217" s="3">
        <f t="shared" si="231"/>
        <v>13611.91</v>
      </c>
      <c r="CU217" s="3">
        <f t="shared" si="232"/>
        <v>0</v>
      </c>
      <c r="CV217" s="3">
        <f t="shared" si="233"/>
        <v>18.846</v>
      </c>
      <c r="CW217" s="3">
        <f t="shared" si="234"/>
        <v>0</v>
      </c>
      <c r="CX217" s="3">
        <f t="shared" si="235"/>
        <v>0</v>
      </c>
      <c r="CY217" s="3">
        <f>(ROUND((((S217+ROUND((ROUND((((EU217*1.2))*AV217*1),2)*BS217),2))*AT217)/100),2)+ROUND(((ROUND((ROUND(((AE217-((EU217*1.2)))*AV217*1),2)*BS217),2)*AT217)/100),2))</f>
        <v>85157.32</v>
      </c>
      <c r="CZ217" s="3">
        <f>(ROUND((((S217+ROUND((ROUND((((EU217*1.2))*AV217*1),2)*BS217),2))*AU217)/100),2)+ROUND(((ROUND((ROUND(((AE217-((EU217*1.2)))*AV217*1),2)*BS217),2)*AU217)/100),2))</f>
        <v>44773.440000000002</v>
      </c>
      <c r="DB217" s="3">
        <v>106</v>
      </c>
      <c r="DC217" s="3" t="s">
        <v>3</v>
      </c>
      <c r="DD217" s="3" t="s">
        <v>119</v>
      </c>
      <c r="DE217" s="3" t="s">
        <v>120</v>
      </c>
      <c r="DF217" s="3" t="s">
        <v>120</v>
      </c>
      <c r="DG217" s="3" t="s">
        <v>120</v>
      </c>
      <c r="DH217" s="3" t="s">
        <v>3</v>
      </c>
      <c r="DI217" s="3" t="s">
        <v>120</v>
      </c>
      <c r="DJ217" s="3" t="s">
        <v>120</v>
      </c>
      <c r="DK217" s="3" t="s">
        <v>3</v>
      </c>
      <c r="DL217" s="3" t="s">
        <v>3</v>
      </c>
      <c r="DM217" s="3" t="s">
        <v>3</v>
      </c>
      <c r="DN217" s="3">
        <v>0</v>
      </c>
      <c r="DO217" s="3">
        <v>0</v>
      </c>
      <c r="DP217" s="3">
        <v>1</v>
      </c>
      <c r="DQ217" s="3">
        <v>1</v>
      </c>
      <c r="DU217" s="3">
        <v>1003</v>
      </c>
      <c r="DV217" s="3" t="s">
        <v>117</v>
      </c>
      <c r="DW217" s="3" t="s">
        <v>117</v>
      </c>
      <c r="DX217" s="3">
        <v>100</v>
      </c>
      <c r="DZ217" s="3" t="s">
        <v>3</v>
      </c>
      <c r="EA217" s="3" t="s">
        <v>3</v>
      </c>
      <c r="EB217" s="3" t="s">
        <v>3</v>
      </c>
      <c r="EC217" s="3" t="s">
        <v>3</v>
      </c>
      <c r="EE217" s="3">
        <v>57248651</v>
      </c>
      <c r="EF217" s="3">
        <v>40</v>
      </c>
      <c r="EG217" s="3" t="s">
        <v>33</v>
      </c>
      <c r="EH217" s="3">
        <v>0</v>
      </c>
      <c r="EI217" s="3" t="s">
        <v>3</v>
      </c>
      <c r="EJ217" s="3">
        <v>2</v>
      </c>
      <c r="EK217" s="3">
        <v>67</v>
      </c>
      <c r="EL217" s="3" t="s">
        <v>69</v>
      </c>
      <c r="EM217" s="3" t="s">
        <v>70</v>
      </c>
      <c r="EO217" s="3" t="s">
        <v>124</v>
      </c>
      <c r="EQ217" s="3">
        <v>132096</v>
      </c>
      <c r="ER217" s="3">
        <v>539.41999999999996</v>
      </c>
      <c r="ES217" s="3">
        <v>314.29000000000002</v>
      </c>
      <c r="ET217" s="3">
        <v>32.869999999999997</v>
      </c>
      <c r="EU217" s="3">
        <v>5.71</v>
      </c>
      <c r="EV217" s="3">
        <v>192.26</v>
      </c>
      <c r="EW217" s="3">
        <v>15</v>
      </c>
      <c r="EX217" s="3">
        <v>0</v>
      </c>
      <c r="EY217" s="3">
        <v>0</v>
      </c>
      <c r="FQ217" s="3">
        <v>0</v>
      </c>
      <c r="FR217" s="3">
        <v>0</v>
      </c>
      <c r="FS217" s="3">
        <v>0</v>
      </c>
      <c r="FX217" s="3">
        <v>97</v>
      </c>
      <c r="FY217" s="3">
        <v>51</v>
      </c>
      <c r="GA217" s="3" t="s">
        <v>3</v>
      </c>
      <c r="GD217" s="3">
        <v>1</v>
      </c>
      <c r="GF217" s="3">
        <v>823412492</v>
      </c>
      <c r="GG217" s="3">
        <v>2</v>
      </c>
      <c r="GH217" s="3">
        <v>1</v>
      </c>
      <c r="GI217" s="3">
        <v>2</v>
      </c>
      <c r="GJ217" s="3">
        <v>0</v>
      </c>
      <c r="GK217" s="3">
        <v>0</v>
      </c>
      <c r="GL217" s="3">
        <f t="shared" si="236"/>
        <v>0</v>
      </c>
      <c r="GM217" s="3">
        <f t="shared" si="237"/>
        <v>245410.74</v>
      </c>
      <c r="GN217" s="3">
        <f t="shared" si="238"/>
        <v>0</v>
      </c>
      <c r="GO217" s="3">
        <f t="shared" si="239"/>
        <v>245410.74</v>
      </c>
      <c r="GP217" s="3">
        <f t="shared" si="240"/>
        <v>0</v>
      </c>
      <c r="GR217" s="3">
        <v>0</v>
      </c>
      <c r="GS217" s="3">
        <v>3</v>
      </c>
      <c r="GT217" s="3">
        <v>0</v>
      </c>
      <c r="GU217" s="3" t="s">
        <v>3</v>
      </c>
      <c r="GV217" s="3">
        <f t="shared" si="241"/>
        <v>0</v>
      </c>
      <c r="GW217" s="3">
        <v>1</v>
      </c>
      <c r="GX217" s="3">
        <f t="shared" si="242"/>
        <v>0</v>
      </c>
      <c r="HA217" s="3">
        <v>0</v>
      </c>
      <c r="HB217" s="3">
        <v>0</v>
      </c>
      <c r="HC217" s="3">
        <f t="shared" si="243"/>
        <v>0</v>
      </c>
      <c r="HE217" s="3" t="s">
        <v>3</v>
      </c>
      <c r="HF217" s="3" t="s">
        <v>3</v>
      </c>
      <c r="HM217" s="3" t="s">
        <v>3</v>
      </c>
      <c r="HN217" s="3" t="s">
        <v>3</v>
      </c>
      <c r="HO217" s="3" t="s">
        <v>3</v>
      </c>
      <c r="HP217" s="3" t="s">
        <v>3</v>
      </c>
      <c r="HQ217" s="3" t="s">
        <v>3</v>
      </c>
      <c r="HS217" s="3">
        <v>0</v>
      </c>
      <c r="IK217" s="3">
        <v>0</v>
      </c>
    </row>
    <row r="218" spans="1:255" x14ac:dyDescent="0.2">
      <c r="A218" s="2">
        <v>18</v>
      </c>
      <c r="B218" s="2">
        <v>1</v>
      </c>
      <c r="C218" s="2">
        <v>258</v>
      </c>
      <c r="D218" s="2"/>
      <c r="E218" s="2" t="s">
        <v>3</v>
      </c>
      <c r="F218" s="2" t="s">
        <v>339</v>
      </c>
      <c r="G218" s="2" t="s">
        <v>340</v>
      </c>
      <c r="H218" s="2" t="s">
        <v>341</v>
      </c>
      <c r="I218" s="2">
        <f>I216*J218</f>
        <v>654.84</v>
      </c>
      <c r="J218" s="2">
        <v>102</v>
      </c>
      <c r="K218" s="2">
        <v>102</v>
      </c>
      <c r="L218" s="2"/>
      <c r="M218" s="2"/>
      <c r="N218" s="2"/>
      <c r="O218" s="2">
        <f t="shared" si="219"/>
        <v>2259.1999999999998</v>
      </c>
      <c r="P218" s="2">
        <f t="shared" si="220"/>
        <v>2259.1999999999998</v>
      </c>
      <c r="Q218" s="2">
        <f t="shared" ref="Q218:Q227" si="244">(ROUND((ROUND(((ET218)*AV218*I218),2)*BB218),2)+ROUND((ROUND(((AE218-(EU218))*AV218*I218),2)*BS218),2))</f>
        <v>0</v>
      </c>
      <c r="R218" s="2">
        <f t="shared" ref="R218:R227" si="245">(ROUND((ROUND(((EU218)*AV218*I218),2)*BS218),2)+ROUND((ROUND(((AE218-(EU218))*AV218*I218),2)*BS218),2))</f>
        <v>0</v>
      </c>
      <c r="S218" s="2">
        <f t="shared" si="221"/>
        <v>0</v>
      </c>
      <c r="T218" s="2">
        <f t="shared" si="222"/>
        <v>0</v>
      </c>
      <c r="U218" s="2">
        <f t="shared" si="223"/>
        <v>0</v>
      </c>
      <c r="V218" s="2">
        <f t="shared" si="224"/>
        <v>0</v>
      </c>
      <c r="W218" s="2">
        <f t="shared" si="225"/>
        <v>0</v>
      </c>
      <c r="X218" s="2">
        <f t="shared" ref="X218:X227" si="246">(ROUND((((S218+ROUND((ROUND(((EU218)*AV218*I218),2)*BS218),2))*AT218)/100),2)+ROUND(((ROUND((ROUND(((AE218-(EU218))*AV218*I218),2)*BS218),2)*AT218)/100),2))</f>
        <v>0</v>
      </c>
      <c r="Y218" s="2">
        <f t="shared" ref="Y218:Y227" si="247">(ROUND((((S218+ROUND((ROUND(((EU218)*AV218*I218),2)*BS218),2))*AU218)/100),2)+ROUND(((ROUND((ROUND(((AE218-(EU218))*AV218*I218),2)*BS218),2)*AU218)/100),2))</f>
        <v>0</v>
      </c>
      <c r="Z218" s="2"/>
      <c r="AA218" s="2">
        <v>-1</v>
      </c>
      <c r="AB218" s="2">
        <f t="shared" si="226"/>
        <v>3.45</v>
      </c>
      <c r="AC218" s="2">
        <f t="shared" ref="AC218:AC227" si="248">ROUND((ES218),6)</f>
        <v>3.45</v>
      </c>
      <c r="AD218" s="2">
        <f t="shared" ref="AD218:AD227" si="249">ROUND((((ET218)-(EU218))+AE218),6)</f>
        <v>0</v>
      </c>
      <c r="AE218" s="2">
        <f t="shared" ref="AE218:AE227" si="250">ROUND((EU218),6)</f>
        <v>0</v>
      </c>
      <c r="AF218" s="2">
        <f t="shared" ref="AF218:AF227" si="251">ROUND((EV218),6)</f>
        <v>0</v>
      </c>
      <c r="AG218" s="2">
        <f t="shared" si="227"/>
        <v>0</v>
      </c>
      <c r="AH218" s="2">
        <f t="shared" ref="AH218:AH227" si="252">(EW218)</f>
        <v>0</v>
      </c>
      <c r="AI218" s="2">
        <f t="shared" ref="AI218:AI227" si="253">(EX218)</f>
        <v>0</v>
      </c>
      <c r="AJ218" s="2">
        <f t="shared" si="228"/>
        <v>0</v>
      </c>
      <c r="AK218" s="2">
        <v>3.45</v>
      </c>
      <c r="AL218" s="2">
        <v>3.45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97</v>
      </c>
      <c r="AU218" s="2">
        <v>51</v>
      </c>
      <c r="AV218" s="2">
        <v>1</v>
      </c>
      <c r="AW218" s="2">
        <v>1</v>
      </c>
      <c r="AX218" s="2"/>
      <c r="AY218" s="2"/>
      <c r="AZ218" s="2">
        <v>1</v>
      </c>
      <c r="BA218" s="2">
        <v>1</v>
      </c>
      <c r="BB218" s="2">
        <v>1</v>
      </c>
      <c r="BC218" s="2">
        <v>1</v>
      </c>
      <c r="BD218" s="2" t="s">
        <v>3</v>
      </c>
      <c r="BE218" s="2" t="s">
        <v>3</v>
      </c>
      <c r="BF218" s="2" t="s">
        <v>3</v>
      </c>
      <c r="BG218" s="2" t="s">
        <v>3</v>
      </c>
      <c r="BH218" s="2">
        <v>3</v>
      </c>
      <c r="BI218" s="2">
        <v>2</v>
      </c>
      <c r="BJ218" s="2" t="s">
        <v>342</v>
      </c>
      <c r="BK218" s="2"/>
      <c r="BL218" s="2"/>
      <c r="BM218" s="2">
        <v>67</v>
      </c>
      <c r="BN218" s="2">
        <v>0</v>
      </c>
      <c r="BO218" s="2" t="s">
        <v>3</v>
      </c>
      <c r="BP218" s="2">
        <v>0</v>
      </c>
      <c r="BQ218" s="2">
        <v>40</v>
      </c>
      <c r="BR218" s="2">
        <v>0</v>
      </c>
      <c r="BS218" s="2">
        <v>1</v>
      </c>
      <c r="BT218" s="2">
        <v>1</v>
      </c>
      <c r="BU218" s="2">
        <v>1</v>
      </c>
      <c r="BV218" s="2">
        <v>1</v>
      </c>
      <c r="BW218" s="2">
        <v>1</v>
      </c>
      <c r="BX218" s="2">
        <v>1</v>
      </c>
      <c r="BY218" s="2" t="s">
        <v>3</v>
      </c>
      <c r="BZ218" s="2">
        <v>97</v>
      </c>
      <c r="CA218" s="2">
        <v>51</v>
      </c>
      <c r="CB218" s="2" t="s">
        <v>3</v>
      </c>
      <c r="CC218" s="2"/>
      <c r="CD218" s="2"/>
      <c r="CE218" s="2">
        <v>1566</v>
      </c>
      <c r="CF218" s="2">
        <v>0</v>
      </c>
      <c r="CG218" s="2">
        <v>0</v>
      </c>
      <c r="CH218" s="2"/>
      <c r="CI218" s="2"/>
      <c r="CJ218" s="2"/>
      <c r="CK218" s="2"/>
      <c r="CL218" s="2"/>
      <c r="CM218" s="2">
        <v>0</v>
      </c>
      <c r="CN218" s="2" t="s">
        <v>821</v>
      </c>
      <c r="CO218" s="2">
        <v>0</v>
      </c>
      <c r="CP218" s="2">
        <f t="shared" si="229"/>
        <v>2259.1999999999998</v>
      </c>
      <c r="CQ218" s="2">
        <f t="shared" si="230"/>
        <v>3.45</v>
      </c>
      <c r="CR218" s="2">
        <f t="shared" ref="CR218:CR227" si="254">(ROUND((ROUND(((ET218)*AV218*1),2)*BB218),2)+ROUND((ROUND(((AE218-(EU218))*AV218*1),2)*BS218),2))</f>
        <v>0</v>
      </c>
      <c r="CS218" s="2">
        <f t="shared" ref="CS218:CS227" si="255">(ROUND((ROUND(((EU218)*AV218*1),2)*BS218),2)+ROUND((ROUND(((AE218-(EU218))*AV218*1),2)*BS218),2))</f>
        <v>0</v>
      </c>
      <c r="CT218" s="2">
        <f t="shared" si="231"/>
        <v>0</v>
      </c>
      <c r="CU218" s="2">
        <f t="shared" si="232"/>
        <v>0</v>
      </c>
      <c r="CV218" s="2">
        <f t="shared" si="233"/>
        <v>0</v>
      </c>
      <c r="CW218" s="2">
        <f t="shared" si="234"/>
        <v>0</v>
      </c>
      <c r="CX218" s="2">
        <f t="shared" si="235"/>
        <v>0</v>
      </c>
      <c r="CY218" s="2">
        <f t="shared" ref="CY218:CY227" si="256">(ROUND((((S218+ROUND((ROUND(((EU218)*AV218*1),2)*BS218),2))*AT218)/100),2)+ROUND(((ROUND((ROUND(((AE218-(EU218))*AV218*1),2)*BS218),2)*AT218)/100),2))</f>
        <v>0</v>
      </c>
      <c r="CZ218" s="2">
        <f t="shared" ref="CZ218:CZ227" si="257">(ROUND((((S218+ROUND((ROUND(((EU218)*AV218*1),2)*BS218),2))*AU218)/100),2)+ROUND(((ROUND((ROUND(((AE218-(EU218))*AV218*1),2)*BS218),2)*AU218)/100),2))</f>
        <v>0</v>
      </c>
      <c r="DA218" s="2"/>
      <c r="DB218" s="2"/>
      <c r="DC218" s="2" t="s">
        <v>3</v>
      </c>
      <c r="DD218" s="2" t="s">
        <v>3</v>
      </c>
      <c r="DE218" s="2" t="s">
        <v>3</v>
      </c>
      <c r="DF218" s="2" t="s">
        <v>3</v>
      </c>
      <c r="DG218" s="2" t="s">
        <v>3</v>
      </c>
      <c r="DH218" s="2" t="s">
        <v>3</v>
      </c>
      <c r="DI218" s="2" t="s">
        <v>3</v>
      </c>
      <c r="DJ218" s="2" t="s">
        <v>3</v>
      </c>
      <c r="DK218" s="2" t="s">
        <v>3</v>
      </c>
      <c r="DL218" s="2" t="s">
        <v>3</v>
      </c>
      <c r="DM218" s="2" t="s">
        <v>3</v>
      </c>
      <c r="DN218" s="2">
        <v>0</v>
      </c>
      <c r="DO218" s="2">
        <v>0</v>
      </c>
      <c r="DP218" s="2">
        <v>1</v>
      </c>
      <c r="DQ218" s="2">
        <v>1</v>
      </c>
      <c r="DR218" s="2"/>
      <c r="DS218" s="2"/>
      <c r="DT218" s="2"/>
      <c r="DU218" s="2">
        <v>1003</v>
      </c>
      <c r="DV218" s="2" t="s">
        <v>341</v>
      </c>
      <c r="DW218" s="2" t="s">
        <v>341</v>
      </c>
      <c r="DX218" s="2">
        <v>1</v>
      </c>
      <c r="DY218" s="2"/>
      <c r="DZ218" s="2" t="s">
        <v>3</v>
      </c>
      <c r="EA218" s="2" t="s">
        <v>3</v>
      </c>
      <c r="EB218" s="2" t="s">
        <v>3</v>
      </c>
      <c r="EC218" s="2" t="s">
        <v>3</v>
      </c>
      <c r="ED218" s="2"/>
      <c r="EE218" s="2">
        <v>57248651</v>
      </c>
      <c r="EF218" s="2">
        <v>40</v>
      </c>
      <c r="EG218" s="2" t="s">
        <v>33</v>
      </c>
      <c r="EH218" s="2">
        <v>0</v>
      </c>
      <c r="EI218" s="2" t="s">
        <v>3</v>
      </c>
      <c r="EJ218" s="2">
        <v>2</v>
      </c>
      <c r="EK218" s="2">
        <v>67</v>
      </c>
      <c r="EL218" s="2" t="s">
        <v>69</v>
      </c>
      <c r="EM218" s="2" t="s">
        <v>70</v>
      </c>
      <c r="EN218" s="2"/>
      <c r="EO218" s="2" t="s">
        <v>124</v>
      </c>
      <c r="EP218" s="2"/>
      <c r="EQ218" s="2">
        <v>1024</v>
      </c>
      <c r="ER218" s="2">
        <v>3.45</v>
      </c>
      <c r="ES218" s="2">
        <v>3.45</v>
      </c>
      <c r="ET218" s="2">
        <v>0</v>
      </c>
      <c r="EU218" s="2">
        <v>0</v>
      </c>
      <c r="EV218" s="2">
        <v>0</v>
      </c>
      <c r="EW218" s="2">
        <v>0</v>
      </c>
      <c r="EX218" s="2">
        <v>0</v>
      </c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>
        <v>0</v>
      </c>
      <c r="FR218" s="2">
        <v>0</v>
      </c>
      <c r="FS218" s="2">
        <v>0</v>
      </c>
      <c r="FT218" s="2"/>
      <c r="FU218" s="2"/>
      <c r="FV218" s="2"/>
      <c r="FW218" s="2"/>
      <c r="FX218" s="2">
        <v>97</v>
      </c>
      <c r="FY218" s="2">
        <v>51</v>
      </c>
      <c r="FZ218" s="2"/>
      <c r="GA218" s="2" t="s">
        <v>3</v>
      </c>
      <c r="GB218" s="2"/>
      <c r="GC218" s="2"/>
      <c r="GD218" s="2">
        <v>1</v>
      </c>
      <c r="GE218" s="2"/>
      <c r="GF218" s="2">
        <v>1194371439</v>
      </c>
      <c r="GG218" s="2">
        <v>2</v>
      </c>
      <c r="GH218" s="2">
        <v>1</v>
      </c>
      <c r="GI218" s="2">
        <v>-2</v>
      </c>
      <c r="GJ218" s="2">
        <v>0</v>
      </c>
      <c r="GK218" s="2">
        <v>0</v>
      </c>
      <c r="GL218" s="2">
        <f t="shared" si="236"/>
        <v>0</v>
      </c>
      <c r="GM218" s="2">
        <f t="shared" si="237"/>
        <v>2259.1999999999998</v>
      </c>
      <c r="GN218" s="2">
        <f t="shared" si="238"/>
        <v>0</v>
      </c>
      <c r="GO218" s="2">
        <f t="shared" si="239"/>
        <v>2259.1999999999998</v>
      </c>
      <c r="GP218" s="2">
        <f t="shared" si="240"/>
        <v>0</v>
      </c>
      <c r="GQ218" s="2"/>
      <c r="GR218" s="2">
        <v>0</v>
      </c>
      <c r="GS218" s="2">
        <v>3</v>
      </c>
      <c r="GT218" s="2">
        <v>0</v>
      </c>
      <c r="GU218" s="2" t="s">
        <v>3</v>
      </c>
      <c r="GV218" s="2">
        <f t="shared" si="241"/>
        <v>0</v>
      </c>
      <c r="GW218" s="2">
        <v>1</v>
      </c>
      <c r="GX218" s="2">
        <f t="shared" si="242"/>
        <v>0</v>
      </c>
      <c r="GY218" s="2"/>
      <c r="GZ218" s="2"/>
      <c r="HA218" s="2">
        <v>0</v>
      </c>
      <c r="HB218" s="2">
        <v>0</v>
      </c>
      <c r="HC218" s="2">
        <f t="shared" si="243"/>
        <v>0</v>
      </c>
      <c r="HD218" s="2"/>
      <c r="HE218" s="2" t="s">
        <v>3</v>
      </c>
      <c r="HF218" s="2" t="s">
        <v>3</v>
      </c>
      <c r="HG218" s="2"/>
      <c r="HH218" s="2"/>
      <c r="HI218" s="2"/>
      <c r="HJ218" s="2"/>
      <c r="HK218" s="2"/>
      <c r="HL218" s="2"/>
      <c r="HM218" s="2" t="s">
        <v>119</v>
      </c>
      <c r="HN218" s="2" t="s">
        <v>3</v>
      </c>
      <c r="HO218" s="2" t="s">
        <v>3</v>
      </c>
      <c r="HP218" s="2" t="s">
        <v>3</v>
      </c>
      <c r="HQ218" s="2" t="s">
        <v>3</v>
      </c>
      <c r="HR218" s="2"/>
      <c r="HS218" s="2">
        <v>0</v>
      </c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>
        <v>0</v>
      </c>
      <c r="IL218" s="2"/>
      <c r="IM218" s="2"/>
      <c r="IN218" s="2"/>
      <c r="IO218" s="2"/>
      <c r="IP218" s="2"/>
      <c r="IQ218" s="2"/>
      <c r="IR218" s="2"/>
      <c r="IS218" s="2"/>
      <c r="IT218" s="2"/>
      <c r="IU218" s="2"/>
    </row>
    <row r="219" spans="1:255" x14ac:dyDescent="0.2">
      <c r="A219" s="3">
        <v>18</v>
      </c>
      <c r="B219" s="3">
        <v>1</v>
      </c>
      <c r="C219" s="3">
        <v>262</v>
      </c>
      <c r="E219" s="3" t="s">
        <v>3</v>
      </c>
      <c r="F219" s="3" t="s">
        <v>339</v>
      </c>
      <c r="G219" s="3" t="s">
        <v>340</v>
      </c>
      <c r="H219" s="3" t="s">
        <v>341</v>
      </c>
      <c r="I219" s="3">
        <f>I217*J219</f>
        <v>654.84</v>
      </c>
      <c r="J219" s="3">
        <v>102</v>
      </c>
      <c r="K219" s="3">
        <v>102</v>
      </c>
      <c r="O219" s="3">
        <f t="shared" si="219"/>
        <v>8562.3700000000008</v>
      </c>
      <c r="P219" s="3">
        <f t="shared" si="220"/>
        <v>8562.3700000000008</v>
      </c>
      <c r="Q219" s="3">
        <f t="shared" si="244"/>
        <v>0</v>
      </c>
      <c r="R219" s="3">
        <f t="shared" si="245"/>
        <v>0</v>
      </c>
      <c r="S219" s="3">
        <f t="shared" si="221"/>
        <v>0</v>
      </c>
      <c r="T219" s="3">
        <f t="shared" si="222"/>
        <v>0</v>
      </c>
      <c r="U219" s="3">
        <f t="shared" si="223"/>
        <v>0</v>
      </c>
      <c r="V219" s="3">
        <f t="shared" si="224"/>
        <v>0</v>
      </c>
      <c r="W219" s="3">
        <f t="shared" si="225"/>
        <v>0</v>
      </c>
      <c r="X219" s="3">
        <f t="shared" si="246"/>
        <v>0</v>
      </c>
      <c r="Y219" s="3">
        <f t="shared" si="247"/>
        <v>0</v>
      </c>
      <c r="AA219" s="3">
        <v>-1</v>
      </c>
      <c r="AB219" s="3">
        <f t="shared" si="226"/>
        <v>3.45</v>
      </c>
      <c r="AC219" s="3">
        <f t="shared" si="248"/>
        <v>3.45</v>
      </c>
      <c r="AD219" s="3">
        <f t="shared" si="249"/>
        <v>0</v>
      </c>
      <c r="AE219" s="3">
        <f t="shared" si="250"/>
        <v>0</v>
      </c>
      <c r="AF219" s="3">
        <f t="shared" si="251"/>
        <v>0</v>
      </c>
      <c r="AG219" s="3">
        <f t="shared" si="227"/>
        <v>0</v>
      </c>
      <c r="AH219" s="3">
        <f t="shared" si="252"/>
        <v>0</v>
      </c>
      <c r="AI219" s="3">
        <f t="shared" si="253"/>
        <v>0</v>
      </c>
      <c r="AJ219" s="3">
        <f t="shared" si="228"/>
        <v>0</v>
      </c>
      <c r="AK219" s="3">
        <v>3.45</v>
      </c>
      <c r="AL219" s="3">
        <v>3.45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97</v>
      </c>
      <c r="AU219" s="3">
        <v>51</v>
      </c>
      <c r="AV219" s="3">
        <v>1</v>
      </c>
      <c r="AW219" s="3">
        <v>1</v>
      </c>
      <c r="AZ219" s="3">
        <v>1</v>
      </c>
      <c r="BA219" s="3">
        <v>1</v>
      </c>
      <c r="BB219" s="3">
        <v>1</v>
      </c>
      <c r="BC219" s="3">
        <v>3.79</v>
      </c>
      <c r="BD219" s="3" t="s">
        <v>3</v>
      </c>
      <c r="BE219" s="3" t="s">
        <v>3</v>
      </c>
      <c r="BF219" s="3" t="s">
        <v>3</v>
      </c>
      <c r="BG219" s="3" t="s">
        <v>3</v>
      </c>
      <c r="BH219" s="3">
        <v>3</v>
      </c>
      <c r="BI219" s="3">
        <v>2</v>
      </c>
      <c r="BJ219" s="3" t="s">
        <v>342</v>
      </c>
      <c r="BM219" s="3">
        <v>67</v>
      </c>
      <c r="BN219" s="3">
        <v>0</v>
      </c>
      <c r="BO219" s="3" t="s">
        <v>339</v>
      </c>
      <c r="BP219" s="3">
        <v>1</v>
      </c>
      <c r="BQ219" s="3">
        <v>40</v>
      </c>
      <c r="BR219" s="3">
        <v>0</v>
      </c>
      <c r="BS219" s="3">
        <v>1</v>
      </c>
      <c r="BT219" s="3">
        <v>1</v>
      </c>
      <c r="BU219" s="3">
        <v>1</v>
      </c>
      <c r="BV219" s="3">
        <v>1</v>
      </c>
      <c r="BW219" s="3">
        <v>1</v>
      </c>
      <c r="BX219" s="3">
        <v>1</v>
      </c>
      <c r="BY219" s="3" t="s">
        <v>3</v>
      </c>
      <c r="BZ219" s="3">
        <v>97</v>
      </c>
      <c r="CA219" s="3">
        <v>51</v>
      </c>
      <c r="CB219" s="3" t="s">
        <v>3</v>
      </c>
      <c r="CE219" s="3">
        <v>1566</v>
      </c>
      <c r="CF219" s="3">
        <v>0</v>
      </c>
      <c r="CG219" s="3">
        <v>0</v>
      </c>
      <c r="CM219" s="3">
        <v>0</v>
      </c>
      <c r="CN219" s="3" t="s">
        <v>821</v>
      </c>
      <c r="CO219" s="3">
        <v>0</v>
      </c>
      <c r="CP219" s="3">
        <f t="shared" si="229"/>
        <v>8562.3700000000008</v>
      </c>
      <c r="CQ219" s="3">
        <f t="shared" si="230"/>
        <v>13.08</v>
      </c>
      <c r="CR219" s="3">
        <f t="shared" si="254"/>
        <v>0</v>
      </c>
      <c r="CS219" s="3">
        <f t="shared" si="255"/>
        <v>0</v>
      </c>
      <c r="CT219" s="3">
        <f t="shared" si="231"/>
        <v>0</v>
      </c>
      <c r="CU219" s="3">
        <f t="shared" si="232"/>
        <v>0</v>
      </c>
      <c r="CV219" s="3">
        <f t="shared" si="233"/>
        <v>0</v>
      </c>
      <c r="CW219" s="3">
        <f t="shared" si="234"/>
        <v>0</v>
      </c>
      <c r="CX219" s="3">
        <f t="shared" si="235"/>
        <v>0</v>
      </c>
      <c r="CY219" s="3">
        <f t="shared" si="256"/>
        <v>0</v>
      </c>
      <c r="CZ219" s="3">
        <f t="shared" si="257"/>
        <v>0</v>
      </c>
      <c r="DC219" s="3" t="s">
        <v>3</v>
      </c>
      <c r="DD219" s="3" t="s">
        <v>3</v>
      </c>
      <c r="DE219" s="3" t="s">
        <v>3</v>
      </c>
      <c r="DF219" s="3" t="s">
        <v>3</v>
      </c>
      <c r="DG219" s="3" t="s">
        <v>3</v>
      </c>
      <c r="DH219" s="3" t="s">
        <v>3</v>
      </c>
      <c r="DI219" s="3" t="s">
        <v>3</v>
      </c>
      <c r="DJ219" s="3" t="s">
        <v>3</v>
      </c>
      <c r="DK219" s="3" t="s">
        <v>3</v>
      </c>
      <c r="DL219" s="3" t="s">
        <v>3</v>
      </c>
      <c r="DM219" s="3" t="s">
        <v>3</v>
      </c>
      <c r="DN219" s="3">
        <v>0</v>
      </c>
      <c r="DO219" s="3">
        <v>0</v>
      </c>
      <c r="DP219" s="3">
        <v>1</v>
      </c>
      <c r="DQ219" s="3">
        <v>1</v>
      </c>
      <c r="DU219" s="3">
        <v>1003</v>
      </c>
      <c r="DV219" s="3" t="s">
        <v>341</v>
      </c>
      <c r="DW219" s="3" t="s">
        <v>341</v>
      </c>
      <c r="DX219" s="3">
        <v>1</v>
      </c>
      <c r="DZ219" s="3" t="s">
        <v>3</v>
      </c>
      <c r="EA219" s="3" t="s">
        <v>3</v>
      </c>
      <c r="EB219" s="3" t="s">
        <v>3</v>
      </c>
      <c r="EC219" s="3" t="s">
        <v>3</v>
      </c>
      <c r="EE219" s="3">
        <v>57248651</v>
      </c>
      <c r="EF219" s="3">
        <v>40</v>
      </c>
      <c r="EG219" s="3" t="s">
        <v>33</v>
      </c>
      <c r="EH219" s="3">
        <v>0</v>
      </c>
      <c r="EI219" s="3" t="s">
        <v>3</v>
      </c>
      <c r="EJ219" s="3">
        <v>2</v>
      </c>
      <c r="EK219" s="3">
        <v>67</v>
      </c>
      <c r="EL219" s="3" t="s">
        <v>69</v>
      </c>
      <c r="EM219" s="3" t="s">
        <v>70</v>
      </c>
      <c r="EO219" s="3" t="s">
        <v>124</v>
      </c>
      <c r="EQ219" s="3">
        <v>1024</v>
      </c>
      <c r="ER219" s="3">
        <v>3.45</v>
      </c>
      <c r="ES219" s="3">
        <v>3.45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FQ219" s="3">
        <v>0</v>
      </c>
      <c r="FR219" s="3">
        <v>0</v>
      </c>
      <c r="FS219" s="3">
        <v>0</v>
      </c>
      <c r="FX219" s="3">
        <v>97</v>
      </c>
      <c r="FY219" s="3">
        <v>51</v>
      </c>
      <c r="GA219" s="3" t="s">
        <v>3</v>
      </c>
      <c r="GD219" s="3">
        <v>1</v>
      </c>
      <c r="GF219" s="3">
        <v>1194371439</v>
      </c>
      <c r="GG219" s="3">
        <v>2</v>
      </c>
      <c r="GH219" s="3">
        <v>1</v>
      </c>
      <c r="GI219" s="3">
        <v>2</v>
      </c>
      <c r="GJ219" s="3">
        <v>0</v>
      </c>
      <c r="GK219" s="3">
        <v>0</v>
      </c>
      <c r="GL219" s="3">
        <f t="shared" si="236"/>
        <v>0</v>
      </c>
      <c r="GM219" s="3">
        <f t="shared" si="237"/>
        <v>8562.3700000000008</v>
      </c>
      <c r="GN219" s="3">
        <f t="shared" si="238"/>
        <v>0</v>
      </c>
      <c r="GO219" s="3">
        <f t="shared" si="239"/>
        <v>8562.3700000000008</v>
      </c>
      <c r="GP219" s="3">
        <f t="shared" si="240"/>
        <v>0</v>
      </c>
      <c r="GR219" s="3">
        <v>0</v>
      </c>
      <c r="GS219" s="3">
        <v>3</v>
      </c>
      <c r="GT219" s="3">
        <v>0</v>
      </c>
      <c r="GU219" s="3" t="s">
        <v>3</v>
      </c>
      <c r="GV219" s="3">
        <f t="shared" si="241"/>
        <v>0</v>
      </c>
      <c r="GW219" s="3">
        <v>1</v>
      </c>
      <c r="GX219" s="3">
        <f t="shared" si="242"/>
        <v>0</v>
      </c>
      <c r="HA219" s="3">
        <v>0</v>
      </c>
      <c r="HB219" s="3">
        <v>0</v>
      </c>
      <c r="HC219" s="3">
        <f t="shared" si="243"/>
        <v>0</v>
      </c>
      <c r="HE219" s="3" t="s">
        <v>3</v>
      </c>
      <c r="HF219" s="3" t="s">
        <v>3</v>
      </c>
      <c r="HM219" s="3" t="s">
        <v>119</v>
      </c>
      <c r="HN219" s="3" t="s">
        <v>3</v>
      </c>
      <c r="HO219" s="3" t="s">
        <v>3</v>
      </c>
      <c r="HP219" s="3" t="s">
        <v>3</v>
      </c>
      <c r="HQ219" s="3" t="s">
        <v>3</v>
      </c>
      <c r="HS219" s="3">
        <v>0</v>
      </c>
      <c r="IK219" s="3">
        <v>0</v>
      </c>
    </row>
    <row r="220" spans="1:255" x14ac:dyDescent="0.2">
      <c r="A220" s="2">
        <v>18</v>
      </c>
      <c r="B220" s="2">
        <v>1</v>
      </c>
      <c r="C220" s="2">
        <v>260</v>
      </c>
      <c r="D220" s="2"/>
      <c r="E220" s="2" t="s">
        <v>3</v>
      </c>
      <c r="F220" s="2" t="s">
        <v>343</v>
      </c>
      <c r="G220" s="2" t="s">
        <v>344</v>
      </c>
      <c r="H220" s="2" t="s">
        <v>192</v>
      </c>
      <c r="I220" s="2">
        <f>I216*J220</f>
        <v>33</v>
      </c>
      <c r="J220" s="2">
        <v>5.1401869158878508</v>
      </c>
      <c r="K220" s="2">
        <v>5.1401868999999998</v>
      </c>
      <c r="L220" s="2"/>
      <c r="M220" s="2"/>
      <c r="N220" s="2"/>
      <c r="O220" s="2">
        <f t="shared" si="219"/>
        <v>6903.27</v>
      </c>
      <c r="P220" s="2">
        <f t="shared" si="220"/>
        <v>6903.27</v>
      </c>
      <c r="Q220" s="2">
        <f t="shared" si="244"/>
        <v>0</v>
      </c>
      <c r="R220" s="2">
        <f t="shared" si="245"/>
        <v>0</v>
      </c>
      <c r="S220" s="2">
        <f t="shared" si="221"/>
        <v>0</v>
      </c>
      <c r="T220" s="2">
        <f t="shared" si="222"/>
        <v>0</v>
      </c>
      <c r="U220" s="2">
        <f t="shared" si="223"/>
        <v>0</v>
      </c>
      <c r="V220" s="2">
        <f t="shared" si="224"/>
        <v>0</v>
      </c>
      <c r="W220" s="2">
        <f t="shared" si="225"/>
        <v>0</v>
      </c>
      <c r="X220" s="2">
        <f t="shared" si="246"/>
        <v>0</v>
      </c>
      <c r="Y220" s="2">
        <f t="shared" si="247"/>
        <v>0</v>
      </c>
      <c r="Z220" s="2"/>
      <c r="AA220" s="2">
        <v>-1</v>
      </c>
      <c r="AB220" s="2">
        <f t="shared" si="226"/>
        <v>209.19</v>
      </c>
      <c r="AC220" s="2">
        <f t="shared" si="248"/>
        <v>209.19</v>
      </c>
      <c r="AD220" s="2">
        <f t="shared" si="249"/>
        <v>0</v>
      </c>
      <c r="AE220" s="2">
        <f t="shared" si="250"/>
        <v>0</v>
      </c>
      <c r="AF220" s="2">
        <f t="shared" si="251"/>
        <v>0</v>
      </c>
      <c r="AG220" s="2">
        <f t="shared" si="227"/>
        <v>0</v>
      </c>
      <c r="AH220" s="2">
        <f t="shared" si="252"/>
        <v>0</v>
      </c>
      <c r="AI220" s="2">
        <f t="shared" si="253"/>
        <v>0</v>
      </c>
      <c r="AJ220" s="2">
        <f t="shared" si="228"/>
        <v>0</v>
      </c>
      <c r="AK220" s="2">
        <v>209.19</v>
      </c>
      <c r="AL220" s="2">
        <v>209.19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1</v>
      </c>
      <c r="AW220" s="2">
        <v>1</v>
      </c>
      <c r="AX220" s="2"/>
      <c r="AY220" s="2"/>
      <c r="AZ220" s="2">
        <v>1</v>
      </c>
      <c r="BA220" s="2">
        <v>1</v>
      </c>
      <c r="BB220" s="2">
        <v>1</v>
      </c>
      <c r="BC220" s="2">
        <v>1</v>
      </c>
      <c r="BD220" s="2" t="s">
        <v>3</v>
      </c>
      <c r="BE220" s="2" t="s">
        <v>3</v>
      </c>
      <c r="BF220" s="2" t="s">
        <v>3</v>
      </c>
      <c r="BG220" s="2" t="s">
        <v>3</v>
      </c>
      <c r="BH220" s="2">
        <v>3</v>
      </c>
      <c r="BI220" s="2">
        <v>2</v>
      </c>
      <c r="BJ220" s="2" t="s">
        <v>343</v>
      </c>
      <c r="BK220" s="2"/>
      <c r="BL220" s="2"/>
      <c r="BM220" s="2">
        <v>400005</v>
      </c>
      <c r="BN220" s="2">
        <v>0</v>
      </c>
      <c r="BO220" s="2" t="s">
        <v>3</v>
      </c>
      <c r="BP220" s="2">
        <v>0</v>
      </c>
      <c r="BQ220" s="2">
        <v>213</v>
      </c>
      <c r="BR220" s="2">
        <v>0</v>
      </c>
      <c r="BS220" s="2">
        <v>1</v>
      </c>
      <c r="BT220" s="2">
        <v>1</v>
      </c>
      <c r="BU220" s="2">
        <v>1</v>
      </c>
      <c r="BV220" s="2">
        <v>1</v>
      </c>
      <c r="BW220" s="2">
        <v>1</v>
      </c>
      <c r="BX220" s="2">
        <v>1</v>
      </c>
      <c r="BY220" s="2" t="s">
        <v>3</v>
      </c>
      <c r="BZ220" s="2">
        <v>97</v>
      </c>
      <c r="CA220" s="2">
        <v>51</v>
      </c>
      <c r="CB220" s="2" t="s">
        <v>3</v>
      </c>
      <c r="CC220" s="2"/>
      <c r="CD220" s="2"/>
      <c r="CE220" s="2">
        <v>1566</v>
      </c>
      <c r="CF220" s="2">
        <v>0</v>
      </c>
      <c r="CG220" s="2">
        <v>0</v>
      </c>
      <c r="CH220" s="2"/>
      <c r="CI220" s="2"/>
      <c r="CJ220" s="2"/>
      <c r="CK220" s="2"/>
      <c r="CL220" s="2"/>
      <c r="CM220" s="2">
        <v>0</v>
      </c>
      <c r="CN220" s="2" t="s">
        <v>821</v>
      </c>
      <c r="CO220" s="2">
        <v>0</v>
      </c>
      <c r="CP220" s="2">
        <f t="shared" si="229"/>
        <v>6903.27</v>
      </c>
      <c r="CQ220" s="2">
        <f t="shared" si="230"/>
        <v>209.19</v>
      </c>
      <c r="CR220" s="2">
        <f t="shared" si="254"/>
        <v>0</v>
      </c>
      <c r="CS220" s="2">
        <f t="shared" si="255"/>
        <v>0</v>
      </c>
      <c r="CT220" s="2">
        <f t="shared" si="231"/>
        <v>0</v>
      </c>
      <c r="CU220" s="2">
        <f t="shared" si="232"/>
        <v>0</v>
      </c>
      <c r="CV220" s="2">
        <f t="shared" si="233"/>
        <v>0</v>
      </c>
      <c r="CW220" s="2">
        <f t="shared" si="234"/>
        <v>0</v>
      </c>
      <c r="CX220" s="2">
        <f t="shared" si="235"/>
        <v>0</v>
      </c>
      <c r="CY220" s="2">
        <f t="shared" si="256"/>
        <v>0</v>
      </c>
      <c r="CZ220" s="2">
        <f t="shared" si="257"/>
        <v>0</v>
      </c>
      <c r="DA220" s="2"/>
      <c r="DB220" s="2"/>
      <c r="DC220" s="2" t="s">
        <v>3</v>
      </c>
      <c r="DD220" s="2" t="s">
        <v>3</v>
      </c>
      <c r="DE220" s="2" t="s">
        <v>3</v>
      </c>
      <c r="DF220" s="2" t="s">
        <v>3</v>
      </c>
      <c r="DG220" s="2" t="s">
        <v>3</v>
      </c>
      <c r="DH220" s="2" t="s">
        <v>3</v>
      </c>
      <c r="DI220" s="2" t="s">
        <v>3</v>
      </c>
      <c r="DJ220" s="2" t="s">
        <v>3</v>
      </c>
      <c r="DK220" s="2" t="s">
        <v>3</v>
      </c>
      <c r="DL220" s="2" t="s">
        <v>3</v>
      </c>
      <c r="DM220" s="2" t="s">
        <v>3</v>
      </c>
      <c r="DN220" s="2">
        <v>0</v>
      </c>
      <c r="DO220" s="2">
        <v>0</v>
      </c>
      <c r="DP220" s="2">
        <v>1</v>
      </c>
      <c r="DQ220" s="2">
        <v>1</v>
      </c>
      <c r="DR220" s="2"/>
      <c r="DS220" s="2"/>
      <c r="DT220" s="2"/>
      <c r="DU220" s="2">
        <v>1013</v>
      </c>
      <c r="DV220" s="2" t="s">
        <v>192</v>
      </c>
      <c r="DW220" s="2" t="s">
        <v>192</v>
      </c>
      <c r="DX220" s="2">
        <v>1</v>
      </c>
      <c r="DY220" s="2"/>
      <c r="DZ220" s="2" t="s">
        <v>3</v>
      </c>
      <c r="EA220" s="2" t="s">
        <v>3</v>
      </c>
      <c r="EB220" s="2" t="s">
        <v>3</v>
      </c>
      <c r="EC220" s="2" t="s">
        <v>3</v>
      </c>
      <c r="ED220" s="2"/>
      <c r="EE220" s="2">
        <v>57248790</v>
      </c>
      <c r="EF220" s="2">
        <v>213</v>
      </c>
      <c r="EG220" s="2" t="s">
        <v>331</v>
      </c>
      <c r="EH220" s="2">
        <v>0</v>
      </c>
      <c r="EI220" s="2" t="s">
        <v>3</v>
      </c>
      <c r="EJ220" s="2">
        <v>1</v>
      </c>
      <c r="EK220" s="2">
        <v>400005</v>
      </c>
      <c r="EL220" s="2" t="s">
        <v>331</v>
      </c>
      <c r="EM220" s="2" t="s">
        <v>332</v>
      </c>
      <c r="EN220" s="2"/>
      <c r="EO220" s="2" t="s">
        <v>124</v>
      </c>
      <c r="EP220" s="2"/>
      <c r="EQ220" s="2">
        <v>1040</v>
      </c>
      <c r="ER220" s="2">
        <v>0</v>
      </c>
      <c r="ES220" s="2">
        <v>209.19</v>
      </c>
      <c r="ET220" s="2">
        <v>0</v>
      </c>
      <c r="EU220" s="2">
        <v>0</v>
      </c>
      <c r="EV220" s="2">
        <v>0</v>
      </c>
      <c r="EW220" s="2">
        <v>0</v>
      </c>
      <c r="EX220" s="2">
        <v>0</v>
      </c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>
        <v>0</v>
      </c>
      <c r="FR220" s="2">
        <v>0</v>
      </c>
      <c r="FS220" s="2">
        <v>0</v>
      </c>
      <c r="FT220" s="2"/>
      <c r="FU220" s="2"/>
      <c r="FV220" s="2"/>
      <c r="FW220" s="2"/>
      <c r="FX220" s="2">
        <v>97</v>
      </c>
      <c r="FY220" s="2">
        <v>51</v>
      </c>
      <c r="FZ220" s="2"/>
      <c r="GA220" s="2" t="s">
        <v>345</v>
      </c>
      <c r="GB220" s="2"/>
      <c r="GC220" s="2"/>
      <c r="GD220" s="2">
        <v>1</v>
      </c>
      <c r="GE220" s="2"/>
      <c r="GF220" s="2">
        <v>-1877605131</v>
      </c>
      <c r="GG220" s="2">
        <v>2</v>
      </c>
      <c r="GH220" s="2">
        <v>4</v>
      </c>
      <c r="GI220" s="2">
        <v>-2</v>
      </c>
      <c r="GJ220" s="2">
        <v>0</v>
      </c>
      <c r="GK220" s="2">
        <v>0</v>
      </c>
      <c r="GL220" s="2">
        <f t="shared" si="236"/>
        <v>0</v>
      </c>
      <c r="GM220" s="2">
        <f t="shared" si="237"/>
        <v>6903.27</v>
      </c>
      <c r="GN220" s="2">
        <f t="shared" si="238"/>
        <v>0</v>
      </c>
      <c r="GO220" s="2">
        <f t="shared" si="239"/>
        <v>6903.27</v>
      </c>
      <c r="GP220" s="2">
        <f t="shared" si="240"/>
        <v>0</v>
      </c>
      <c r="GQ220" s="2"/>
      <c r="GR220" s="2">
        <v>1</v>
      </c>
      <c r="GS220" s="2">
        <v>2</v>
      </c>
      <c r="GT220" s="2">
        <v>0</v>
      </c>
      <c r="GU220" s="2" t="s">
        <v>3</v>
      </c>
      <c r="GV220" s="2">
        <f t="shared" si="241"/>
        <v>0</v>
      </c>
      <c r="GW220" s="2">
        <v>1</v>
      </c>
      <c r="GX220" s="2">
        <f t="shared" si="242"/>
        <v>0</v>
      </c>
      <c r="GY220" s="2"/>
      <c r="GZ220" s="2"/>
      <c r="HA220" s="2">
        <v>0</v>
      </c>
      <c r="HB220" s="2">
        <v>0</v>
      </c>
      <c r="HC220" s="2">
        <f t="shared" si="243"/>
        <v>0</v>
      </c>
      <c r="HD220" s="2"/>
      <c r="HE220" s="2" t="s">
        <v>334</v>
      </c>
      <c r="HF220" s="2" t="s">
        <v>37</v>
      </c>
      <c r="HG220" s="2"/>
      <c r="HH220" s="2"/>
      <c r="HI220" s="2"/>
      <c r="HJ220" s="2"/>
      <c r="HK220" s="2"/>
      <c r="HL220" s="2"/>
      <c r="HM220" s="2" t="s">
        <v>3</v>
      </c>
      <c r="HN220" s="2" t="s">
        <v>3</v>
      </c>
      <c r="HO220" s="2" t="s">
        <v>3</v>
      </c>
      <c r="HP220" s="2" t="s">
        <v>3</v>
      </c>
      <c r="HQ220" s="2" t="s">
        <v>3</v>
      </c>
      <c r="HR220" s="2"/>
      <c r="HS220" s="2">
        <v>0</v>
      </c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>
        <v>0</v>
      </c>
      <c r="IL220" s="2"/>
      <c r="IM220" s="2"/>
      <c r="IN220" s="2"/>
      <c r="IO220" s="2"/>
      <c r="IP220" s="2"/>
      <c r="IQ220" s="2"/>
      <c r="IR220" s="2"/>
      <c r="IS220" s="2"/>
      <c r="IT220" s="2"/>
      <c r="IU220" s="2"/>
    </row>
    <row r="221" spans="1:255" x14ac:dyDescent="0.2">
      <c r="A221" s="3">
        <v>18</v>
      </c>
      <c r="B221" s="3">
        <v>1</v>
      </c>
      <c r="C221" s="3">
        <v>264</v>
      </c>
      <c r="E221" s="3" t="s">
        <v>3</v>
      </c>
      <c r="F221" s="3" t="s">
        <v>343</v>
      </c>
      <c r="G221" s="3" t="s">
        <v>344</v>
      </c>
      <c r="H221" s="3" t="s">
        <v>192</v>
      </c>
      <c r="I221" s="3">
        <f>I217*J221</f>
        <v>33</v>
      </c>
      <c r="J221" s="3">
        <v>5.1401869158878508</v>
      </c>
      <c r="K221" s="3">
        <v>5.1401868999999998</v>
      </c>
      <c r="O221" s="3">
        <f t="shared" si="219"/>
        <v>67928.179999999993</v>
      </c>
      <c r="P221" s="3">
        <f t="shared" si="220"/>
        <v>67928.179999999993</v>
      </c>
      <c r="Q221" s="3">
        <f t="shared" si="244"/>
        <v>0</v>
      </c>
      <c r="R221" s="3">
        <f t="shared" si="245"/>
        <v>0</v>
      </c>
      <c r="S221" s="3">
        <f t="shared" si="221"/>
        <v>0</v>
      </c>
      <c r="T221" s="3">
        <f t="shared" si="222"/>
        <v>0</v>
      </c>
      <c r="U221" s="3">
        <f t="shared" si="223"/>
        <v>0</v>
      </c>
      <c r="V221" s="3">
        <f t="shared" si="224"/>
        <v>0</v>
      </c>
      <c r="W221" s="3">
        <f t="shared" si="225"/>
        <v>0</v>
      </c>
      <c r="X221" s="3">
        <f t="shared" si="246"/>
        <v>0</v>
      </c>
      <c r="Y221" s="3">
        <f t="shared" si="247"/>
        <v>0</v>
      </c>
      <c r="AA221" s="3">
        <v>-1</v>
      </c>
      <c r="AB221" s="3">
        <f t="shared" si="226"/>
        <v>209.19</v>
      </c>
      <c r="AC221" s="3">
        <f t="shared" si="248"/>
        <v>209.19</v>
      </c>
      <c r="AD221" s="3">
        <f t="shared" si="249"/>
        <v>0</v>
      </c>
      <c r="AE221" s="3">
        <f t="shared" si="250"/>
        <v>0</v>
      </c>
      <c r="AF221" s="3">
        <f t="shared" si="251"/>
        <v>0</v>
      </c>
      <c r="AG221" s="3">
        <f t="shared" si="227"/>
        <v>0</v>
      </c>
      <c r="AH221" s="3">
        <f t="shared" si="252"/>
        <v>0</v>
      </c>
      <c r="AI221" s="3">
        <f t="shared" si="253"/>
        <v>0</v>
      </c>
      <c r="AJ221" s="3">
        <f t="shared" si="228"/>
        <v>0</v>
      </c>
      <c r="AK221" s="3">
        <v>209.19</v>
      </c>
      <c r="AL221" s="3">
        <v>209.19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1</v>
      </c>
      <c r="AW221" s="3">
        <v>1</v>
      </c>
      <c r="AZ221" s="3">
        <v>1</v>
      </c>
      <c r="BA221" s="3">
        <v>1</v>
      </c>
      <c r="BB221" s="3">
        <v>1</v>
      </c>
      <c r="BC221" s="3">
        <v>9.84</v>
      </c>
      <c r="BD221" s="3" t="s">
        <v>3</v>
      </c>
      <c r="BE221" s="3" t="s">
        <v>3</v>
      </c>
      <c r="BF221" s="3" t="s">
        <v>3</v>
      </c>
      <c r="BG221" s="3" t="s">
        <v>3</v>
      </c>
      <c r="BH221" s="3">
        <v>3</v>
      </c>
      <c r="BI221" s="3">
        <v>2</v>
      </c>
      <c r="BJ221" s="3" t="s">
        <v>343</v>
      </c>
      <c r="BM221" s="3">
        <v>400005</v>
      </c>
      <c r="BN221" s="3">
        <v>0</v>
      </c>
      <c r="BO221" s="3" t="s">
        <v>3</v>
      </c>
      <c r="BP221" s="3">
        <v>0</v>
      </c>
      <c r="BQ221" s="3">
        <v>213</v>
      </c>
      <c r="BR221" s="3">
        <v>0</v>
      </c>
      <c r="BS221" s="3">
        <v>1</v>
      </c>
      <c r="BT221" s="3">
        <v>1</v>
      </c>
      <c r="BU221" s="3">
        <v>1</v>
      </c>
      <c r="BV221" s="3">
        <v>1</v>
      </c>
      <c r="BW221" s="3">
        <v>1</v>
      </c>
      <c r="BX221" s="3">
        <v>1</v>
      </c>
      <c r="BY221" s="3" t="s">
        <v>3</v>
      </c>
      <c r="BZ221" s="3">
        <v>97</v>
      </c>
      <c r="CA221" s="3">
        <v>51</v>
      </c>
      <c r="CB221" s="3" t="s">
        <v>3</v>
      </c>
      <c r="CE221" s="3">
        <v>1566</v>
      </c>
      <c r="CF221" s="3">
        <v>0</v>
      </c>
      <c r="CG221" s="3">
        <v>0</v>
      </c>
      <c r="CM221" s="3">
        <v>0</v>
      </c>
      <c r="CN221" s="3" t="s">
        <v>821</v>
      </c>
      <c r="CO221" s="3">
        <v>0</v>
      </c>
      <c r="CP221" s="3">
        <f t="shared" si="229"/>
        <v>67928.179999999993</v>
      </c>
      <c r="CQ221" s="3">
        <f t="shared" si="230"/>
        <v>2058.4299999999998</v>
      </c>
      <c r="CR221" s="3">
        <f t="shared" si="254"/>
        <v>0</v>
      </c>
      <c r="CS221" s="3">
        <f t="shared" si="255"/>
        <v>0</v>
      </c>
      <c r="CT221" s="3">
        <f t="shared" si="231"/>
        <v>0</v>
      </c>
      <c r="CU221" s="3">
        <f t="shared" si="232"/>
        <v>0</v>
      </c>
      <c r="CV221" s="3">
        <f t="shared" si="233"/>
        <v>0</v>
      </c>
      <c r="CW221" s="3">
        <f t="shared" si="234"/>
        <v>0</v>
      </c>
      <c r="CX221" s="3">
        <f t="shared" si="235"/>
        <v>0</v>
      </c>
      <c r="CY221" s="3">
        <f t="shared" si="256"/>
        <v>0</v>
      </c>
      <c r="CZ221" s="3">
        <f t="shared" si="257"/>
        <v>0</v>
      </c>
      <c r="DC221" s="3" t="s">
        <v>3</v>
      </c>
      <c r="DD221" s="3" t="s">
        <v>3</v>
      </c>
      <c r="DE221" s="3" t="s">
        <v>3</v>
      </c>
      <c r="DF221" s="3" t="s">
        <v>3</v>
      </c>
      <c r="DG221" s="3" t="s">
        <v>3</v>
      </c>
      <c r="DH221" s="3" t="s">
        <v>3</v>
      </c>
      <c r="DI221" s="3" t="s">
        <v>3</v>
      </c>
      <c r="DJ221" s="3" t="s">
        <v>3</v>
      </c>
      <c r="DK221" s="3" t="s">
        <v>3</v>
      </c>
      <c r="DL221" s="3" t="s">
        <v>3</v>
      </c>
      <c r="DM221" s="3" t="s">
        <v>3</v>
      </c>
      <c r="DN221" s="3">
        <v>0</v>
      </c>
      <c r="DO221" s="3">
        <v>0</v>
      </c>
      <c r="DP221" s="3">
        <v>1</v>
      </c>
      <c r="DQ221" s="3">
        <v>1</v>
      </c>
      <c r="DU221" s="3">
        <v>1013</v>
      </c>
      <c r="DV221" s="3" t="s">
        <v>192</v>
      </c>
      <c r="DW221" s="3" t="s">
        <v>192</v>
      </c>
      <c r="DX221" s="3">
        <v>1</v>
      </c>
      <c r="DZ221" s="3" t="s">
        <v>3</v>
      </c>
      <c r="EA221" s="3" t="s">
        <v>3</v>
      </c>
      <c r="EB221" s="3" t="s">
        <v>3</v>
      </c>
      <c r="EC221" s="3" t="s">
        <v>3</v>
      </c>
      <c r="EE221" s="3">
        <v>57248790</v>
      </c>
      <c r="EF221" s="3">
        <v>213</v>
      </c>
      <c r="EG221" s="3" t="s">
        <v>331</v>
      </c>
      <c r="EH221" s="3">
        <v>0</v>
      </c>
      <c r="EI221" s="3" t="s">
        <v>3</v>
      </c>
      <c r="EJ221" s="3">
        <v>1</v>
      </c>
      <c r="EK221" s="3">
        <v>400005</v>
      </c>
      <c r="EL221" s="3" t="s">
        <v>331</v>
      </c>
      <c r="EM221" s="3" t="s">
        <v>332</v>
      </c>
      <c r="EO221" s="3" t="s">
        <v>124</v>
      </c>
      <c r="EQ221" s="3">
        <v>1040</v>
      </c>
      <c r="ER221" s="3">
        <v>0</v>
      </c>
      <c r="ES221" s="3">
        <v>209.19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Z221" s="3">
        <v>5</v>
      </c>
      <c r="FC221" s="3">
        <v>1</v>
      </c>
      <c r="FD221" s="3">
        <v>18</v>
      </c>
      <c r="FF221" s="3">
        <v>2462.1</v>
      </c>
      <c r="FQ221" s="3">
        <v>0</v>
      </c>
      <c r="FR221" s="3">
        <v>0</v>
      </c>
      <c r="FS221" s="3">
        <v>0</v>
      </c>
      <c r="FX221" s="3">
        <v>97</v>
      </c>
      <c r="FY221" s="3">
        <v>51</v>
      </c>
      <c r="GA221" s="3" t="s">
        <v>345</v>
      </c>
      <c r="GD221" s="3">
        <v>1</v>
      </c>
      <c r="GF221" s="3">
        <v>-1877605131</v>
      </c>
      <c r="GG221" s="3">
        <v>2</v>
      </c>
      <c r="GH221" s="3">
        <v>3</v>
      </c>
      <c r="GI221" s="3">
        <v>5</v>
      </c>
      <c r="GJ221" s="3">
        <v>0</v>
      </c>
      <c r="GK221" s="3">
        <v>0</v>
      </c>
      <c r="GL221" s="3">
        <f t="shared" si="236"/>
        <v>0</v>
      </c>
      <c r="GM221" s="3">
        <f t="shared" si="237"/>
        <v>67928.179999999993</v>
      </c>
      <c r="GN221" s="3">
        <f t="shared" si="238"/>
        <v>0</v>
      </c>
      <c r="GO221" s="3">
        <f t="shared" si="239"/>
        <v>67928.179999999993</v>
      </c>
      <c r="GP221" s="3">
        <f t="shared" si="240"/>
        <v>0</v>
      </c>
      <c r="GR221" s="3">
        <v>1</v>
      </c>
      <c r="GS221" s="3">
        <v>1</v>
      </c>
      <c r="GT221" s="3">
        <v>0</v>
      </c>
      <c r="GU221" s="3" t="s">
        <v>3</v>
      </c>
      <c r="GV221" s="3">
        <f t="shared" si="241"/>
        <v>0</v>
      </c>
      <c r="GW221" s="3">
        <v>1</v>
      </c>
      <c r="GX221" s="3">
        <f t="shared" si="242"/>
        <v>0</v>
      </c>
      <c r="HA221" s="3">
        <v>0</v>
      </c>
      <c r="HB221" s="3">
        <v>0</v>
      </c>
      <c r="HC221" s="3">
        <f t="shared" si="243"/>
        <v>0</v>
      </c>
      <c r="HE221" s="3" t="s">
        <v>334</v>
      </c>
      <c r="HF221" s="3" t="s">
        <v>37</v>
      </c>
      <c r="HM221" s="3" t="s">
        <v>3</v>
      </c>
      <c r="HN221" s="3" t="s">
        <v>3</v>
      </c>
      <c r="HO221" s="3" t="s">
        <v>3</v>
      </c>
      <c r="HP221" s="3" t="s">
        <v>3</v>
      </c>
      <c r="HQ221" s="3" t="s">
        <v>3</v>
      </c>
      <c r="HS221" s="3">
        <v>0</v>
      </c>
      <c r="IK221" s="3">
        <v>0</v>
      </c>
    </row>
    <row r="222" spans="1:255" x14ac:dyDescent="0.2">
      <c r="A222" s="2">
        <v>18</v>
      </c>
      <c r="B222" s="2">
        <v>1</v>
      </c>
      <c r="C222" s="2">
        <v>259</v>
      </c>
      <c r="D222" s="2"/>
      <c r="E222" s="2" t="s">
        <v>3</v>
      </c>
      <c r="F222" s="2" t="s">
        <v>346</v>
      </c>
      <c r="G222" s="2" t="s">
        <v>347</v>
      </c>
      <c r="H222" s="2" t="s">
        <v>348</v>
      </c>
      <c r="I222" s="2">
        <f>I216*J222</f>
        <v>2.14</v>
      </c>
      <c r="J222" s="2">
        <v>0.33333333333333337</v>
      </c>
      <c r="K222" s="2">
        <v>0.3333333</v>
      </c>
      <c r="L222" s="2"/>
      <c r="M222" s="2"/>
      <c r="N222" s="2"/>
      <c r="O222" s="2">
        <f t="shared" si="219"/>
        <v>848.7</v>
      </c>
      <c r="P222" s="2">
        <f t="shared" si="220"/>
        <v>848.7</v>
      </c>
      <c r="Q222" s="2">
        <f t="shared" si="244"/>
        <v>0</v>
      </c>
      <c r="R222" s="2">
        <f t="shared" si="245"/>
        <v>0</v>
      </c>
      <c r="S222" s="2">
        <f t="shared" si="221"/>
        <v>0</v>
      </c>
      <c r="T222" s="2">
        <f t="shared" si="222"/>
        <v>0</v>
      </c>
      <c r="U222" s="2">
        <f t="shared" si="223"/>
        <v>0</v>
      </c>
      <c r="V222" s="2">
        <f t="shared" si="224"/>
        <v>0</v>
      </c>
      <c r="W222" s="2">
        <f t="shared" si="225"/>
        <v>0</v>
      </c>
      <c r="X222" s="2">
        <f t="shared" si="246"/>
        <v>0</v>
      </c>
      <c r="Y222" s="2">
        <f t="shared" si="247"/>
        <v>0</v>
      </c>
      <c r="Z222" s="2"/>
      <c r="AA222" s="2">
        <v>-1</v>
      </c>
      <c r="AB222" s="2">
        <f t="shared" si="226"/>
        <v>396.59</v>
      </c>
      <c r="AC222" s="2">
        <f t="shared" si="248"/>
        <v>396.59</v>
      </c>
      <c r="AD222" s="2">
        <f t="shared" si="249"/>
        <v>0</v>
      </c>
      <c r="AE222" s="2">
        <f t="shared" si="250"/>
        <v>0</v>
      </c>
      <c r="AF222" s="2">
        <f t="shared" si="251"/>
        <v>0</v>
      </c>
      <c r="AG222" s="2">
        <f t="shared" si="227"/>
        <v>0</v>
      </c>
      <c r="AH222" s="2">
        <f t="shared" si="252"/>
        <v>0</v>
      </c>
      <c r="AI222" s="2">
        <f t="shared" si="253"/>
        <v>0</v>
      </c>
      <c r="AJ222" s="2">
        <f t="shared" si="228"/>
        <v>0</v>
      </c>
      <c r="AK222" s="2">
        <v>396.59</v>
      </c>
      <c r="AL222" s="2">
        <v>396.59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97</v>
      </c>
      <c r="AU222" s="2">
        <v>51</v>
      </c>
      <c r="AV222" s="2">
        <v>1</v>
      </c>
      <c r="AW222" s="2">
        <v>1</v>
      </c>
      <c r="AX222" s="2"/>
      <c r="AY222" s="2"/>
      <c r="AZ222" s="2">
        <v>1</v>
      </c>
      <c r="BA222" s="2">
        <v>1</v>
      </c>
      <c r="BB222" s="2">
        <v>1</v>
      </c>
      <c r="BC222" s="2">
        <v>1</v>
      </c>
      <c r="BD222" s="2" t="s">
        <v>3</v>
      </c>
      <c r="BE222" s="2" t="s">
        <v>3</v>
      </c>
      <c r="BF222" s="2" t="s">
        <v>3</v>
      </c>
      <c r="BG222" s="2" t="s">
        <v>3</v>
      </c>
      <c r="BH222" s="2">
        <v>3</v>
      </c>
      <c r="BI222" s="2">
        <v>2</v>
      </c>
      <c r="BJ222" s="2" t="s">
        <v>349</v>
      </c>
      <c r="BK222" s="2"/>
      <c r="BL222" s="2"/>
      <c r="BM222" s="2">
        <v>67</v>
      </c>
      <c r="BN222" s="2">
        <v>0</v>
      </c>
      <c r="BO222" s="2" t="s">
        <v>3</v>
      </c>
      <c r="BP222" s="2">
        <v>0</v>
      </c>
      <c r="BQ222" s="2">
        <v>40</v>
      </c>
      <c r="BR222" s="2">
        <v>0</v>
      </c>
      <c r="BS222" s="2">
        <v>1</v>
      </c>
      <c r="BT222" s="2">
        <v>1</v>
      </c>
      <c r="BU222" s="2">
        <v>1</v>
      </c>
      <c r="BV222" s="2">
        <v>1</v>
      </c>
      <c r="BW222" s="2">
        <v>1</v>
      </c>
      <c r="BX222" s="2">
        <v>1</v>
      </c>
      <c r="BY222" s="2" t="s">
        <v>3</v>
      </c>
      <c r="BZ222" s="2">
        <v>97</v>
      </c>
      <c r="CA222" s="2">
        <v>51</v>
      </c>
      <c r="CB222" s="2" t="s">
        <v>3</v>
      </c>
      <c r="CC222" s="2"/>
      <c r="CD222" s="2"/>
      <c r="CE222" s="2">
        <v>1566</v>
      </c>
      <c r="CF222" s="2">
        <v>0</v>
      </c>
      <c r="CG222" s="2">
        <v>0</v>
      </c>
      <c r="CH222" s="2"/>
      <c r="CI222" s="2"/>
      <c r="CJ222" s="2"/>
      <c r="CK222" s="2"/>
      <c r="CL222" s="2"/>
      <c r="CM222" s="2">
        <v>0</v>
      </c>
      <c r="CN222" s="2" t="s">
        <v>821</v>
      </c>
      <c r="CO222" s="2">
        <v>0</v>
      </c>
      <c r="CP222" s="2">
        <f t="shared" si="229"/>
        <v>848.7</v>
      </c>
      <c r="CQ222" s="2">
        <f t="shared" si="230"/>
        <v>396.59</v>
      </c>
      <c r="CR222" s="2">
        <f t="shared" si="254"/>
        <v>0</v>
      </c>
      <c r="CS222" s="2">
        <f t="shared" si="255"/>
        <v>0</v>
      </c>
      <c r="CT222" s="2">
        <f t="shared" si="231"/>
        <v>0</v>
      </c>
      <c r="CU222" s="2">
        <f t="shared" si="232"/>
        <v>0</v>
      </c>
      <c r="CV222" s="2">
        <f t="shared" si="233"/>
        <v>0</v>
      </c>
      <c r="CW222" s="2">
        <f t="shared" si="234"/>
        <v>0</v>
      </c>
      <c r="CX222" s="2">
        <f t="shared" si="235"/>
        <v>0</v>
      </c>
      <c r="CY222" s="2">
        <f t="shared" si="256"/>
        <v>0</v>
      </c>
      <c r="CZ222" s="2">
        <f t="shared" si="257"/>
        <v>0</v>
      </c>
      <c r="DA222" s="2"/>
      <c r="DB222" s="2"/>
      <c r="DC222" s="2" t="s">
        <v>3</v>
      </c>
      <c r="DD222" s="2" t="s">
        <v>3</v>
      </c>
      <c r="DE222" s="2" t="s">
        <v>3</v>
      </c>
      <c r="DF222" s="2" t="s">
        <v>3</v>
      </c>
      <c r="DG222" s="2" t="s">
        <v>3</v>
      </c>
      <c r="DH222" s="2" t="s">
        <v>3</v>
      </c>
      <c r="DI222" s="2" t="s">
        <v>3</v>
      </c>
      <c r="DJ222" s="2" t="s">
        <v>3</v>
      </c>
      <c r="DK222" s="2" t="s">
        <v>3</v>
      </c>
      <c r="DL222" s="2" t="s">
        <v>3</v>
      </c>
      <c r="DM222" s="2" t="s">
        <v>3</v>
      </c>
      <c r="DN222" s="2">
        <v>0</v>
      </c>
      <c r="DO222" s="2">
        <v>0</v>
      </c>
      <c r="DP222" s="2">
        <v>1</v>
      </c>
      <c r="DQ222" s="2">
        <v>1</v>
      </c>
      <c r="DR222" s="2"/>
      <c r="DS222" s="2"/>
      <c r="DT222" s="2"/>
      <c r="DU222" s="2">
        <v>1010</v>
      </c>
      <c r="DV222" s="2" t="s">
        <v>348</v>
      </c>
      <c r="DW222" s="2" t="s">
        <v>348</v>
      </c>
      <c r="DX222" s="2">
        <v>1000</v>
      </c>
      <c r="DY222" s="2"/>
      <c r="DZ222" s="2" t="s">
        <v>3</v>
      </c>
      <c r="EA222" s="2" t="s">
        <v>3</v>
      </c>
      <c r="EB222" s="2" t="s">
        <v>3</v>
      </c>
      <c r="EC222" s="2" t="s">
        <v>3</v>
      </c>
      <c r="ED222" s="2"/>
      <c r="EE222" s="2">
        <v>57248651</v>
      </c>
      <c r="EF222" s="2">
        <v>40</v>
      </c>
      <c r="EG222" s="2" t="s">
        <v>33</v>
      </c>
      <c r="EH222" s="2">
        <v>0</v>
      </c>
      <c r="EI222" s="2" t="s">
        <v>3</v>
      </c>
      <c r="EJ222" s="2">
        <v>2</v>
      </c>
      <c r="EK222" s="2">
        <v>67</v>
      </c>
      <c r="EL222" s="2" t="s">
        <v>69</v>
      </c>
      <c r="EM222" s="2" t="s">
        <v>70</v>
      </c>
      <c r="EN222" s="2"/>
      <c r="EO222" s="2" t="s">
        <v>124</v>
      </c>
      <c r="EP222" s="2"/>
      <c r="EQ222" s="2">
        <v>1024</v>
      </c>
      <c r="ER222" s="2">
        <v>396.59</v>
      </c>
      <c r="ES222" s="2">
        <v>396.59</v>
      </c>
      <c r="ET222" s="2">
        <v>0</v>
      </c>
      <c r="EU222" s="2">
        <v>0</v>
      </c>
      <c r="EV222" s="2">
        <v>0</v>
      </c>
      <c r="EW222" s="2">
        <v>0</v>
      </c>
      <c r="EX222" s="2">
        <v>0</v>
      </c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>
        <v>0</v>
      </c>
      <c r="FR222" s="2">
        <v>0</v>
      </c>
      <c r="FS222" s="2">
        <v>0</v>
      </c>
      <c r="FT222" s="2"/>
      <c r="FU222" s="2"/>
      <c r="FV222" s="2"/>
      <c r="FW222" s="2"/>
      <c r="FX222" s="2">
        <v>97</v>
      </c>
      <c r="FY222" s="2">
        <v>51</v>
      </c>
      <c r="FZ222" s="2"/>
      <c r="GA222" s="2" t="s">
        <v>3</v>
      </c>
      <c r="GB222" s="2"/>
      <c r="GC222" s="2"/>
      <c r="GD222" s="2">
        <v>1</v>
      </c>
      <c r="GE222" s="2"/>
      <c r="GF222" s="2">
        <v>1886730866</v>
      </c>
      <c r="GG222" s="2">
        <v>2</v>
      </c>
      <c r="GH222" s="2">
        <v>1</v>
      </c>
      <c r="GI222" s="2">
        <v>-2</v>
      </c>
      <c r="GJ222" s="2">
        <v>0</v>
      </c>
      <c r="GK222" s="2">
        <v>0</v>
      </c>
      <c r="GL222" s="2">
        <f t="shared" si="236"/>
        <v>0</v>
      </c>
      <c r="GM222" s="2">
        <f t="shared" si="237"/>
        <v>848.7</v>
      </c>
      <c r="GN222" s="2">
        <f t="shared" si="238"/>
        <v>0</v>
      </c>
      <c r="GO222" s="2">
        <f t="shared" si="239"/>
        <v>848.7</v>
      </c>
      <c r="GP222" s="2">
        <f t="shared" si="240"/>
        <v>0</v>
      </c>
      <c r="GQ222" s="2"/>
      <c r="GR222" s="2">
        <v>0</v>
      </c>
      <c r="GS222" s="2">
        <v>3</v>
      </c>
      <c r="GT222" s="2">
        <v>0</v>
      </c>
      <c r="GU222" s="2" t="s">
        <v>3</v>
      </c>
      <c r="GV222" s="2">
        <f t="shared" si="241"/>
        <v>0</v>
      </c>
      <c r="GW222" s="2">
        <v>1</v>
      </c>
      <c r="GX222" s="2">
        <f t="shared" si="242"/>
        <v>0</v>
      </c>
      <c r="GY222" s="2"/>
      <c r="GZ222" s="2"/>
      <c r="HA222" s="2">
        <v>0</v>
      </c>
      <c r="HB222" s="2">
        <v>0</v>
      </c>
      <c r="HC222" s="2">
        <f t="shared" si="243"/>
        <v>0</v>
      </c>
      <c r="HD222" s="2"/>
      <c r="HE222" s="2" t="s">
        <v>3</v>
      </c>
      <c r="HF222" s="2" t="s">
        <v>3</v>
      </c>
      <c r="HG222" s="2"/>
      <c r="HH222" s="2"/>
      <c r="HI222" s="2"/>
      <c r="HJ222" s="2"/>
      <c r="HK222" s="2"/>
      <c r="HL222" s="2"/>
      <c r="HM222" s="2" t="s">
        <v>119</v>
      </c>
      <c r="HN222" s="2" t="s">
        <v>3</v>
      </c>
      <c r="HO222" s="2" t="s">
        <v>3</v>
      </c>
      <c r="HP222" s="2" t="s">
        <v>3</v>
      </c>
      <c r="HQ222" s="2" t="s">
        <v>3</v>
      </c>
      <c r="HR222" s="2"/>
      <c r="HS222" s="2">
        <v>0</v>
      </c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>
        <v>0</v>
      </c>
      <c r="IL222" s="2"/>
      <c r="IM222" s="2"/>
      <c r="IN222" s="2"/>
      <c r="IO222" s="2"/>
      <c r="IP222" s="2"/>
      <c r="IQ222" s="2"/>
      <c r="IR222" s="2"/>
      <c r="IS222" s="2"/>
      <c r="IT222" s="2"/>
      <c r="IU222" s="2"/>
    </row>
    <row r="223" spans="1:255" x14ac:dyDescent="0.2">
      <c r="A223" s="3">
        <v>18</v>
      </c>
      <c r="B223" s="3">
        <v>1</v>
      </c>
      <c r="C223" s="3">
        <v>263</v>
      </c>
      <c r="E223" s="3" t="s">
        <v>3</v>
      </c>
      <c r="F223" s="3" t="s">
        <v>346</v>
      </c>
      <c r="G223" s="3" t="s">
        <v>347</v>
      </c>
      <c r="H223" s="3" t="s">
        <v>348</v>
      </c>
      <c r="I223" s="3">
        <f>I217*J223</f>
        <v>2.14</v>
      </c>
      <c r="J223" s="3">
        <v>0.33333333333333337</v>
      </c>
      <c r="K223" s="3">
        <v>0.3333333</v>
      </c>
      <c r="O223" s="3">
        <f t="shared" si="219"/>
        <v>3734.28</v>
      </c>
      <c r="P223" s="3">
        <f t="shared" si="220"/>
        <v>3734.28</v>
      </c>
      <c r="Q223" s="3">
        <f t="shared" si="244"/>
        <v>0</v>
      </c>
      <c r="R223" s="3">
        <f t="shared" si="245"/>
        <v>0</v>
      </c>
      <c r="S223" s="3">
        <f t="shared" si="221"/>
        <v>0</v>
      </c>
      <c r="T223" s="3">
        <f t="shared" si="222"/>
        <v>0</v>
      </c>
      <c r="U223" s="3">
        <f t="shared" si="223"/>
        <v>0</v>
      </c>
      <c r="V223" s="3">
        <f t="shared" si="224"/>
        <v>0</v>
      </c>
      <c r="W223" s="3">
        <f t="shared" si="225"/>
        <v>0</v>
      </c>
      <c r="X223" s="3">
        <f t="shared" si="246"/>
        <v>0</v>
      </c>
      <c r="Y223" s="3">
        <f t="shared" si="247"/>
        <v>0</v>
      </c>
      <c r="AA223" s="3">
        <v>-1</v>
      </c>
      <c r="AB223" s="3">
        <f t="shared" si="226"/>
        <v>396.59</v>
      </c>
      <c r="AC223" s="3">
        <f t="shared" si="248"/>
        <v>396.59</v>
      </c>
      <c r="AD223" s="3">
        <f t="shared" si="249"/>
        <v>0</v>
      </c>
      <c r="AE223" s="3">
        <f t="shared" si="250"/>
        <v>0</v>
      </c>
      <c r="AF223" s="3">
        <f t="shared" si="251"/>
        <v>0</v>
      </c>
      <c r="AG223" s="3">
        <f t="shared" si="227"/>
        <v>0</v>
      </c>
      <c r="AH223" s="3">
        <f t="shared" si="252"/>
        <v>0</v>
      </c>
      <c r="AI223" s="3">
        <f t="shared" si="253"/>
        <v>0</v>
      </c>
      <c r="AJ223" s="3">
        <f t="shared" si="228"/>
        <v>0</v>
      </c>
      <c r="AK223" s="3">
        <v>396.59</v>
      </c>
      <c r="AL223" s="3">
        <v>396.59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97</v>
      </c>
      <c r="AU223" s="3">
        <v>51</v>
      </c>
      <c r="AV223" s="3">
        <v>1</v>
      </c>
      <c r="AW223" s="3">
        <v>1</v>
      </c>
      <c r="AZ223" s="3">
        <v>1</v>
      </c>
      <c r="BA223" s="3">
        <v>1</v>
      </c>
      <c r="BB223" s="3">
        <v>1</v>
      </c>
      <c r="BC223" s="3">
        <v>4.4000000000000004</v>
      </c>
      <c r="BD223" s="3" t="s">
        <v>3</v>
      </c>
      <c r="BE223" s="3" t="s">
        <v>3</v>
      </c>
      <c r="BF223" s="3" t="s">
        <v>3</v>
      </c>
      <c r="BG223" s="3" t="s">
        <v>3</v>
      </c>
      <c r="BH223" s="3">
        <v>3</v>
      </c>
      <c r="BI223" s="3">
        <v>2</v>
      </c>
      <c r="BJ223" s="3" t="s">
        <v>349</v>
      </c>
      <c r="BM223" s="3">
        <v>67</v>
      </c>
      <c r="BN223" s="3">
        <v>0</v>
      </c>
      <c r="BO223" s="3" t="s">
        <v>346</v>
      </c>
      <c r="BP223" s="3">
        <v>1</v>
      </c>
      <c r="BQ223" s="3">
        <v>40</v>
      </c>
      <c r="BR223" s="3">
        <v>0</v>
      </c>
      <c r="BS223" s="3">
        <v>1</v>
      </c>
      <c r="BT223" s="3">
        <v>1</v>
      </c>
      <c r="BU223" s="3">
        <v>1</v>
      </c>
      <c r="BV223" s="3">
        <v>1</v>
      </c>
      <c r="BW223" s="3">
        <v>1</v>
      </c>
      <c r="BX223" s="3">
        <v>1</v>
      </c>
      <c r="BY223" s="3" t="s">
        <v>3</v>
      </c>
      <c r="BZ223" s="3">
        <v>97</v>
      </c>
      <c r="CA223" s="3">
        <v>51</v>
      </c>
      <c r="CB223" s="3" t="s">
        <v>3</v>
      </c>
      <c r="CE223" s="3">
        <v>1566</v>
      </c>
      <c r="CF223" s="3">
        <v>0</v>
      </c>
      <c r="CG223" s="3">
        <v>0</v>
      </c>
      <c r="CM223" s="3">
        <v>0</v>
      </c>
      <c r="CN223" s="3" t="s">
        <v>821</v>
      </c>
      <c r="CO223" s="3">
        <v>0</v>
      </c>
      <c r="CP223" s="3">
        <f t="shared" si="229"/>
        <v>3734.28</v>
      </c>
      <c r="CQ223" s="3">
        <f t="shared" si="230"/>
        <v>1745</v>
      </c>
      <c r="CR223" s="3">
        <f t="shared" si="254"/>
        <v>0</v>
      </c>
      <c r="CS223" s="3">
        <f t="shared" si="255"/>
        <v>0</v>
      </c>
      <c r="CT223" s="3">
        <f t="shared" si="231"/>
        <v>0</v>
      </c>
      <c r="CU223" s="3">
        <f t="shared" si="232"/>
        <v>0</v>
      </c>
      <c r="CV223" s="3">
        <f t="shared" si="233"/>
        <v>0</v>
      </c>
      <c r="CW223" s="3">
        <f t="shared" si="234"/>
        <v>0</v>
      </c>
      <c r="CX223" s="3">
        <f t="shared" si="235"/>
        <v>0</v>
      </c>
      <c r="CY223" s="3">
        <f t="shared" si="256"/>
        <v>0</v>
      </c>
      <c r="CZ223" s="3">
        <f t="shared" si="257"/>
        <v>0</v>
      </c>
      <c r="DC223" s="3" t="s">
        <v>3</v>
      </c>
      <c r="DD223" s="3" t="s">
        <v>3</v>
      </c>
      <c r="DE223" s="3" t="s">
        <v>3</v>
      </c>
      <c r="DF223" s="3" t="s">
        <v>3</v>
      </c>
      <c r="DG223" s="3" t="s">
        <v>3</v>
      </c>
      <c r="DH223" s="3" t="s">
        <v>3</v>
      </c>
      <c r="DI223" s="3" t="s">
        <v>3</v>
      </c>
      <c r="DJ223" s="3" t="s">
        <v>3</v>
      </c>
      <c r="DK223" s="3" t="s">
        <v>3</v>
      </c>
      <c r="DL223" s="3" t="s">
        <v>3</v>
      </c>
      <c r="DM223" s="3" t="s">
        <v>3</v>
      </c>
      <c r="DN223" s="3">
        <v>0</v>
      </c>
      <c r="DO223" s="3">
        <v>0</v>
      </c>
      <c r="DP223" s="3">
        <v>1</v>
      </c>
      <c r="DQ223" s="3">
        <v>1</v>
      </c>
      <c r="DU223" s="3">
        <v>1010</v>
      </c>
      <c r="DV223" s="3" t="s">
        <v>348</v>
      </c>
      <c r="DW223" s="3" t="s">
        <v>348</v>
      </c>
      <c r="DX223" s="3">
        <v>1000</v>
      </c>
      <c r="DZ223" s="3" t="s">
        <v>3</v>
      </c>
      <c r="EA223" s="3" t="s">
        <v>3</v>
      </c>
      <c r="EB223" s="3" t="s">
        <v>3</v>
      </c>
      <c r="EC223" s="3" t="s">
        <v>3</v>
      </c>
      <c r="EE223" s="3">
        <v>57248651</v>
      </c>
      <c r="EF223" s="3">
        <v>40</v>
      </c>
      <c r="EG223" s="3" t="s">
        <v>33</v>
      </c>
      <c r="EH223" s="3">
        <v>0</v>
      </c>
      <c r="EI223" s="3" t="s">
        <v>3</v>
      </c>
      <c r="EJ223" s="3">
        <v>2</v>
      </c>
      <c r="EK223" s="3">
        <v>67</v>
      </c>
      <c r="EL223" s="3" t="s">
        <v>69</v>
      </c>
      <c r="EM223" s="3" t="s">
        <v>70</v>
      </c>
      <c r="EO223" s="3" t="s">
        <v>124</v>
      </c>
      <c r="EQ223" s="3">
        <v>1024</v>
      </c>
      <c r="ER223" s="3">
        <v>396.59</v>
      </c>
      <c r="ES223" s="3">
        <v>396.59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FQ223" s="3">
        <v>0</v>
      </c>
      <c r="FR223" s="3">
        <v>0</v>
      </c>
      <c r="FS223" s="3">
        <v>0</v>
      </c>
      <c r="FX223" s="3">
        <v>97</v>
      </c>
      <c r="FY223" s="3">
        <v>51</v>
      </c>
      <c r="GA223" s="3" t="s">
        <v>3</v>
      </c>
      <c r="GD223" s="3">
        <v>1</v>
      </c>
      <c r="GF223" s="3">
        <v>1886730866</v>
      </c>
      <c r="GG223" s="3">
        <v>2</v>
      </c>
      <c r="GH223" s="3">
        <v>1</v>
      </c>
      <c r="GI223" s="3">
        <v>2</v>
      </c>
      <c r="GJ223" s="3">
        <v>0</v>
      </c>
      <c r="GK223" s="3">
        <v>0</v>
      </c>
      <c r="GL223" s="3">
        <f t="shared" si="236"/>
        <v>0</v>
      </c>
      <c r="GM223" s="3">
        <f t="shared" si="237"/>
        <v>3734.28</v>
      </c>
      <c r="GN223" s="3">
        <f t="shared" si="238"/>
        <v>0</v>
      </c>
      <c r="GO223" s="3">
        <f t="shared" si="239"/>
        <v>3734.28</v>
      </c>
      <c r="GP223" s="3">
        <f t="shared" si="240"/>
        <v>0</v>
      </c>
      <c r="GR223" s="3">
        <v>0</v>
      </c>
      <c r="GS223" s="3">
        <v>3</v>
      </c>
      <c r="GT223" s="3">
        <v>0</v>
      </c>
      <c r="GU223" s="3" t="s">
        <v>3</v>
      </c>
      <c r="GV223" s="3">
        <f t="shared" si="241"/>
        <v>0</v>
      </c>
      <c r="GW223" s="3">
        <v>1</v>
      </c>
      <c r="GX223" s="3">
        <f t="shared" si="242"/>
        <v>0</v>
      </c>
      <c r="HA223" s="3">
        <v>0</v>
      </c>
      <c r="HB223" s="3">
        <v>0</v>
      </c>
      <c r="HC223" s="3">
        <f t="shared" si="243"/>
        <v>0</v>
      </c>
      <c r="HE223" s="3" t="s">
        <v>3</v>
      </c>
      <c r="HF223" s="3" t="s">
        <v>3</v>
      </c>
      <c r="HM223" s="3" t="s">
        <v>119</v>
      </c>
      <c r="HN223" s="3" t="s">
        <v>3</v>
      </c>
      <c r="HO223" s="3" t="s">
        <v>3</v>
      </c>
      <c r="HP223" s="3" t="s">
        <v>3</v>
      </c>
      <c r="HQ223" s="3" t="s">
        <v>3</v>
      </c>
      <c r="HS223" s="3">
        <v>0</v>
      </c>
      <c r="IK223" s="3">
        <v>0</v>
      </c>
    </row>
    <row r="224" spans="1:255" x14ac:dyDescent="0.2">
      <c r="A224" s="2">
        <v>17</v>
      </c>
      <c r="B224" s="2">
        <v>1</v>
      </c>
      <c r="C224" s="2"/>
      <c r="D224" s="2"/>
      <c r="E224" s="2" t="s">
        <v>3</v>
      </c>
      <c r="F224" s="2" t="s">
        <v>350</v>
      </c>
      <c r="G224" s="2" t="s">
        <v>351</v>
      </c>
      <c r="H224" s="2" t="s">
        <v>67</v>
      </c>
      <c r="I224" s="2">
        <f>ROUND(2640/100,9)</f>
        <v>26.4</v>
      </c>
      <c r="J224" s="2">
        <v>0</v>
      </c>
      <c r="K224" s="2">
        <f>ROUND(2640/100,9)</f>
        <v>26.4</v>
      </c>
      <c r="L224" s="2"/>
      <c r="M224" s="2"/>
      <c r="N224" s="2"/>
      <c r="O224" s="2">
        <f t="shared" si="219"/>
        <v>2506.15</v>
      </c>
      <c r="P224" s="2">
        <f t="shared" si="220"/>
        <v>2506.15</v>
      </c>
      <c r="Q224" s="2">
        <f t="shared" si="244"/>
        <v>0</v>
      </c>
      <c r="R224" s="2">
        <f t="shared" si="245"/>
        <v>0</v>
      </c>
      <c r="S224" s="2">
        <f t="shared" si="221"/>
        <v>0</v>
      </c>
      <c r="T224" s="2">
        <f t="shared" si="222"/>
        <v>0</v>
      </c>
      <c r="U224" s="2">
        <f t="shared" si="223"/>
        <v>0</v>
      </c>
      <c r="V224" s="2">
        <f t="shared" si="224"/>
        <v>0</v>
      </c>
      <c r="W224" s="2">
        <f t="shared" si="225"/>
        <v>0</v>
      </c>
      <c r="X224" s="2">
        <f t="shared" si="246"/>
        <v>0</v>
      </c>
      <c r="Y224" s="2">
        <f t="shared" si="247"/>
        <v>0</v>
      </c>
      <c r="Z224" s="2"/>
      <c r="AA224" s="2">
        <v>-1</v>
      </c>
      <c r="AB224" s="2">
        <f t="shared" si="226"/>
        <v>94.93</v>
      </c>
      <c r="AC224" s="2">
        <f t="shared" si="248"/>
        <v>94.93</v>
      </c>
      <c r="AD224" s="2">
        <f t="shared" si="249"/>
        <v>0</v>
      </c>
      <c r="AE224" s="2">
        <f t="shared" si="250"/>
        <v>0</v>
      </c>
      <c r="AF224" s="2">
        <f t="shared" si="251"/>
        <v>0</v>
      </c>
      <c r="AG224" s="2">
        <f t="shared" si="227"/>
        <v>0</v>
      </c>
      <c r="AH224" s="2">
        <f t="shared" si="252"/>
        <v>0</v>
      </c>
      <c r="AI224" s="2">
        <f t="shared" si="253"/>
        <v>0</v>
      </c>
      <c r="AJ224" s="2">
        <f t="shared" si="228"/>
        <v>0</v>
      </c>
      <c r="AK224" s="2">
        <v>94.93</v>
      </c>
      <c r="AL224" s="2">
        <v>94.93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1</v>
      </c>
      <c r="AW224" s="2">
        <v>1</v>
      </c>
      <c r="AX224" s="2"/>
      <c r="AY224" s="2"/>
      <c r="AZ224" s="2">
        <v>1</v>
      </c>
      <c r="BA224" s="2">
        <v>1</v>
      </c>
      <c r="BB224" s="2">
        <v>1</v>
      </c>
      <c r="BC224" s="2">
        <v>1</v>
      </c>
      <c r="BD224" s="2" t="s">
        <v>3</v>
      </c>
      <c r="BE224" s="2" t="s">
        <v>3</v>
      </c>
      <c r="BF224" s="2" t="s">
        <v>3</v>
      </c>
      <c r="BG224" s="2" t="s">
        <v>3</v>
      </c>
      <c r="BH224" s="2">
        <v>3</v>
      </c>
      <c r="BI224" s="2">
        <v>2</v>
      </c>
      <c r="BJ224" s="2" t="s">
        <v>352</v>
      </c>
      <c r="BK224" s="2"/>
      <c r="BL224" s="2"/>
      <c r="BM224" s="2">
        <v>1617</v>
      </c>
      <c r="BN224" s="2">
        <v>0</v>
      </c>
      <c r="BO224" s="2" t="s">
        <v>3</v>
      </c>
      <c r="BP224" s="2">
        <v>0</v>
      </c>
      <c r="BQ224" s="2">
        <v>200</v>
      </c>
      <c r="BR224" s="2">
        <v>0</v>
      </c>
      <c r="BS224" s="2">
        <v>1</v>
      </c>
      <c r="BT224" s="2">
        <v>1</v>
      </c>
      <c r="BU224" s="2">
        <v>1</v>
      </c>
      <c r="BV224" s="2">
        <v>1</v>
      </c>
      <c r="BW224" s="2">
        <v>1</v>
      </c>
      <c r="BX224" s="2">
        <v>1</v>
      </c>
      <c r="BY224" s="2" t="s">
        <v>3</v>
      </c>
      <c r="BZ224" s="2">
        <v>0</v>
      </c>
      <c r="CA224" s="2">
        <v>0</v>
      </c>
      <c r="CB224" s="2" t="s">
        <v>3</v>
      </c>
      <c r="CC224" s="2"/>
      <c r="CD224" s="2"/>
      <c r="CE224" s="2">
        <v>1566</v>
      </c>
      <c r="CF224" s="2">
        <v>0</v>
      </c>
      <c r="CG224" s="2">
        <v>0</v>
      </c>
      <c r="CH224" s="2"/>
      <c r="CI224" s="2"/>
      <c r="CJ224" s="2"/>
      <c r="CK224" s="2"/>
      <c r="CL224" s="2"/>
      <c r="CM224" s="2">
        <v>0</v>
      </c>
      <c r="CN224" s="2" t="s">
        <v>3</v>
      </c>
      <c r="CO224" s="2">
        <v>0</v>
      </c>
      <c r="CP224" s="2">
        <f t="shared" si="229"/>
        <v>2506.15</v>
      </c>
      <c r="CQ224" s="2">
        <f t="shared" si="230"/>
        <v>94.93</v>
      </c>
      <c r="CR224" s="2">
        <f t="shared" si="254"/>
        <v>0</v>
      </c>
      <c r="CS224" s="2">
        <f t="shared" si="255"/>
        <v>0</v>
      </c>
      <c r="CT224" s="2">
        <f t="shared" si="231"/>
        <v>0</v>
      </c>
      <c r="CU224" s="2">
        <f t="shared" si="232"/>
        <v>0</v>
      </c>
      <c r="CV224" s="2">
        <f t="shared" si="233"/>
        <v>0</v>
      </c>
      <c r="CW224" s="2">
        <f t="shared" si="234"/>
        <v>0</v>
      </c>
      <c r="CX224" s="2">
        <f t="shared" si="235"/>
        <v>0</v>
      </c>
      <c r="CY224" s="2">
        <f t="shared" si="256"/>
        <v>0</v>
      </c>
      <c r="CZ224" s="2">
        <f t="shared" si="257"/>
        <v>0</v>
      </c>
      <c r="DA224" s="2"/>
      <c r="DB224" s="2"/>
      <c r="DC224" s="2" t="s">
        <v>3</v>
      </c>
      <c r="DD224" s="2" t="s">
        <v>3</v>
      </c>
      <c r="DE224" s="2" t="s">
        <v>3</v>
      </c>
      <c r="DF224" s="2" t="s">
        <v>3</v>
      </c>
      <c r="DG224" s="2" t="s">
        <v>3</v>
      </c>
      <c r="DH224" s="2" t="s">
        <v>3</v>
      </c>
      <c r="DI224" s="2" t="s">
        <v>3</v>
      </c>
      <c r="DJ224" s="2" t="s">
        <v>3</v>
      </c>
      <c r="DK224" s="2" t="s">
        <v>3</v>
      </c>
      <c r="DL224" s="2" t="s">
        <v>3</v>
      </c>
      <c r="DM224" s="2" t="s">
        <v>3</v>
      </c>
      <c r="DN224" s="2">
        <v>0</v>
      </c>
      <c r="DO224" s="2">
        <v>0</v>
      </c>
      <c r="DP224" s="2">
        <v>1</v>
      </c>
      <c r="DQ224" s="2">
        <v>1</v>
      </c>
      <c r="DR224" s="2"/>
      <c r="DS224" s="2"/>
      <c r="DT224" s="2"/>
      <c r="DU224" s="2">
        <v>1010</v>
      </c>
      <c r="DV224" s="2" t="s">
        <v>67</v>
      </c>
      <c r="DW224" s="2" t="s">
        <v>67</v>
      </c>
      <c r="DX224" s="2">
        <v>100</v>
      </c>
      <c r="DY224" s="2"/>
      <c r="DZ224" s="2" t="s">
        <v>3</v>
      </c>
      <c r="EA224" s="2" t="s">
        <v>3</v>
      </c>
      <c r="EB224" s="2" t="s">
        <v>3</v>
      </c>
      <c r="EC224" s="2" t="s">
        <v>3</v>
      </c>
      <c r="ED224" s="2"/>
      <c r="EE224" s="2">
        <v>57248778</v>
      </c>
      <c r="EF224" s="2">
        <v>200</v>
      </c>
      <c r="EG224" s="2" t="s">
        <v>353</v>
      </c>
      <c r="EH224" s="2">
        <v>0</v>
      </c>
      <c r="EI224" s="2" t="s">
        <v>3</v>
      </c>
      <c r="EJ224" s="2">
        <v>1</v>
      </c>
      <c r="EK224" s="2">
        <v>1617</v>
      </c>
      <c r="EL224" s="2" t="s">
        <v>354</v>
      </c>
      <c r="EM224" s="2" t="s">
        <v>355</v>
      </c>
      <c r="EN224" s="2"/>
      <c r="EO224" s="2" t="s">
        <v>3</v>
      </c>
      <c r="EP224" s="2"/>
      <c r="EQ224" s="2">
        <v>132096</v>
      </c>
      <c r="ER224" s="2">
        <v>94.93</v>
      </c>
      <c r="ES224" s="2">
        <v>94.93</v>
      </c>
      <c r="ET224" s="2">
        <v>0</v>
      </c>
      <c r="EU224" s="2">
        <v>0</v>
      </c>
      <c r="EV224" s="2">
        <v>0</v>
      </c>
      <c r="EW224" s="2">
        <v>0</v>
      </c>
      <c r="EX224" s="2">
        <v>0</v>
      </c>
      <c r="EY224" s="2">
        <v>0</v>
      </c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>
        <v>0</v>
      </c>
      <c r="FR224" s="2">
        <v>0</v>
      </c>
      <c r="FS224" s="2">
        <v>0</v>
      </c>
      <c r="FT224" s="2"/>
      <c r="FU224" s="2"/>
      <c r="FV224" s="2"/>
      <c r="FW224" s="2"/>
      <c r="FX224" s="2">
        <v>0</v>
      </c>
      <c r="FY224" s="2">
        <v>0</v>
      </c>
      <c r="FZ224" s="2"/>
      <c r="GA224" s="2" t="s">
        <v>3</v>
      </c>
      <c r="GB224" s="2"/>
      <c r="GC224" s="2"/>
      <c r="GD224" s="2">
        <v>1</v>
      </c>
      <c r="GE224" s="2"/>
      <c r="GF224" s="2">
        <v>1017990539</v>
      </c>
      <c r="GG224" s="2">
        <v>2</v>
      </c>
      <c r="GH224" s="2">
        <v>1</v>
      </c>
      <c r="GI224" s="2">
        <v>-2</v>
      </c>
      <c r="GJ224" s="2">
        <v>0</v>
      </c>
      <c r="GK224" s="2">
        <v>0</v>
      </c>
      <c r="GL224" s="2">
        <f t="shared" si="236"/>
        <v>0</v>
      </c>
      <c r="GM224" s="2">
        <f t="shared" si="237"/>
        <v>2506.15</v>
      </c>
      <c r="GN224" s="2">
        <f t="shared" si="238"/>
        <v>0</v>
      </c>
      <c r="GO224" s="2">
        <f t="shared" si="239"/>
        <v>2506.15</v>
      </c>
      <c r="GP224" s="2">
        <f t="shared" si="240"/>
        <v>0</v>
      </c>
      <c r="GQ224" s="2"/>
      <c r="GR224" s="2">
        <v>0</v>
      </c>
      <c r="GS224" s="2">
        <v>3</v>
      </c>
      <c r="GT224" s="2">
        <v>0</v>
      </c>
      <c r="GU224" s="2" t="s">
        <v>3</v>
      </c>
      <c r="GV224" s="2">
        <f t="shared" si="241"/>
        <v>0</v>
      </c>
      <c r="GW224" s="2">
        <v>1</v>
      </c>
      <c r="GX224" s="2">
        <f t="shared" si="242"/>
        <v>0</v>
      </c>
      <c r="GY224" s="2"/>
      <c r="GZ224" s="2"/>
      <c r="HA224" s="2">
        <v>0</v>
      </c>
      <c r="HB224" s="2">
        <v>0</v>
      </c>
      <c r="HC224" s="2">
        <f t="shared" si="243"/>
        <v>0</v>
      </c>
      <c r="HD224" s="2"/>
      <c r="HE224" s="2" t="s">
        <v>3</v>
      </c>
      <c r="HF224" s="2" t="s">
        <v>3</v>
      </c>
      <c r="HG224" s="2"/>
      <c r="HH224" s="2"/>
      <c r="HI224" s="2"/>
      <c r="HJ224" s="2"/>
      <c r="HK224" s="2"/>
      <c r="HL224" s="2"/>
      <c r="HM224" s="2" t="s">
        <v>3</v>
      </c>
      <c r="HN224" s="2" t="s">
        <v>3</v>
      </c>
      <c r="HO224" s="2" t="s">
        <v>3</v>
      </c>
      <c r="HP224" s="2" t="s">
        <v>3</v>
      </c>
      <c r="HQ224" s="2" t="s">
        <v>3</v>
      </c>
      <c r="HR224" s="2"/>
      <c r="HS224" s="2">
        <v>0</v>
      </c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>
        <v>0</v>
      </c>
      <c r="IL224" s="2"/>
      <c r="IM224" s="2"/>
      <c r="IN224" s="2"/>
      <c r="IO224" s="2"/>
      <c r="IP224" s="2"/>
      <c r="IQ224" s="2"/>
      <c r="IR224" s="2"/>
      <c r="IS224" s="2"/>
      <c r="IT224" s="2"/>
      <c r="IU224" s="2"/>
    </row>
    <row r="225" spans="1:255" x14ac:dyDescent="0.2">
      <c r="A225" s="3">
        <v>17</v>
      </c>
      <c r="B225" s="3">
        <v>1</v>
      </c>
      <c r="E225" s="3" t="s">
        <v>3</v>
      </c>
      <c r="F225" s="3" t="s">
        <v>350</v>
      </c>
      <c r="G225" s="3" t="s">
        <v>351</v>
      </c>
      <c r="H225" s="3" t="s">
        <v>67</v>
      </c>
      <c r="I225" s="3">
        <f>ROUND(2640/100,9)</f>
        <v>26.4</v>
      </c>
      <c r="J225" s="3">
        <v>0</v>
      </c>
      <c r="K225" s="3">
        <f>ROUND(2640/100,9)</f>
        <v>26.4</v>
      </c>
      <c r="O225" s="3">
        <f t="shared" si="219"/>
        <v>9272.76</v>
      </c>
      <c r="P225" s="3">
        <f t="shared" si="220"/>
        <v>9272.76</v>
      </c>
      <c r="Q225" s="3">
        <f t="shared" si="244"/>
        <v>0</v>
      </c>
      <c r="R225" s="3">
        <f t="shared" si="245"/>
        <v>0</v>
      </c>
      <c r="S225" s="3">
        <f t="shared" si="221"/>
        <v>0</v>
      </c>
      <c r="T225" s="3">
        <f t="shared" si="222"/>
        <v>0</v>
      </c>
      <c r="U225" s="3">
        <f t="shared" si="223"/>
        <v>0</v>
      </c>
      <c r="V225" s="3">
        <f t="shared" si="224"/>
        <v>0</v>
      </c>
      <c r="W225" s="3">
        <f t="shared" si="225"/>
        <v>0</v>
      </c>
      <c r="X225" s="3">
        <f t="shared" si="246"/>
        <v>0</v>
      </c>
      <c r="Y225" s="3">
        <f t="shared" si="247"/>
        <v>0</v>
      </c>
      <c r="AA225" s="3">
        <v>-1</v>
      </c>
      <c r="AB225" s="3">
        <f t="shared" si="226"/>
        <v>94.93</v>
      </c>
      <c r="AC225" s="3">
        <f t="shared" si="248"/>
        <v>94.93</v>
      </c>
      <c r="AD225" s="3">
        <f t="shared" si="249"/>
        <v>0</v>
      </c>
      <c r="AE225" s="3">
        <f t="shared" si="250"/>
        <v>0</v>
      </c>
      <c r="AF225" s="3">
        <f t="shared" si="251"/>
        <v>0</v>
      </c>
      <c r="AG225" s="3">
        <f t="shared" si="227"/>
        <v>0</v>
      </c>
      <c r="AH225" s="3">
        <f t="shared" si="252"/>
        <v>0</v>
      </c>
      <c r="AI225" s="3">
        <f t="shared" si="253"/>
        <v>0</v>
      </c>
      <c r="AJ225" s="3">
        <f t="shared" si="228"/>
        <v>0</v>
      </c>
      <c r="AK225" s="3">
        <v>94.93</v>
      </c>
      <c r="AL225" s="3">
        <v>94.93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1</v>
      </c>
      <c r="AW225" s="3">
        <v>1</v>
      </c>
      <c r="AZ225" s="3">
        <v>1</v>
      </c>
      <c r="BA225" s="3">
        <v>1</v>
      </c>
      <c r="BB225" s="3">
        <v>1</v>
      </c>
      <c r="BC225" s="3">
        <v>3.7</v>
      </c>
      <c r="BD225" s="3" t="s">
        <v>3</v>
      </c>
      <c r="BE225" s="3" t="s">
        <v>3</v>
      </c>
      <c r="BF225" s="3" t="s">
        <v>3</v>
      </c>
      <c r="BG225" s="3" t="s">
        <v>3</v>
      </c>
      <c r="BH225" s="3">
        <v>3</v>
      </c>
      <c r="BI225" s="3">
        <v>2</v>
      </c>
      <c r="BJ225" s="3" t="s">
        <v>352</v>
      </c>
      <c r="BM225" s="3">
        <v>1617</v>
      </c>
      <c r="BN225" s="3">
        <v>0</v>
      </c>
      <c r="BO225" s="3" t="s">
        <v>350</v>
      </c>
      <c r="BP225" s="3">
        <v>1</v>
      </c>
      <c r="BQ225" s="3">
        <v>200</v>
      </c>
      <c r="BR225" s="3">
        <v>0</v>
      </c>
      <c r="BS225" s="3">
        <v>1</v>
      </c>
      <c r="BT225" s="3">
        <v>1</v>
      </c>
      <c r="BU225" s="3">
        <v>1</v>
      </c>
      <c r="BV225" s="3">
        <v>1</v>
      </c>
      <c r="BW225" s="3">
        <v>1</v>
      </c>
      <c r="BX225" s="3">
        <v>1</v>
      </c>
      <c r="BY225" s="3" t="s">
        <v>3</v>
      </c>
      <c r="BZ225" s="3">
        <v>0</v>
      </c>
      <c r="CA225" s="3">
        <v>0</v>
      </c>
      <c r="CB225" s="3" t="s">
        <v>3</v>
      </c>
      <c r="CE225" s="3">
        <v>1566</v>
      </c>
      <c r="CF225" s="3">
        <v>0</v>
      </c>
      <c r="CG225" s="3">
        <v>0</v>
      </c>
      <c r="CM225" s="3">
        <v>0</v>
      </c>
      <c r="CN225" s="3" t="s">
        <v>3</v>
      </c>
      <c r="CO225" s="3">
        <v>0</v>
      </c>
      <c r="CP225" s="3">
        <f t="shared" si="229"/>
        <v>9272.76</v>
      </c>
      <c r="CQ225" s="3">
        <f t="shared" si="230"/>
        <v>351.24</v>
      </c>
      <c r="CR225" s="3">
        <f t="shared" si="254"/>
        <v>0</v>
      </c>
      <c r="CS225" s="3">
        <f t="shared" si="255"/>
        <v>0</v>
      </c>
      <c r="CT225" s="3">
        <f t="shared" si="231"/>
        <v>0</v>
      </c>
      <c r="CU225" s="3">
        <f t="shared" si="232"/>
        <v>0</v>
      </c>
      <c r="CV225" s="3">
        <f t="shared" si="233"/>
        <v>0</v>
      </c>
      <c r="CW225" s="3">
        <f t="shared" si="234"/>
        <v>0</v>
      </c>
      <c r="CX225" s="3">
        <f t="shared" si="235"/>
        <v>0</v>
      </c>
      <c r="CY225" s="3">
        <f t="shared" si="256"/>
        <v>0</v>
      </c>
      <c r="CZ225" s="3">
        <f t="shared" si="257"/>
        <v>0</v>
      </c>
      <c r="DC225" s="3" t="s">
        <v>3</v>
      </c>
      <c r="DD225" s="3" t="s">
        <v>3</v>
      </c>
      <c r="DE225" s="3" t="s">
        <v>3</v>
      </c>
      <c r="DF225" s="3" t="s">
        <v>3</v>
      </c>
      <c r="DG225" s="3" t="s">
        <v>3</v>
      </c>
      <c r="DH225" s="3" t="s">
        <v>3</v>
      </c>
      <c r="DI225" s="3" t="s">
        <v>3</v>
      </c>
      <c r="DJ225" s="3" t="s">
        <v>3</v>
      </c>
      <c r="DK225" s="3" t="s">
        <v>3</v>
      </c>
      <c r="DL225" s="3" t="s">
        <v>3</v>
      </c>
      <c r="DM225" s="3" t="s">
        <v>3</v>
      </c>
      <c r="DN225" s="3">
        <v>0</v>
      </c>
      <c r="DO225" s="3">
        <v>0</v>
      </c>
      <c r="DP225" s="3">
        <v>1</v>
      </c>
      <c r="DQ225" s="3">
        <v>1</v>
      </c>
      <c r="DU225" s="3">
        <v>1010</v>
      </c>
      <c r="DV225" s="3" t="s">
        <v>67</v>
      </c>
      <c r="DW225" s="3" t="s">
        <v>67</v>
      </c>
      <c r="DX225" s="3">
        <v>100</v>
      </c>
      <c r="DZ225" s="3" t="s">
        <v>3</v>
      </c>
      <c r="EA225" s="3" t="s">
        <v>3</v>
      </c>
      <c r="EB225" s="3" t="s">
        <v>3</v>
      </c>
      <c r="EC225" s="3" t="s">
        <v>3</v>
      </c>
      <c r="EE225" s="3">
        <v>57248778</v>
      </c>
      <c r="EF225" s="3">
        <v>200</v>
      </c>
      <c r="EG225" s="3" t="s">
        <v>353</v>
      </c>
      <c r="EH225" s="3">
        <v>0</v>
      </c>
      <c r="EI225" s="3" t="s">
        <v>3</v>
      </c>
      <c r="EJ225" s="3">
        <v>1</v>
      </c>
      <c r="EK225" s="3">
        <v>1617</v>
      </c>
      <c r="EL225" s="3" t="s">
        <v>354</v>
      </c>
      <c r="EM225" s="3" t="s">
        <v>355</v>
      </c>
      <c r="EO225" s="3" t="s">
        <v>3</v>
      </c>
      <c r="EQ225" s="3">
        <v>132096</v>
      </c>
      <c r="ER225" s="3">
        <v>94.93</v>
      </c>
      <c r="ES225" s="3">
        <v>94.93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FQ225" s="3">
        <v>0</v>
      </c>
      <c r="FR225" s="3">
        <v>0</v>
      </c>
      <c r="FS225" s="3">
        <v>0</v>
      </c>
      <c r="FX225" s="3">
        <v>0</v>
      </c>
      <c r="FY225" s="3">
        <v>0</v>
      </c>
      <c r="GA225" s="3" t="s">
        <v>3</v>
      </c>
      <c r="GD225" s="3">
        <v>1</v>
      </c>
      <c r="GF225" s="3">
        <v>1017990539</v>
      </c>
      <c r="GG225" s="3">
        <v>2</v>
      </c>
      <c r="GH225" s="3">
        <v>1</v>
      </c>
      <c r="GI225" s="3">
        <v>2</v>
      </c>
      <c r="GJ225" s="3">
        <v>0</v>
      </c>
      <c r="GK225" s="3">
        <v>0</v>
      </c>
      <c r="GL225" s="3">
        <f t="shared" si="236"/>
        <v>0</v>
      </c>
      <c r="GM225" s="3">
        <f t="shared" si="237"/>
        <v>9272.76</v>
      </c>
      <c r="GN225" s="3">
        <f t="shared" si="238"/>
        <v>0</v>
      </c>
      <c r="GO225" s="3">
        <f t="shared" si="239"/>
        <v>9272.76</v>
      </c>
      <c r="GP225" s="3">
        <f t="shared" si="240"/>
        <v>0</v>
      </c>
      <c r="GR225" s="3">
        <v>0</v>
      </c>
      <c r="GS225" s="3">
        <v>3</v>
      </c>
      <c r="GT225" s="3">
        <v>0</v>
      </c>
      <c r="GU225" s="3" t="s">
        <v>3</v>
      </c>
      <c r="GV225" s="3">
        <f t="shared" si="241"/>
        <v>0</v>
      </c>
      <c r="GW225" s="3">
        <v>1</v>
      </c>
      <c r="GX225" s="3">
        <f t="shared" si="242"/>
        <v>0</v>
      </c>
      <c r="HA225" s="3">
        <v>0</v>
      </c>
      <c r="HB225" s="3">
        <v>0</v>
      </c>
      <c r="HC225" s="3">
        <f t="shared" si="243"/>
        <v>0</v>
      </c>
      <c r="HE225" s="3" t="s">
        <v>3</v>
      </c>
      <c r="HF225" s="3" t="s">
        <v>3</v>
      </c>
      <c r="HM225" s="3" t="s">
        <v>3</v>
      </c>
      <c r="HN225" s="3" t="s">
        <v>3</v>
      </c>
      <c r="HO225" s="3" t="s">
        <v>3</v>
      </c>
      <c r="HP225" s="3" t="s">
        <v>3</v>
      </c>
      <c r="HQ225" s="3" t="s">
        <v>3</v>
      </c>
      <c r="HS225" s="3">
        <v>0</v>
      </c>
      <c r="IK225" s="3">
        <v>0</v>
      </c>
    </row>
    <row r="226" spans="1:255" x14ac:dyDescent="0.2">
      <c r="A226" s="2">
        <v>17</v>
      </c>
      <c r="B226" s="2">
        <v>1</v>
      </c>
      <c r="C226" s="2"/>
      <c r="D226" s="2"/>
      <c r="E226" s="2" t="s">
        <v>3</v>
      </c>
      <c r="F226" s="2" t="s">
        <v>356</v>
      </c>
      <c r="G226" s="2" t="s">
        <v>357</v>
      </c>
      <c r="H226" s="2" t="s">
        <v>67</v>
      </c>
      <c r="I226" s="2">
        <f>ROUND(2640/100,9)</f>
        <v>26.4</v>
      </c>
      <c r="J226" s="2">
        <v>0</v>
      </c>
      <c r="K226" s="2">
        <f>ROUND(2640/100,9)</f>
        <v>26.4</v>
      </c>
      <c r="L226" s="2"/>
      <c r="M226" s="2"/>
      <c r="N226" s="2"/>
      <c r="O226" s="2">
        <f t="shared" si="219"/>
        <v>456.19</v>
      </c>
      <c r="P226" s="2">
        <f t="shared" si="220"/>
        <v>456.19</v>
      </c>
      <c r="Q226" s="2">
        <f t="shared" si="244"/>
        <v>0</v>
      </c>
      <c r="R226" s="2">
        <f t="shared" si="245"/>
        <v>0</v>
      </c>
      <c r="S226" s="2">
        <f t="shared" si="221"/>
        <v>0</v>
      </c>
      <c r="T226" s="2">
        <f t="shared" si="222"/>
        <v>0</v>
      </c>
      <c r="U226" s="2">
        <f t="shared" si="223"/>
        <v>0</v>
      </c>
      <c r="V226" s="2">
        <f t="shared" si="224"/>
        <v>0</v>
      </c>
      <c r="W226" s="2">
        <f t="shared" si="225"/>
        <v>0</v>
      </c>
      <c r="X226" s="2">
        <f t="shared" si="246"/>
        <v>0</v>
      </c>
      <c r="Y226" s="2">
        <f t="shared" si="247"/>
        <v>0</v>
      </c>
      <c r="Z226" s="2"/>
      <c r="AA226" s="2">
        <v>-1</v>
      </c>
      <c r="AB226" s="2">
        <f t="shared" si="226"/>
        <v>17.28</v>
      </c>
      <c r="AC226" s="2">
        <f t="shared" si="248"/>
        <v>17.28</v>
      </c>
      <c r="AD226" s="2">
        <f t="shared" si="249"/>
        <v>0</v>
      </c>
      <c r="AE226" s="2">
        <f t="shared" si="250"/>
        <v>0</v>
      </c>
      <c r="AF226" s="2">
        <f t="shared" si="251"/>
        <v>0</v>
      </c>
      <c r="AG226" s="2">
        <f t="shared" si="227"/>
        <v>0</v>
      </c>
      <c r="AH226" s="2">
        <f t="shared" si="252"/>
        <v>0</v>
      </c>
      <c r="AI226" s="2">
        <f t="shared" si="253"/>
        <v>0</v>
      </c>
      <c r="AJ226" s="2">
        <f t="shared" si="228"/>
        <v>0</v>
      </c>
      <c r="AK226" s="2">
        <v>17.28</v>
      </c>
      <c r="AL226" s="2">
        <v>17.28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1</v>
      </c>
      <c r="AW226" s="2">
        <v>1</v>
      </c>
      <c r="AX226" s="2"/>
      <c r="AY226" s="2"/>
      <c r="AZ226" s="2">
        <v>1</v>
      </c>
      <c r="BA226" s="2">
        <v>1</v>
      </c>
      <c r="BB226" s="2">
        <v>1</v>
      </c>
      <c r="BC226" s="2">
        <v>1</v>
      </c>
      <c r="BD226" s="2" t="s">
        <v>3</v>
      </c>
      <c r="BE226" s="2" t="s">
        <v>3</v>
      </c>
      <c r="BF226" s="2" t="s">
        <v>3</v>
      </c>
      <c r="BG226" s="2" t="s">
        <v>3</v>
      </c>
      <c r="BH226" s="2">
        <v>3</v>
      </c>
      <c r="BI226" s="2">
        <v>2</v>
      </c>
      <c r="BJ226" s="2" t="s">
        <v>358</v>
      </c>
      <c r="BK226" s="2"/>
      <c r="BL226" s="2"/>
      <c r="BM226" s="2">
        <v>1617</v>
      </c>
      <c r="BN226" s="2">
        <v>0</v>
      </c>
      <c r="BO226" s="2" t="s">
        <v>3</v>
      </c>
      <c r="BP226" s="2">
        <v>0</v>
      </c>
      <c r="BQ226" s="2">
        <v>200</v>
      </c>
      <c r="BR226" s="2">
        <v>0</v>
      </c>
      <c r="BS226" s="2">
        <v>1</v>
      </c>
      <c r="BT226" s="2">
        <v>1</v>
      </c>
      <c r="BU226" s="2">
        <v>1</v>
      </c>
      <c r="BV226" s="2">
        <v>1</v>
      </c>
      <c r="BW226" s="2">
        <v>1</v>
      </c>
      <c r="BX226" s="2">
        <v>1</v>
      </c>
      <c r="BY226" s="2" t="s">
        <v>3</v>
      </c>
      <c r="BZ226" s="2">
        <v>0</v>
      </c>
      <c r="CA226" s="2">
        <v>0</v>
      </c>
      <c r="CB226" s="2" t="s">
        <v>3</v>
      </c>
      <c r="CC226" s="2"/>
      <c r="CD226" s="2"/>
      <c r="CE226" s="2">
        <v>1566</v>
      </c>
      <c r="CF226" s="2">
        <v>0</v>
      </c>
      <c r="CG226" s="2">
        <v>0</v>
      </c>
      <c r="CH226" s="2"/>
      <c r="CI226" s="2"/>
      <c r="CJ226" s="2"/>
      <c r="CK226" s="2"/>
      <c r="CL226" s="2"/>
      <c r="CM226" s="2">
        <v>0</v>
      </c>
      <c r="CN226" s="2" t="s">
        <v>3</v>
      </c>
      <c r="CO226" s="2">
        <v>0</v>
      </c>
      <c r="CP226" s="2">
        <f t="shared" si="229"/>
        <v>456.19</v>
      </c>
      <c r="CQ226" s="2">
        <f t="shared" si="230"/>
        <v>17.28</v>
      </c>
      <c r="CR226" s="2">
        <f t="shared" si="254"/>
        <v>0</v>
      </c>
      <c r="CS226" s="2">
        <f t="shared" si="255"/>
        <v>0</v>
      </c>
      <c r="CT226" s="2">
        <f t="shared" si="231"/>
        <v>0</v>
      </c>
      <c r="CU226" s="2">
        <f t="shared" si="232"/>
        <v>0</v>
      </c>
      <c r="CV226" s="2">
        <f t="shared" si="233"/>
        <v>0</v>
      </c>
      <c r="CW226" s="2">
        <f t="shared" si="234"/>
        <v>0</v>
      </c>
      <c r="CX226" s="2">
        <f t="shared" si="235"/>
        <v>0</v>
      </c>
      <c r="CY226" s="2">
        <f t="shared" si="256"/>
        <v>0</v>
      </c>
      <c r="CZ226" s="2">
        <f t="shared" si="257"/>
        <v>0</v>
      </c>
      <c r="DA226" s="2"/>
      <c r="DB226" s="2"/>
      <c r="DC226" s="2" t="s">
        <v>3</v>
      </c>
      <c r="DD226" s="2" t="s">
        <v>3</v>
      </c>
      <c r="DE226" s="2" t="s">
        <v>3</v>
      </c>
      <c r="DF226" s="2" t="s">
        <v>3</v>
      </c>
      <c r="DG226" s="2" t="s">
        <v>3</v>
      </c>
      <c r="DH226" s="2" t="s">
        <v>3</v>
      </c>
      <c r="DI226" s="2" t="s">
        <v>3</v>
      </c>
      <c r="DJ226" s="2" t="s">
        <v>3</v>
      </c>
      <c r="DK226" s="2" t="s">
        <v>3</v>
      </c>
      <c r="DL226" s="2" t="s">
        <v>3</v>
      </c>
      <c r="DM226" s="2" t="s">
        <v>3</v>
      </c>
      <c r="DN226" s="2">
        <v>0</v>
      </c>
      <c r="DO226" s="2">
        <v>0</v>
      </c>
      <c r="DP226" s="2">
        <v>1</v>
      </c>
      <c r="DQ226" s="2">
        <v>1</v>
      </c>
      <c r="DR226" s="2"/>
      <c r="DS226" s="2"/>
      <c r="DT226" s="2"/>
      <c r="DU226" s="2">
        <v>1010</v>
      </c>
      <c r="DV226" s="2" t="s">
        <v>67</v>
      </c>
      <c r="DW226" s="2" t="s">
        <v>67</v>
      </c>
      <c r="DX226" s="2">
        <v>100</v>
      </c>
      <c r="DY226" s="2"/>
      <c r="DZ226" s="2" t="s">
        <v>3</v>
      </c>
      <c r="EA226" s="2" t="s">
        <v>3</v>
      </c>
      <c r="EB226" s="2" t="s">
        <v>3</v>
      </c>
      <c r="EC226" s="2" t="s">
        <v>3</v>
      </c>
      <c r="ED226" s="2"/>
      <c r="EE226" s="2">
        <v>57248778</v>
      </c>
      <c r="EF226" s="2">
        <v>200</v>
      </c>
      <c r="EG226" s="2" t="s">
        <v>353</v>
      </c>
      <c r="EH226" s="2">
        <v>0</v>
      </c>
      <c r="EI226" s="2" t="s">
        <v>3</v>
      </c>
      <c r="EJ226" s="2">
        <v>1</v>
      </c>
      <c r="EK226" s="2">
        <v>1617</v>
      </c>
      <c r="EL226" s="2" t="s">
        <v>354</v>
      </c>
      <c r="EM226" s="2" t="s">
        <v>355</v>
      </c>
      <c r="EN226" s="2"/>
      <c r="EO226" s="2" t="s">
        <v>3</v>
      </c>
      <c r="EP226" s="2"/>
      <c r="EQ226" s="2">
        <v>132096</v>
      </c>
      <c r="ER226" s="2">
        <v>17.28</v>
      </c>
      <c r="ES226" s="2">
        <v>17.28</v>
      </c>
      <c r="ET226" s="2">
        <v>0</v>
      </c>
      <c r="EU226" s="2">
        <v>0</v>
      </c>
      <c r="EV226" s="2">
        <v>0</v>
      </c>
      <c r="EW226" s="2">
        <v>0</v>
      </c>
      <c r="EX226" s="2">
        <v>0</v>
      </c>
      <c r="EY226" s="2">
        <v>0</v>
      </c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>
        <v>0</v>
      </c>
      <c r="FR226" s="2">
        <v>0</v>
      </c>
      <c r="FS226" s="2">
        <v>0</v>
      </c>
      <c r="FT226" s="2"/>
      <c r="FU226" s="2"/>
      <c r="FV226" s="2"/>
      <c r="FW226" s="2"/>
      <c r="FX226" s="2">
        <v>0</v>
      </c>
      <c r="FY226" s="2">
        <v>0</v>
      </c>
      <c r="FZ226" s="2"/>
      <c r="GA226" s="2" t="s">
        <v>3</v>
      </c>
      <c r="GB226" s="2"/>
      <c r="GC226" s="2"/>
      <c r="GD226" s="2">
        <v>1</v>
      </c>
      <c r="GE226" s="2"/>
      <c r="GF226" s="2">
        <v>-2062965048</v>
      </c>
      <c r="GG226" s="2">
        <v>2</v>
      </c>
      <c r="GH226" s="2">
        <v>1</v>
      </c>
      <c r="GI226" s="2">
        <v>-2</v>
      </c>
      <c r="GJ226" s="2">
        <v>0</v>
      </c>
      <c r="GK226" s="2">
        <v>0</v>
      </c>
      <c r="GL226" s="2">
        <f t="shared" si="236"/>
        <v>0</v>
      </c>
      <c r="GM226" s="2">
        <f t="shared" si="237"/>
        <v>456.19</v>
      </c>
      <c r="GN226" s="2">
        <f t="shared" si="238"/>
        <v>0</v>
      </c>
      <c r="GO226" s="2">
        <f t="shared" si="239"/>
        <v>456.19</v>
      </c>
      <c r="GP226" s="2">
        <f t="shared" si="240"/>
        <v>0</v>
      </c>
      <c r="GQ226" s="2"/>
      <c r="GR226" s="2">
        <v>0</v>
      </c>
      <c r="GS226" s="2">
        <v>3</v>
      </c>
      <c r="GT226" s="2">
        <v>0</v>
      </c>
      <c r="GU226" s="2" t="s">
        <v>3</v>
      </c>
      <c r="GV226" s="2">
        <f t="shared" si="241"/>
        <v>0</v>
      </c>
      <c r="GW226" s="2">
        <v>1</v>
      </c>
      <c r="GX226" s="2">
        <f t="shared" si="242"/>
        <v>0</v>
      </c>
      <c r="GY226" s="2"/>
      <c r="GZ226" s="2"/>
      <c r="HA226" s="2">
        <v>0</v>
      </c>
      <c r="HB226" s="2">
        <v>0</v>
      </c>
      <c r="HC226" s="2">
        <f t="shared" si="243"/>
        <v>0</v>
      </c>
      <c r="HD226" s="2"/>
      <c r="HE226" s="2" t="s">
        <v>3</v>
      </c>
      <c r="HF226" s="2" t="s">
        <v>3</v>
      </c>
      <c r="HG226" s="2"/>
      <c r="HH226" s="2"/>
      <c r="HI226" s="2"/>
      <c r="HJ226" s="2"/>
      <c r="HK226" s="2"/>
      <c r="HL226" s="2"/>
      <c r="HM226" s="2" t="s">
        <v>3</v>
      </c>
      <c r="HN226" s="2" t="s">
        <v>3</v>
      </c>
      <c r="HO226" s="2" t="s">
        <v>3</v>
      </c>
      <c r="HP226" s="2" t="s">
        <v>3</v>
      </c>
      <c r="HQ226" s="2" t="s">
        <v>3</v>
      </c>
      <c r="HR226" s="2"/>
      <c r="HS226" s="2">
        <v>0</v>
      </c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>
        <v>0</v>
      </c>
      <c r="IL226" s="2"/>
      <c r="IM226" s="2"/>
      <c r="IN226" s="2"/>
      <c r="IO226" s="2"/>
      <c r="IP226" s="2"/>
      <c r="IQ226" s="2"/>
      <c r="IR226" s="2"/>
      <c r="IS226" s="2"/>
      <c r="IT226" s="2"/>
      <c r="IU226" s="2"/>
    </row>
    <row r="227" spans="1:255" x14ac:dyDescent="0.2">
      <c r="A227" s="3">
        <v>17</v>
      </c>
      <c r="B227" s="3">
        <v>1</v>
      </c>
      <c r="E227" s="3" t="s">
        <v>3</v>
      </c>
      <c r="F227" s="3" t="s">
        <v>356</v>
      </c>
      <c r="G227" s="3" t="s">
        <v>357</v>
      </c>
      <c r="H227" s="3" t="s">
        <v>67</v>
      </c>
      <c r="I227" s="3">
        <f>ROUND(2640/100,9)</f>
        <v>26.4</v>
      </c>
      <c r="J227" s="3">
        <v>0</v>
      </c>
      <c r="K227" s="3">
        <f>ROUND(2640/100,9)</f>
        <v>26.4</v>
      </c>
      <c r="O227" s="3">
        <f t="shared" si="219"/>
        <v>2960.67</v>
      </c>
      <c r="P227" s="3">
        <f t="shared" si="220"/>
        <v>2960.67</v>
      </c>
      <c r="Q227" s="3">
        <f t="shared" si="244"/>
        <v>0</v>
      </c>
      <c r="R227" s="3">
        <f t="shared" si="245"/>
        <v>0</v>
      </c>
      <c r="S227" s="3">
        <f t="shared" si="221"/>
        <v>0</v>
      </c>
      <c r="T227" s="3">
        <f t="shared" si="222"/>
        <v>0</v>
      </c>
      <c r="U227" s="3">
        <f t="shared" si="223"/>
        <v>0</v>
      </c>
      <c r="V227" s="3">
        <f t="shared" si="224"/>
        <v>0</v>
      </c>
      <c r="W227" s="3">
        <f t="shared" si="225"/>
        <v>0</v>
      </c>
      <c r="X227" s="3">
        <f t="shared" si="246"/>
        <v>0</v>
      </c>
      <c r="Y227" s="3">
        <f t="shared" si="247"/>
        <v>0</v>
      </c>
      <c r="AA227" s="3">
        <v>-1</v>
      </c>
      <c r="AB227" s="3">
        <f t="shared" si="226"/>
        <v>17.28</v>
      </c>
      <c r="AC227" s="3">
        <f t="shared" si="248"/>
        <v>17.28</v>
      </c>
      <c r="AD227" s="3">
        <f t="shared" si="249"/>
        <v>0</v>
      </c>
      <c r="AE227" s="3">
        <f t="shared" si="250"/>
        <v>0</v>
      </c>
      <c r="AF227" s="3">
        <f t="shared" si="251"/>
        <v>0</v>
      </c>
      <c r="AG227" s="3">
        <f t="shared" si="227"/>
        <v>0</v>
      </c>
      <c r="AH227" s="3">
        <f t="shared" si="252"/>
        <v>0</v>
      </c>
      <c r="AI227" s="3">
        <f t="shared" si="253"/>
        <v>0</v>
      </c>
      <c r="AJ227" s="3">
        <f t="shared" si="228"/>
        <v>0</v>
      </c>
      <c r="AK227" s="3">
        <v>17.28</v>
      </c>
      <c r="AL227" s="3">
        <v>17.28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1</v>
      </c>
      <c r="AW227" s="3">
        <v>1</v>
      </c>
      <c r="AZ227" s="3">
        <v>1</v>
      </c>
      <c r="BA227" s="3">
        <v>1</v>
      </c>
      <c r="BB227" s="3">
        <v>1</v>
      </c>
      <c r="BC227" s="3">
        <v>6.49</v>
      </c>
      <c r="BD227" s="3" t="s">
        <v>3</v>
      </c>
      <c r="BE227" s="3" t="s">
        <v>3</v>
      </c>
      <c r="BF227" s="3" t="s">
        <v>3</v>
      </c>
      <c r="BG227" s="3" t="s">
        <v>3</v>
      </c>
      <c r="BH227" s="3">
        <v>3</v>
      </c>
      <c r="BI227" s="3">
        <v>2</v>
      </c>
      <c r="BJ227" s="3" t="s">
        <v>358</v>
      </c>
      <c r="BM227" s="3">
        <v>1617</v>
      </c>
      <c r="BN227" s="3">
        <v>0</v>
      </c>
      <c r="BO227" s="3" t="s">
        <v>356</v>
      </c>
      <c r="BP227" s="3">
        <v>1</v>
      </c>
      <c r="BQ227" s="3">
        <v>200</v>
      </c>
      <c r="BR227" s="3">
        <v>0</v>
      </c>
      <c r="BS227" s="3">
        <v>1</v>
      </c>
      <c r="BT227" s="3">
        <v>1</v>
      </c>
      <c r="BU227" s="3">
        <v>1</v>
      </c>
      <c r="BV227" s="3">
        <v>1</v>
      </c>
      <c r="BW227" s="3">
        <v>1</v>
      </c>
      <c r="BX227" s="3">
        <v>1</v>
      </c>
      <c r="BY227" s="3" t="s">
        <v>3</v>
      </c>
      <c r="BZ227" s="3">
        <v>0</v>
      </c>
      <c r="CA227" s="3">
        <v>0</v>
      </c>
      <c r="CB227" s="3" t="s">
        <v>3</v>
      </c>
      <c r="CE227" s="3">
        <v>1566</v>
      </c>
      <c r="CF227" s="3">
        <v>0</v>
      </c>
      <c r="CG227" s="3">
        <v>0</v>
      </c>
      <c r="CM227" s="3">
        <v>0</v>
      </c>
      <c r="CN227" s="3" t="s">
        <v>3</v>
      </c>
      <c r="CO227" s="3">
        <v>0</v>
      </c>
      <c r="CP227" s="3">
        <f t="shared" si="229"/>
        <v>2960.67</v>
      </c>
      <c r="CQ227" s="3">
        <f t="shared" si="230"/>
        <v>112.15</v>
      </c>
      <c r="CR227" s="3">
        <f t="shared" si="254"/>
        <v>0</v>
      </c>
      <c r="CS227" s="3">
        <f t="shared" si="255"/>
        <v>0</v>
      </c>
      <c r="CT227" s="3">
        <f t="shared" si="231"/>
        <v>0</v>
      </c>
      <c r="CU227" s="3">
        <f t="shared" si="232"/>
        <v>0</v>
      </c>
      <c r="CV227" s="3">
        <f t="shared" si="233"/>
        <v>0</v>
      </c>
      <c r="CW227" s="3">
        <f t="shared" si="234"/>
        <v>0</v>
      </c>
      <c r="CX227" s="3">
        <f t="shared" si="235"/>
        <v>0</v>
      </c>
      <c r="CY227" s="3">
        <f t="shared" si="256"/>
        <v>0</v>
      </c>
      <c r="CZ227" s="3">
        <f t="shared" si="257"/>
        <v>0</v>
      </c>
      <c r="DC227" s="3" t="s">
        <v>3</v>
      </c>
      <c r="DD227" s="3" t="s">
        <v>3</v>
      </c>
      <c r="DE227" s="3" t="s">
        <v>3</v>
      </c>
      <c r="DF227" s="3" t="s">
        <v>3</v>
      </c>
      <c r="DG227" s="3" t="s">
        <v>3</v>
      </c>
      <c r="DH227" s="3" t="s">
        <v>3</v>
      </c>
      <c r="DI227" s="3" t="s">
        <v>3</v>
      </c>
      <c r="DJ227" s="3" t="s">
        <v>3</v>
      </c>
      <c r="DK227" s="3" t="s">
        <v>3</v>
      </c>
      <c r="DL227" s="3" t="s">
        <v>3</v>
      </c>
      <c r="DM227" s="3" t="s">
        <v>3</v>
      </c>
      <c r="DN227" s="3">
        <v>0</v>
      </c>
      <c r="DO227" s="3">
        <v>0</v>
      </c>
      <c r="DP227" s="3">
        <v>1</v>
      </c>
      <c r="DQ227" s="3">
        <v>1</v>
      </c>
      <c r="DU227" s="3">
        <v>1010</v>
      </c>
      <c r="DV227" s="3" t="s">
        <v>67</v>
      </c>
      <c r="DW227" s="3" t="s">
        <v>67</v>
      </c>
      <c r="DX227" s="3">
        <v>100</v>
      </c>
      <c r="DZ227" s="3" t="s">
        <v>3</v>
      </c>
      <c r="EA227" s="3" t="s">
        <v>3</v>
      </c>
      <c r="EB227" s="3" t="s">
        <v>3</v>
      </c>
      <c r="EC227" s="3" t="s">
        <v>3</v>
      </c>
      <c r="EE227" s="3">
        <v>57248778</v>
      </c>
      <c r="EF227" s="3">
        <v>200</v>
      </c>
      <c r="EG227" s="3" t="s">
        <v>353</v>
      </c>
      <c r="EH227" s="3">
        <v>0</v>
      </c>
      <c r="EI227" s="3" t="s">
        <v>3</v>
      </c>
      <c r="EJ227" s="3">
        <v>1</v>
      </c>
      <c r="EK227" s="3">
        <v>1617</v>
      </c>
      <c r="EL227" s="3" t="s">
        <v>354</v>
      </c>
      <c r="EM227" s="3" t="s">
        <v>355</v>
      </c>
      <c r="EO227" s="3" t="s">
        <v>3</v>
      </c>
      <c r="EQ227" s="3">
        <v>132096</v>
      </c>
      <c r="ER227" s="3">
        <v>17.28</v>
      </c>
      <c r="ES227" s="3">
        <v>17.28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FQ227" s="3">
        <v>0</v>
      </c>
      <c r="FR227" s="3">
        <v>0</v>
      </c>
      <c r="FS227" s="3">
        <v>0</v>
      </c>
      <c r="FX227" s="3">
        <v>0</v>
      </c>
      <c r="FY227" s="3">
        <v>0</v>
      </c>
      <c r="GA227" s="3" t="s">
        <v>3</v>
      </c>
      <c r="GD227" s="3">
        <v>1</v>
      </c>
      <c r="GF227" s="3">
        <v>-2062965048</v>
      </c>
      <c r="GG227" s="3">
        <v>2</v>
      </c>
      <c r="GH227" s="3">
        <v>1</v>
      </c>
      <c r="GI227" s="3">
        <v>2</v>
      </c>
      <c r="GJ227" s="3">
        <v>0</v>
      </c>
      <c r="GK227" s="3">
        <v>0</v>
      </c>
      <c r="GL227" s="3">
        <f t="shared" si="236"/>
        <v>0</v>
      </c>
      <c r="GM227" s="3">
        <f t="shared" si="237"/>
        <v>2960.67</v>
      </c>
      <c r="GN227" s="3">
        <f t="shared" si="238"/>
        <v>0</v>
      </c>
      <c r="GO227" s="3">
        <f t="shared" si="239"/>
        <v>2960.67</v>
      </c>
      <c r="GP227" s="3">
        <f t="shared" si="240"/>
        <v>0</v>
      </c>
      <c r="GR227" s="3">
        <v>0</v>
      </c>
      <c r="GS227" s="3">
        <v>3</v>
      </c>
      <c r="GT227" s="3">
        <v>0</v>
      </c>
      <c r="GU227" s="3" t="s">
        <v>3</v>
      </c>
      <c r="GV227" s="3">
        <f t="shared" si="241"/>
        <v>0</v>
      </c>
      <c r="GW227" s="3">
        <v>1</v>
      </c>
      <c r="GX227" s="3">
        <f t="shared" si="242"/>
        <v>0</v>
      </c>
      <c r="HA227" s="3">
        <v>0</v>
      </c>
      <c r="HB227" s="3">
        <v>0</v>
      </c>
      <c r="HC227" s="3">
        <f t="shared" si="243"/>
        <v>0</v>
      </c>
      <c r="HE227" s="3" t="s">
        <v>3</v>
      </c>
      <c r="HF227" s="3" t="s">
        <v>3</v>
      </c>
      <c r="HM227" s="3" t="s">
        <v>3</v>
      </c>
      <c r="HN227" s="3" t="s">
        <v>3</v>
      </c>
      <c r="HO227" s="3" t="s">
        <v>3</v>
      </c>
      <c r="HP227" s="3" t="s">
        <v>3</v>
      </c>
      <c r="HQ227" s="3" t="s">
        <v>3</v>
      </c>
      <c r="HS227" s="3">
        <v>0</v>
      </c>
      <c r="IK227" s="3">
        <v>0</v>
      </c>
    </row>
    <row r="228" spans="1:255" x14ac:dyDescent="0.2">
      <c r="A228" s="2">
        <v>17</v>
      </c>
      <c r="B228" s="2">
        <v>1</v>
      </c>
      <c r="C228" s="2">
        <f>ROW(SmtRes!A274)</f>
        <v>274</v>
      </c>
      <c r="D228" s="2">
        <f>ROW(EtalonRes!A340)</f>
        <v>340</v>
      </c>
      <c r="E228" s="2" t="s">
        <v>359</v>
      </c>
      <c r="F228" s="2" t="s">
        <v>129</v>
      </c>
      <c r="G228" s="2" t="s">
        <v>130</v>
      </c>
      <c r="H228" s="2" t="s">
        <v>117</v>
      </c>
      <c r="I228" s="2">
        <f>ROUND(642/100,9)</f>
        <v>6.42</v>
      </c>
      <c r="J228" s="2">
        <v>0</v>
      </c>
      <c r="K228" s="2">
        <f>ROUND(642/100,9)</f>
        <v>6.42</v>
      </c>
      <c r="L228" s="2"/>
      <c r="M228" s="2"/>
      <c r="N228" s="2"/>
      <c r="O228" s="2">
        <f t="shared" si="219"/>
        <v>2530.4699999999998</v>
      </c>
      <c r="P228" s="2">
        <f t="shared" si="220"/>
        <v>124.68</v>
      </c>
      <c r="Q228" s="2">
        <f>(ROUND((ROUND((((ET228*1.2))*AV228*I228),2)*BB228),2)+ROUND((ROUND(((AE228-((EU228*1.2)))*AV228*I228),2)*BS228),2))</f>
        <v>32.67</v>
      </c>
      <c r="R228" s="2">
        <f>(ROUND((ROUND((((EU228*1.2))*AV228*I228),2)*BS228),2)+ROUND((ROUND(((AE228-((EU228*1.2)))*AV228*I228),2)*BS228),2))</f>
        <v>0</v>
      </c>
      <c r="S228" s="2">
        <f t="shared" si="221"/>
        <v>2373.12</v>
      </c>
      <c r="T228" s="2">
        <f t="shared" si="222"/>
        <v>0</v>
      </c>
      <c r="U228" s="2">
        <f t="shared" si="223"/>
        <v>199.71633888</v>
      </c>
      <c r="V228" s="2">
        <f t="shared" si="224"/>
        <v>0</v>
      </c>
      <c r="W228" s="2">
        <f t="shared" si="225"/>
        <v>0</v>
      </c>
      <c r="X228" s="2">
        <f>(ROUND((((S228+ROUND((ROUND((((EU228*1.2))*AV228*I228),2)*BS228),2))*AT228)/100),2)+ROUND(((ROUND((ROUND(((AE228-((EU228*1.2)))*AV228*I228),2)*BS228),2)*AT228)/100),2))</f>
        <v>2135.81</v>
      </c>
      <c r="Y228" s="2">
        <f>(ROUND((((S228+ROUND((ROUND((((EU228*1.2))*AV228*I228),2)*BS228),2))*AU228)/100),2)+ROUND(((ROUND((ROUND(((AE228-((EU228*1.2)))*AV228*I228),2)*BS228),2)*AU228)/100),2))</f>
        <v>1091.6400000000001</v>
      </c>
      <c r="Z228" s="2"/>
      <c r="AA228" s="2">
        <v>57248835</v>
      </c>
      <c r="AB228" s="2">
        <f t="shared" si="226"/>
        <v>377.33199999999999</v>
      </c>
      <c r="AC228" s="2">
        <f>ROUND(((ES228*1)),6)</f>
        <v>19.420000000000002</v>
      </c>
      <c r="AD228" s="2">
        <f>ROUND(((((ET228*1.2))-((EU228*1.2)))+AE228),6)</f>
        <v>4.8600000000000003</v>
      </c>
      <c r="AE228" s="2">
        <f>ROUND(((EU228*1.2)),6)</f>
        <v>0</v>
      </c>
      <c r="AF228" s="2">
        <f>ROUND(((EV228*1.2)),6)</f>
        <v>353.05200000000002</v>
      </c>
      <c r="AG228" s="2">
        <f t="shared" si="227"/>
        <v>0</v>
      </c>
      <c r="AH228" s="2">
        <f>((EW228*1.2))</f>
        <v>29.712</v>
      </c>
      <c r="AI228" s="2">
        <f>((EX228*1.2))</f>
        <v>0</v>
      </c>
      <c r="AJ228" s="2">
        <f t="shared" si="228"/>
        <v>0</v>
      </c>
      <c r="AK228" s="2">
        <v>317.68</v>
      </c>
      <c r="AL228" s="2">
        <v>19.420000000000002</v>
      </c>
      <c r="AM228" s="2">
        <v>4.05</v>
      </c>
      <c r="AN228" s="2">
        <v>0</v>
      </c>
      <c r="AO228" s="2">
        <v>294.20999999999998</v>
      </c>
      <c r="AP228" s="2">
        <v>0</v>
      </c>
      <c r="AQ228" s="2">
        <v>24.76</v>
      </c>
      <c r="AR228" s="2">
        <v>0</v>
      </c>
      <c r="AS228" s="2">
        <v>0</v>
      </c>
      <c r="AT228" s="2">
        <v>90</v>
      </c>
      <c r="AU228" s="2">
        <v>46</v>
      </c>
      <c r="AV228" s="2">
        <v>1.0469999999999999</v>
      </c>
      <c r="AW228" s="2">
        <v>1</v>
      </c>
      <c r="AX228" s="2"/>
      <c r="AY228" s="2"/>
      <c r="AZ228" s="2">
        <v>1</v>
      </c>
      <c r="BA228" s="2">
        <v>1</v>
      </c>
      <c r="BB228" s="2">
        <v>1</v>
      </c>
      <c r="BC228" s="2">
        <v>1</v>
      </c>
      <c r="BD228" s="2" t="s">
        <v>3</v>
      </c>
      <c r="BE228" s="2" t="s">
        <v>3</v>
      </c>
      <c r="BF228" s="2" t="s">
        <v>3</v>
      </c>
      <c r="BG228" s="2" t="s">
        <v>3</v>
      </c>
      <c r="BH228" s="2">
        <v>0</v>
      </c>
      <c r="BI228" s="2">
        <v>2</v>
      </c>
      <c r="BJ228" s="2" t="s">
        <v>131</v>
      </c>
      <c r="BK228" s="2"/>
      <c r="BL228" s="2"/>
      <c r="BM228" s="2">
        <v>68</v>
      </c>
      <c r="BN228" s="2">
        <v>0</v>
      </c>
      <c r="BO228" s="2" t="s">
        <v>129</v>
      </c>
      <c r="BP228" s="2">
        <v>1</v>
      </c>
      <c r="BQ228" s="2">
        <v>40</v>
      </c>
      <c r="BR228" s="2">
        <v>0</v>
      </c>
      <c r="BS228" s="2">
        <v>1</v>
      </c>
      <c r="BT228" s="2">
        <v>1</v>
      </c>
      <c r="BU228" s="2">
        <v>1</v>
      </c>
      <c r="BV228" s="2">
        <v>1</v>
      </c>
      <c r="BW228" s="2">
        <v>1</v>
      </c>
      <c r="BX228" s="2">
        <v>1</v>
      </c>
      <c r="BY228" s="2" t="s">
        <v>3</v>
      </c>
      <c r="BZ228" s="2">
        <v>90</v>
      </c>
      <c r="CA228" s="2">
        <v>46</v>
      </c>
      <c r="CB228" s="2" t="s">
        <v>3</v>
      </c>
      <c r="CC228" s="2"/>
      <c r="CD228" s="2"/>
      <c r="CE228" s="2">
        <v>1566</v>
      </c>
      <c r="CF228" s="2">
        <v>0</v>
      </c>
      <c r="CG228" s="2">
        <v>0</v>
      </c>
      <c r="CH228" s="2"/>
      <c r="CI228" s="2"/>
      <c r="CJ228" s="2"/>
      <c r="CK228" s="2"/>
      <c r="CL228" s="2"/>
      <c r="CM228" s="2">
        <v>0</v>
      </c>
      <c r="CN228" s="2" t="s">
        <v>820</v>
      </c>
      <c r="CO228" s="2">
        <v>0</v>
      </c>
      <c r="CP228" s="2">
        <f t="shared" si="229"/>
        <v>2530.4699999999998</v>
      </c>
      <c r="CQ228" s="2">
        <f t="shared" si="230"/>
        <v>19.420000000000002</v>
      </c>
      <c r="CR228" s="2">
        <f>(ROUND((ROUND((((ET228*1.2))*AV228*1),2)*BB228),2)+ROUND((ROUND(((AE228-((EU228*1.2)))*AV228*1),2)*BS228),2))</f>
        <v>5.09</v>
      </c>
      <c r="CS228" s="2">
        <f>(ROUND((ROUND((((EU228*1.2))*AV228*1),2)*BS228),2)+ROUND((ROUND(((AE228-((EU228*1.2)))*AV228*1),2)*BS228),2))</f>
        <v>0</v>
      </c>
      <c r="CT228" s="2">
        <f t="shared" si="231"/>
        <v>369.65</v>
      </c>
      <c r="CU228" s="2">
        <f t="shared" si="232"/>
        <v>0</v>
      </c>
      <c r="CV228" s="2">
        <f t="shared" si="233"/>
        <v>31.108463999999998</v>
      </c>
      <c r="CW228" s="2">
        <f t="shared" si="234"/>
        <v>0</v>
      </c>
      <c r="CX228" s="2">
        <f t="shared" si="235"/>
        <v>0</v>
      </c>
      <c r="CY228" s="2">
        <f>(ROUND((((S228+ROUND((ROUND((((EU228*1.2))*AV228*1),2)*BS228),2))*AT228)/100),2)+ROUND(((ROUND((ROUND(((AE228-((EU228*1.2)))*AV228*1),2)*BS228),2)*AT228)/100),2))</f>
        <v>2135.81</v>
      </c>
      <c r="CZ228" s="2">
        <f>(ROUND((((S228+ROUND((ROUND((((EU228*1.2))*AV228*1),2)*BS228),2))*AU228)/100),2)+ROUND(((ROUND((ROUND(((AE228-((EU228*1.2)))*AV228*1),2)*BS228),2)*AU228)/100),2))</f>
        <v>1091.6400000000001</v>
      </c>
      <c r="DA228" s="2"/>
      <c r="DB228" s="2">
        <v>107</v>
      </c>
      <c r="DC228" s="2" t="s">
        <v>3</v>
      </c>
      <c r="DD228" s="2" t="s">
        <v>119</v>
      </c>
      <c r="DE228" s="2" t="s">
        <v>120</v>
      </c>
      <c r="DF228" s="2" t="s">
        <v>120</v>
      </c>
      <c r="DG228" s="2" t="s">
        <v>120</v>
      </c>
      <c r="DH228" s="2" t="s">
        <v>3</v>
      </c>
      <c r="DI228" s="2" t="s">
        <v>120</v>
      </c>
      <c r="DJ228" s="2" t="s">
        <v>120</v>
      </c>
      <c r="DK228" s="2" t="s">
        <v>3</v>
      </c>
      <c r="DL228" s="2" t="s">
        <v>3</v>
      </c>
      <c r="DM228" s="2" t="s">
        <v>3</v>
      </c>
      <c r="DN228" s="2">
        <v>0</v>
      </c>
      <c r="DO228" s="2">
        <v>0</v>
      </c>
      <c r="DP228" s="2">
        <v>1</v>
      </c>
      <c r="DQ228" s="2">
        <v>1</v>
      </c>
      <c r="DR228" s="2"/>
      <c r="DS228" s="2"/>
      <c r="DT228" s="2"/>
      <c r="DU228" s="2">
        <v>1003</v>
      </c>
      <c r="DV228" s="2" t="s">
        <v>117</v>
      </c>
      <c r="DW228" s="2" t="s">
        <v>117</v>
      </c>
      <c r="DX228" s="2">
        <v>100</v>
      </c>
      <c r="DY228" s="2"/>
      <c r="DZ228" s="2" t="s">
        <v>3</v>
      </c>
      <c r="EA228" s="2" t="s">
        <v>3</v>
      </c>
      <c r="EB228" s="2" t="s">
        <v>3</v>
      </c>
      <c r="EC228" s="2" t="s">
        <v>3</v>
      </c>
      <c r="ED228" s="2"/>
      <c r="EE228" s="2">
        <v>57248652</v>
      </c>
      <c r="EF228" s="2">
        <v>40</v>
      </c>
      <c r="EG228" s="2" t="s">
        <v>33</v>
      </c>
      <c r="EH228" s="2">
        <v>0</v>
      </c>
      <c r="EI228" s="2" t="s">
        <v>3</v>
      </c>
      <c r="EJ228" s="2">
        <v>2</v>
      </c>
      <c r="EK228" s="2">
        <v>68</v>
      </c>
      <c r="EL228" s="2" t="s">
        <v>34</v>
      </c>
      <c r="EM228" s="2" t="s">
        <v>35</v>
      </c>
      <c r="EN228" s="2"/>
      <c r="EO228" s="2" t="s">
        <v>124</v>
      </c>
      <c r="EP228" s="2"/>
      <c r="EQ228" s="2">
        <v>0</v>
      </c>
      <c r="ER228" s="2">
        <v>317.68</v>
      </c>
      <c r="ES228" s="2">
        <v>19.420000000000002</v>
      </c>
      <c r="ET228" s="2">
        <v>4.05</v>
      </c>
      <c r="EU228" s="2">
        <v>0</v>
      </c>
      <c r="EV228" s="2">
        <v>294.20999999999998</v>
      </c>
      <c r="EW228" s="2">
        <v>24.76</v>
      </c>
      <c r="EX228" s="2">
        <v>0</v>
      </c>
      <c r="EY228" s="2">
        <v>0</v>
      </c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>
        <v>0</v>
      </c>
      <c r="FR228" s="2">
        <v>0</v>
      </c>
      <c r="FS228" s="2">
        <v>0</v>
      </c>
      <c r="FT228" s="2"/>
      <c r="FU228" s="2"/>
      <c r="FV228" s="2"/>
      <c r="FW228" s="2"/>
      <c r="FX228" s="2">
        <v>90</v>
      </c>
      <c r="FY228" s="2">
        <v>46</v>
      </c>
      <c r="FZ228" s="2"/>
      <c r="GA228" s="2" t="s">
        <v>3</v>
      </c>
      <c r="GB228" s="2"/>
      <c r="GC228" s="2"/>
      <c r="GD228" s="2">
        <v>1</v>
      </c>
      <c r="GE228" s="2"/>
      <c r="GF228" s="2">
        <v>905116027</v>
      </c>
      <c r="GG228" s="2">
        <v>2</v>
      </c>
      <c r="GH228" s="2">
        <v>1</v>
      </c>
      <c r="GI228" s="2">
        <v>2</v>
      </c>
      <c r="GJ228" s="2">
        <v>0</v>
      </c>
      <c r="GK228" s="2">
        <v>0</v>
      </c>
      <c r="GL228" s="2">
        <f t="shared" si="236"/>
        <v>0</v>
      </c>
      <c r="GM228" s="2">
        <f t="shared" si="237"/>
        <v>5757.92</v>
      </c>
      <c r="GN228" s="2">
        <f t="shared" si="238"/>
        <v>0</v>
      </c>
      <c r="GO228" s="2">
        <f t="shared" si="239"/>
        <v>5757.92</v>
      </c>
      <c r="GP228" s="2">
        <f t="shared" si="240"/>
        <v>0</v>
      </c>
      <c r="GQ228" s="2"/>
      <c r="GR228" s="2">
        <v>0</v>
      </c>
      <c r="GS228" s="2">
        <v>3</v>
      </c>
      <c r="GT228" s="2">
        <v>0</v>
      </c>
      <c r="GU228" s="2" t="s">
        <v>3</v>
      </c>
      <c r="GV228" s="2">
        <f t="shared" si="241"/>
        <v>0</v>
      </c>
      <c r="GW228" s="2">
        <v>1</v>
      </c>
      <c r="GX228" s="2">
        <f t="shared" si="242"/>
        <v>0</v>
      </c>
      <c r="GY228" s="2"/>
      <c r="GZ228" s="2"/>
      <c r="HA228" s="2">
        <v>0</v>
      </c>
      <c r="HB228" s="2">
        <v>0</v>
      </c>
      <c r="HC228" s="2">
        <f t="shared" si="243"/>
        <v>0</v>
      </c>
      <c r="HD228" s="2"/>
      <c r="HE228" s="2" t="s">
        <v>3</v>
      </c>
      <c r="HF228" s="2" t="s">
        <v>3</v>
      </c>
      <c r="HG228" s="2"/>
      <c r="HH228" s="2"/>
      <c r="HI228" s="2"/>
      <c r="HJ228" s="2"/>
      <c r="HK228" s="2"/>
      <c r="HL228" s="2"/>
      <c r="HM228" s="2" t="s">
        <v>3</v>
      </c>
      <c r="HN228" s="2" t="s">
        <v>3</v>
      </c>
      <c r="HO228" s="2" t="s">
        <v>3</v>
      </c>
      <c r="HP228" s="2" t="s">
        <v>3</v>
      </c>
      <c r="HQ228" s="2" t="s">
        <v>3</v>
      </c>
      <c r="HR228" s="2"/>
      <c r="HS228" s="2">
        <v>0</v>
      </c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>
        <v>0</v>
      </c>
      <c r="IL228" s="2"/>
      <c r="IM228" s="2"/>
      <c r="IN228" s="2"/>
      <c r="IO228" s="2"/>
      <c r="IP228" s="2"/>
      <c r="IQ228" s="2"/>
      <c r="IR228" s="2"/>
      <c r="IS228" s="2"/>
      <c r="IT228" s="2"/>
      <c r="IU228" s="2"/>
    </row>
    <row r="229" spans="1:255" x14ac:dyDescent="0.2">
      <c r="A229" s="3">
        <v>17</v>
      </c>
      <c r="B229" s="3">
        <v>1</v>
      </c>
      <c r="C229" s="3">
        <f>ROW(SmtRes!A284)</f>
        <v>284</v>
      </c>
      <c r="D229" s="3">
        <f>ROW(EtalonRes!A350)</f>
        <v>350</v>
      </c>
      <c r="E229" s="3" t="s">
        <v>359</v>
      </c>
      <c r="F229" s="3" t="s">
        <v>129</v>
      </c>
      <c r="G229" s="3" t="s">
        <v>130</v>
      </c>
      <c r="H229" s="3" t="s">
        <v>117</v>
      </c>
      <c r="I229" s="3">
        <f>ROUND(642/100,9)</f>
        <v>6.42</v>
      </c>
      <c r="J229" s="3">
        <v>0</v>
      </c>
      <c r="K229" s="3">
        <f>ROUND(642/100,9)</f>
        <v>6.42</v>
      </c>
      <c r="O229" s="3">
        <f t="shared" si="219"/>
        <v>134855.01</v>
      </c>
      <c r="P229" s="3">
        <f t="shared" si="220"/>
        <v>815.41</v>
      </c>
      <c r="Q229" s="3">
        <f>(ROUND((ROUND((((ET229*1.2))*AV229*I229),2)*BB229),2)+ROUND((ROUND(((AE229-((EU229*1.2)))*AV229*I229),2)*BS229),2))</f>
        <v>314.29000000000002</v>
      </c>
      <c r="R229" s="3">
        <f>(ROUND((ROUND((((EU229*1.2))*AV229*I229),2)*BS229),2)+ROUND((ROUND(((AE229-((EU229*1.2)))*AV229*I229),2)*BS229),2))</f>
        <v>0</v>
      </c>
      <c r="S229" s="3">
        <f t="shared" si="221"/>
        <v>133725.31</v>
      </c>
      <c r="T229" s="3">
        <f t="shared" si="222"/>
        <v>0</v>
      </c>
      <c r="U229" s="3">
        <f t="shared" si="223"/>
        <v>199.71633888</v>
      </c>
      <c r="V229" s="3">
        <f t="shared" si="224"/>
        <v>0</v>
      </c>
      <c r="W229" s="3">
        <f t="shared" si="225"/>
        <v>0</v>
      </c>
      <c r="X229" s="3">
        <f>(ROUND((((S229+ROUND((ROUND((((EU229*1.2))*AV229*I229),2)*BS229),2))*AT229)/100),2)+ROUND(((ROUND((ROUND(((AE229-((EU229*1.2)))*AV229*I229),2)*BS229),2)*AT229)/100),2))</f>
        <v>120352.78</v>
      </c>
      <c r="Y229" s="3">
        <f>(ROUND((((S229+ROUND((ROUND((((EU229*1.2))*AV229*I229),2)*BS229),2))*AU229)/100),2)+ROUND(((ROUND((ROUND(((AE229-((EU229*1.2)))*AV229*I229),2)*BS229),2)*AU229)/100),2))</f>
        <v>61513.64</v>
      </c>
      <c r="AA229" s="3">
        <v>57248837</v>
      </c>
      <c r="AB229" s="3">
        <f t="shared" si="226"/>
        <v>377.33199999999999</v>
      </c>
      <c r="AC229" s="3">
        <f>ROUND(((ES229*1)),6)</f>
        <v>19.420000000000002</v>
      </c>
      <c r="AD229" s="3">
        <f>ROUND(((((ET229*1.2))-((EU229*1.2)))+AE229),6)</f>
        <v>4.8600000000000003</v>
      </c>
      <c r="AE229" s="3">
        <f>ROUND(((EU229*1.2)),6)</f>
        <v>0</v>
      </c>
      <c r="AF229" s="3">
        <f>ROUND(((EV229*1.2)),6)</f>
        <v>353.05200000000002</v>
      </c>
      <c r="AG229" s="3">
        <f t="shared" si="227"/>
        <v>0</v>
      </c>
      <c r="AH229" s="3">
        <f>((EW229*1.2))</f>
        <v>29.712</v>
      </c>
      <c r="AI229" s="3">
        <f>((EX229*1.2))</f>
        <v>0</v>
      </c>
      <c r="AJ229" s="3">
        <f t="shared" si="228"/>
        <v>0</v>
      </c>
      <c r="AK229" s="3">
        <v>317.68</v>
      </c>
      <c r="AL229" s="3">
        <v>19.420000000000002</v>
      </c>
      <c r="AM229" s="3">
        <v>4.05</v>
      </c>
      <c r="AN229" s="3">
        <v>0</v>
      </c>
      <c r="AO229" s="3">
        <v>294.20999999999998</v>
      </c>
      <c r="AP229" s="3">
        <v>0</v>
      </c>
      <c r="AQ229" s="3">
        <v>24.76</v>
      </c>
      <c r="AR229" s="3">
        <v>0</v>
      </c>
      <c r="AS229" s="3">
        <v>0</v>
      </c>
      <c r="AT229" s="3">
        <v>90</v>
      </c>
      <c r="AU229" s="3">
        <v>46</v>
      </c>
      <c r="AV229" s="3">
        <v>1.0469999999999999</v>
      </c>
      <c r="AW229" s="3">
        <v>1</v>
      </c>
      <c r="AZ229" s="3">
        <v>1</v>
      </c>
      <c r="BA229" s="3">
        <v>56.35</v>
      </c>
      <c r="BB229" s="3">
        <v>9.6199999999999992</v>
      </c>
      <c r="BC229" s="3">
        <v>6.54</v>
      </c>
      <c r="BD229" s="3" t="s">
        <v>3</v>
      </c>
      <c r="BE229" s="3" t="s">
        <v>3</v>
      </c>
      <c r="BF229" s="3" t="s">
        <v>3</v>
      </c>
      <c r="BG229" s="3" t="s">
        <v>3</v>
      </c>
      <c r="BH229" s="3">
        <v>0</v>
      </c>
      <c r="BI229" s="3">
        <v>2</v>
      </c>
      <c r="BJ229" s="3" t="s">
        <v>131</v>
      </c>
      <c r="BM229" s="3">
        <v>68</v>
      </c>
      <c r="BN229" s="3">
        <v>0</v>
      </c>
      <c r="BO229" s="3" t="s">
        <v>129</v>
      </c>
      <c r="BP229" s="3">
        <v>1</v>
      </c>
      <c r="BQ229" s="3">
        <v>40</v>
      </c>
      <c r="BR229" s="3">
        <v>0</v>
      </c>
      <c r="BS229" s="3">
        <v>56.35</v>
      </c>
      <c r="BT229" s="3">
        <v>1</v>
      </c>
      <c r="BU229" s="3">
        <v>1</v>
      </c>
      <c r="BV229" s="3">
        <v>1</v>
      </c>
      <c r="BW229" s="3">
        <v>1</v>
      </c>
      <c r="BX229" s="3">
        <v>1</v>
      </c>
      <c r="BY229" s="3" t="s">
        <v>3</v>
      </c>
      <c r="BZ229" s="3">
        <v>90</v>
      </c>
      <c r="CA229" s="3">
        <v>46</v>
      </c>
      <c r="CB229" s="3" t="s">
        <v>3</v>
      </c>
      <c r="CE229" s="3">
        <v>1566</v>
      </c>
      <c r="CF229" s="3">
        <v>0</v>
      </c>
      <c r="CG229" s="3">
        <v>0</v>
      </c>
      <c r="CM229" s="3">
        <v>0</v>
      </c>
      <c r="CN229" s="3" t="s">
        <v>820</v>
      </c>
      <c r="CO229" s="3">
        <v>0</v>
      </c>
      <c r="CP229" s="3">
        <f t="shared" si="229"/>
        <v>134855.01</v>
      </c>
      <c r="CQ229" s="3">
        <f t="shared" si="230"/>
        <v>127.01</v>
      </c>
      <c r="CR229" s="3">
        <f>(ROUND((ROUND((((ET229*1.2))*AV229*1),2)*BB229),2)+ROUND((ROUND(((AE229-((EU229*1.2)))*AV229*1),2)*BS229),2))</f>
        <v>48.97</v>
      </c>
      <c r="CS229" s="3">
        <f>(ROUND((ROUND((((EU229*1.2))*AV229*1),2)*BS229),2)+ROUND((ROUND(((AE229-((EU229*1.2)))*AV229*1),2)*BS229),2))</f>
        <v>0</v>
      </c>
      <c r="CT229" s="3">
        <f t="shared" si="231"/>
        <v>20829.78</v>
      </c>
      <c r="CU229" s="3">
        <f t="shared" si="232"/>
        <v>0</v>
      </c>
      <c r="CV229" s="3">
        <f t="shared" si="233"/>
        <v>31.108463999999998</v>
      </c>
      <c r="CW229" s="3">
        <f t="shared" si="234"/>
        <v>0</v>
      </c>
      <c r="CX229" s="3">
        <f t="shared" si="235"/>
        <v>0</v>
      </c>
      <c r="CY229" s="3">
        <f>(ROUND((((S229+ROUND((ROUND((((EU229*1.2))*AV229*1),2)*BS229),2))*AT229)/100),2)+ROUND(((ROUND((ROUND(((AE229-((EU229*1.2)))*AV229*1),2)*BS229),2)*AT229)/100),2))</f>
        <v>120352.78</v>
      </c>
      <c r="CZ229" s="3">
        <f>(ROUND((((S229+ROUND((ROUND((((EU229*1.2))*AV229*1),2)*BS229),2))*AU229)/100),2)+ROUND(((ROUND((ROUND(((AE229-((EU229*1.2)))*AV229*1),2)*BS229),2)*AU229)/100),2))</f>
        <v>61513.64</v>
      </c>
      <c r="DB229" s="3">
        <v>108</v>
      </c>
      <c r="DC229" s="3" t="s">
        <v>3</v>
      </c>
      <c r="DD229" s="3" t="s">
        <v>119</v>
      </c>
      <c r="DE229" s="3" t="s">
        <v>120</v>
      </c>
      <c r="DF229" s="3" t="s">
        <v>120</v>
      </c>
      <c r="DG229" s="3" t="s">
        <v>120</v>
      </c>
      <c r="DH229" s="3" t="s">
        <v>3</v>
      </c>
      <c r="DI229" s="3" t="s">
        <v>120</v>
      </c>
      <c r="DJ229" s="3" t="s">
        <v>120</v>
      </c>
      <c r="DK229" s="3" t="s">
        <v>3</v>
      </c>
      <c r="DL229" s="3" t="s">
        <v>3</v>
      </c>
      <c r="DM229" s="3" t="s">
        <v>3</v>
      </c>
      <c r="DN229" s="3">
        <v>0</v>
      </c>
      <c r="DO229" s="3">
        <v>0</v>
      </c>
      <c r="DP229" s="3">
        <v>1</v>
      </c>
      <c r="DQ229" s="3">
        <v>1</v>
      </c>
      <c r="DU229" s="3">
        <v>1003</v>
      </c>
      <c r="DV229" s="3" t="s">
        <v>117</v>
      </c>
      <c r="DW229" s="3" t="s">
        <v>117</v>
      </c>
      <c r="DX229" s="3">
        <v>100</v>
      </c>
      <c r="DZ229" s="3" t="s">
        <v>3</v>
      </c>
      <c r="EA229" s="3" t="s">
        <v>3</v>
      </c>
      <c r="EB229" s="3" t="s">
        <v>3</v>
      </c>
      <c r="EC229" s="3" t="s">
        <v>3</v>
      </c>
      <c r="EE229" s="3">
        <v>57248652</v>
      </c>
      <c r="EF229" s="3">
        <v>40</v>
      </c>
      <c r="EG229" s="3" t="s">
        <v>33</v>
      </c>
      <c r="EH229" s="3">
        <v>0</v>
      </c>
      <c r="EI229" s="3" t="s">
        <v>3</v>
      </c>
      <c r="EJ229" s="3">
        <v>2</v>
      </c>
      <c r="EK229" s="3">
        <v>68</v>
      </c>
      <c r="EL229" s="3" t="s">
        <v>34</v>
      </c>
      <c r="EM229" s="3" t="s">
        <v>35</v>
      </c>
      <c r="EO229" s="3" t="s">
        <v>124</v>
      </c>
      <c r="EQ229" s="3">
        <v>0</v>
      </c>
      <c r="ER229" s="3">
        <v>317.68</v>
      </c>
      <c r="ES229" s="3">
        <v>19.420000000000002</v>
      </c>
      <c r="ET229" s="3">
        <v>4.05</v>
      </c>
      <c r="EU229" s="3">
        <v>0</v>
      </c>
      <c r="EV229" s="3">
        <v>294.20999999999998</v>
      </c>
      <c r="EW229" s="3">
        <v>24.76</v>
      </c>
      <c r="EX229" s="3">
        <v>0</v>
      </c>
      <c r="EY229" s="3">
        <v>0</v>
      </c>
      <c r="FQ229" s="3">
        <v>0</v>
      </c>
      <c r="FR229" s="3">
        <v>0</v>
      </c>
      <c r="FS229" s="3">
        <v>0</v>
      </c>
      <c r="FX229" s="3">
        <v>90</v>
      </c>
      <c r="FY229" s="3">
        <v>46</v>
      </c>
      <c r="GA229" s="3" t="s">
        <v>3</v>
      </c>
      <c r="GD229" s="3">
        <v>1</v>
      </c>
      <c r="GF229" s="3">
        <v>905116027</v>
      </c>
      <c r="GG229" s="3">
        <v>2</v>
      </c>
      <c r="GH229" s="3">
        <v>1</v>
      </c>
      <c r="GI229" s="3">
        <v>2</v>
      </c>
      <c r="GJ229" s="3">
        <v>0</v>
      </c>
      <c r="GK229" s="3">
        <v>0</v>
      </c>
      <c r="GL229" s="3">
        <f t="shared" si="236"/>
        <v>0</v>
      </c>
      <c r="GM229" s="3">
        <f t="shared" si="237"/>
        <v>316721.43</v>
      </c>
      <c r="GN229" s="3">
        <f t="shared" si="238"/>
        <v>0</v>
      </c>
      <c r="GO229" s="3">
        <f t="shared" si="239"/>
        <v>316721.43</v>
      </c>
      <c r="GP229" s="3">
        <f t="shared" si="240"/>
        <v>0</v>
      </c>
      <c r="GR229" s="3">
        <v>0</v>
      </c>
      <c r="GS229" s="3">
        <v>3</v>
      </c>
      <c r="GT229" s="3">
        <v>0</v>
      </c>
      <c r="GU229" s="3" t="s">
        <v>3</v>
      </c>
      <c r="GV229" s="3">
        <f t="shared" si="241"/>
        <v>0</v>
      </c>
      <c r="GW229" s="3">
        <v>1</v>
      </c>
      <c r="GX229" s="3">
        <f t="shared" si="242"/>
        <v>0</v>
      </c>
      <c r="HA229" s="3">
        <v>0</v>
      </c>
      <c r="HB229" s="3">
        <v>0</v>
      </c>
      <c r="HC229" s="3">
        <f t="shared" si="243"/>
        <v>0</v>
      </c>
      <c r="HE229" s="3" t="s">
        <v>3</v>
      </c>
      <c r="HF229" s="3" t="s">
        <v>3</v>
      </c>
      <c r="HM229" s="3" t="s">
        <v>3</v>
      </c>
      <c r="HN229" s="3" t="s">
        <v>3</v>
      </c>
      <c r="HO229" s="3" t="s">
        <v>3</v>
      </c>
      <c r="HP229" s="3" t="s">
        <v>3</v>
      </c>
      <c r="HQ229" s="3" t="s">
        <v>3</v>
      </c>
      <c r="HS229" s="3">
        <v>0</v>
      </c>
      <c r="IK229" s="3">
        <v>0</v>
      </c>
    </row>
    <row r="230" spans="1:255" x14ac:dyDescent="0.2">
      <c r="A230" s="2">
        <v>18</v>
      </c>
      <c r="B230" s="2">
        <v>1</v>
      </c>
      <c r="C230" s="2">
        <v>270</v>
      </c>
      <c r="D230" s="2"/>
      <c r="E230" s="2" t="s">
        <v>360</v>
      </c>
      <c r="F230" s="2" t="s">
        <v>339</v>
      </c>
      <c r="G230" s="2" t="s">
        <v>340</v>
      </c>
      <c r="H230" s="2" t="s">
        <v>341</v>
      </c>
      <c r="I230" s="2">
        <f>I228*J230</f>
        <v>654.84</v>
      </c>
      <c r="J230" s="2">
        <v>102</v>
      </c>
      <c r="K230" s="2">
        <v>102</v>
      </c>
      <c r="L230" s="2"/>
      <c r="M230" s="2"/>
      <c r="N230" s="2"/>
      <c r="O230" s="2">
        <f t="shared" si="219"/>
        <v>2259.1999999999998</v>
      </c>
      <c r="P230" s="2">
        <f t="shared" si="220"/>
        <v>2259.1999999999998</v>
      </c>
      <c r="Q230" s="2">
        <f t="shared" ref="Q230:Q239" si="258">(ROUND((ROUND(((ET230)*AV230*I230),2)*BB230),2)+ROUND((ROUND(((AE230-(EU230))*AV230*I230),2)*BS230),2))</f>
        <v>0</v>
      </c>
      <c r="R230" s="2">
        <f t="shared" ref="R230:R239" si="259">(ROUND((ROUND(((EU230)*AV230*I230),2)*BS230),2)+ROUND((ROUND(((AE230-(EU230))*AV230*I230),2)*BS230),2))</f>
        <v>0</v>
      </c>
      <c r="S230" s="2">
        <f t="shared" si="221"/>
        <v>0</v>
      </c>
      <c r="T230" s="2">
        <f t="shared" si="222"/>
        <v>0</v>
      </c>
      <c r="U230" s="2">
        <f t="shared" si="223"/>
        <v>0</v>
      </c>
      <c r="V230" s="2">
        <f t="shared" si="224"/>
        <v>0</v>
      </c>
      <c r="W230" s="2">
        <f t="shared" si="225"/>
        <v>0</v>
      </c>
      <c r="X230" s="2">
        <f t="shared" ref="X230:X239" si="260">(ROUND((((S230+ROUND((ROUND(((EU230)*AV230*I230),2)*BS230),2))*AT230)/100),2)+ROUND(((ROUND((ROUND(((AE230-(EU230))*AV230*I230),2)*BS230),2)*AT230)/100),2))</f>
        <v>0</v>
      </c>
      <c r="Y230" s="2">
        <f t="shared" ref="Y230:Y239" si="261">(ROUND((((S230+ROUND((ROUND(((EU230)*AV230*I230),2)*BS230),2))*AU230)/100),2)+ROUND(((ROUND((ROUND(((AE230-(EU230))*AV230*I230),2)*BS230),2)*AU230)/100),2))</f>
        <v>0</v>
      </c>
      <c r="Z230" s="2"/>
      <c r="AA230" s="2">
        <v>57248835</v>
      </c>
      <c r="AB230" s="2">
        <f t="shared" si="226"/>
        <v>3.45</v>
      </c>
      <c r="AC230" s="2">
        <f t="shared" ref="AC230:AC239" si="262">ROUND((ES230),6)</f>
        <v>3.45</v>
      </c>
      <c r="AD230" s="2">
        <f t="shared" ref="AD230:AD239" si="263">ROUND((((ET230)-(EU230))+AE230),6)</f>
        <v>0</v>
      </c>
      <c r="AE230" s="2">
        <f t="shared" ref="AE230:AE239" si="264">ROUND((EU230),6)</f>
        <v>0</v>
      </c>
      <c r="AF230" s="2">
        <f t="shared" ref="AF230:AF239" si="265">ROUND((EV230),6)</f>
        <v>0</v>
      </c>
      <c r="AG230" s="2">
        <f t="shared" si="227"/>
        <v>0</v>
      </c>
      <c r="AH230" s="2">
        <f t="shared" ref="AH230:AH239" si="266">(EW230)</f>
        <v>0</v>
      </c>
      <c r="AI230" s="2">
        <f t="shared" ref="AI230:AI239" si="267">(EX230)</f>
        <v>0</v>
      </c>
      <c r="AJ230" s="2">
        <f t="shared" si="228"/>
        <v>0</v>
      </c>
      <c r="AK230" s="2">
        <v>3.45</v>
      </c>
      <c r="AL230" s="2">
        <v>3.45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90</v>
      </c>
      <c r="AU230" s="2">
        <v>46</v>
      </c>
      <c r="AV230" s="2">
        <v>1</v>
      </c>
      <c r="AW230" s="2">
        <v>1</v>
      </c>
      <c r="AX230" s="2"/>
      <c r="AY230" s="2"/>
      <c r="AZ230" s="2">
        <v>1</v>
      </c>
      <c r="BA230" s="2">
        <v>1</v>
      </c>
      <c r="BB230" s="2">
        <v>1</v>
      </c>
      <c r="BC230" s="2">
        <v>1</v>
      </c>
      <c r="BD230" s="2" t="s">
        <v>3</v>
      </c>
      <c r="BE230" s="2" t="s">
        <v>3</v>
      </c>
      <c r="BF230" s="2" t="s">
        <v>3</v>
      </c>
      <c r="BG230" s="2" t="s">
        <v>3</v>
      </c>
      <c r="BH230" s="2">
        <v>3</v>
      </c>
      <c r="BI230" s="2">
        <v>2</v>
      </c>
      <c r="BJ230" s="2" t="s">
        <v>342</v>
      </c>
      <c r="BK230" s="2"/>
      <c r="BL230" s="2"/>
      <c r="BM230" s="2">
        <v>68</v>
      </c>
      <c r="BN230" s="2">
        <v>0</v>
      </c>
      <c r="BO230" s="2" t="s">
        <v>3</v>
      </c>
      <c r="BP230" s="2">
        <v>0</v>
      </c>
      <c r="BQ230" s="2">
        <v>40</v>
      </c>
      <c r="BR230" s="2">
        <v>0</v>
      </c>
      <c r="BS230" s="2">
        <v>1</v>
      </c>
      <c r="BT230" s="2">
        <v>1</v>
      </c>
      <c r="BU230" s="2">
        <v>1</v>
      </c>
      <c r="BV230" s="2">
        <v>1</v>
      </c>
      <c r="BW230" s="2">
        <v>1</v>
      </c>
      <c r="BX230" s="2">
        <v>1</v>
      </c>
      <c r="BY230" s="2" t="s">
        <v>3</v>
      </c>
      <c r="BZ230" s="2">
        <v>90</v>
      </c>
      <c r="CA230" s="2">
        <v>46</v>
      </c>
      <c r="CB230" s="2" t="s">
        <v>3</v>
      </c>
      <c r="CC230" s="2"/>
      <c r="CD230" s="2"/>
      <c r="CE230" s="2">
        <v>1566</v>
      </c>
      <c r="CF230" s="2">
        <v>0</v>
      </c>
      <c r="CG230" s="2">
        <v>0</v>
      </c>
      <c r="CH230" s="2"/>
      <c r="CI230" s="2"/>
      <c r="CJ230" s="2"/>
      <c r="CK230" s="2"/>
      <c r="CL230" s="2"/>
      <c r="CM230" s="2">
        <v>0</v>
      </c>
      <c r="CN230" s="2" t="s">
        <v>821</v>
      </c>
      <c r="CO230" s="2">
        <v>0</v>
      </c>
      <c r="CP230" s="2">
        <f t="shared" si="229"/>
        <v>2259.1999999999998</v>
      </c>
      <c r="CQ230" s="2">
        <f t="shared" si="230"/>
        <v>3.45</v>
      </c>
      <c r="CR230" s="2">
        <f t="shared" ref="CR230:CR239" si="268">(ROUND((ROUND(((ET230)*AV230*1),2)*BB230),2)+ROUND((ROUND(((AE230-(EU230))*AV230*1),2)*BS230),2))</f>
        <v>0</v>
      </c>
      <c r="CS230" s="2">
        <f t="shared" ref="CS230:CS239" si="269">(ROUND((ROUND(((EU230)*AV230*1),2)*BS230),2)+ROUND((ROUND(((AE230-(EU230))*AV230*1),2)*BS230),2))</f>
        <v>0</v>
      </c>
      <c r="CT230" s="2">
        <f t="shared" si="231"/>
        <v>0</v>
      </c>
      <c r="CU230" s="2">
        <f t="shared" si="232"/>
        <v>0</v>
      </c>
      <c r="CV230" s="2">
        <f t="shared" si="233"/>
        <v>0</v>
      </c>
      <c r="CW230" s="2">
        <f t="shared" si="234"/>
        <v>0</v>
      </c>
      <c r="CX230" s="2">
        <f t="shared" si="235"/>
        <v>0</v>
      </c>
      <c r="CY230" s="2">
        <f t="shared" ref="CY230:CY239" si="270">(ROUND((((S230+ROUND((ROUND(((EU230)*AV230*1),2)*BS230),2))*AT230)/100),2)+ROUND(((ROUND((ROUND(((AE230-(EU230))*AV230*1),2)*BS230),2)*AT230)/100),2))</f>
        <v>0</v>
      </c>
      <c r="CZ230" s="2">
        <f t="shared" ref="CZ230:CZ239" si="271">(ROUND((((S230+ROUND((ROUND(((EU230)*AV230*1),2)*BS230),2))*AU230)/100),2)+ROUND(((ROUND((ROUND(((AE230-(EU230))*AV230*1),2)*BS230),2)*AU230)/100),2))</f>
        <v>0</v>
      </c>
      <c r="DA230" s="2"/>
      <c r="DB230" s="2"/>
      <c r="DC230" s="2" t="s">
        <v>3</v>
      </c>
      <c r="DD230" s="2" t="s">
        <v>3</v>
      </c>
      <c r="DE230" s="2" t="s">
        <v>3</v>
      </c>
      <c r="DF230" s="2" t="s">
        <v>3</v>
      </c>
      <c r="DG230" s="2" t="s">
        <v>3</v>
      </c>
      <c r="DH230" s="2" t="s">
        <v>3</v>
      </c>
      <c r="DI230" s="2" t="s">
        <v>3</v>
      </c>
      <c r="DJ230" s="2" t="s">
        <v>3</v>
      </c>
      <c r="DK230" s="2" t="s">
        <v>3</v>
      </c>
      <c r="DL230" s="2" t="s">
        <v>3</v>
      </c>
      <c r="DM230" s="2" t="s">
        <v>3</v>
      </c>
      <c r="DN230" s="2">
        <v>0</v>
      </c>
      <c r="DO230" s="2">
        <v>0</v>
      </c>
      <c r="DP230" s="2">
        <v>1</v>
      </c>
      <c r="DQ230" s="2">
        <v>1</v>
      </c>
      <c r="DR230" s="2"/>
      <c r="DS230" s="2"/>
      <c r="DT230" s="2"/>
      <c r="DU230" s="2">
        <v>1003</v>
      </c>
      <c r="DV230" s="2" t="s">
        <v>341</v>
      </c>
      <c r="DW230" s="2" t="s">
        <v>341</v>
      </c>
      <c r="DX230" s="2">
        <v>1</v>
      </c>
      <c r="DY230" s="2"/>
      <c r="DZ230" s="2" t="s">
        <v>3</v>
      </c>
      <c r="EA230" s="2" t="s">
        <v>3</v>
      </c>
      <c r="EB230" s="2" t="s">
        <v>3</v>
      </c>
      <c r="EC230" s="2" t="s">
        <v>3</v>
      </c>
      <c r="ED230" s="2"/>
      <c r="EE230" s="2">
        <v>57248652</v>
      </c>
      <c r="EF230" s="2">
        <v>40</v>
      </c>
      <c r="EG230" s="2" t="s">
        <v>33</v>
      </c>
      <c r="EH230" s="2">
        <v>0</v>
      </c>
      <c r="EI230" s="2" t="s">
        <v>3</v>
      </c>
      <c r="EJ230" s="2">
        <v>2</v>
      </c>
      <c r="EK230" s="2">
        <v>68</v>
      </c>
      <c r="EL230" s="2" t="s">
        <v>34</v>
      </c>
      <c r="EM230" s="2" t="s">
        <v>35</v>
      </c>
      <c r="EN230" s="2"/>
      <c r="EO230" s="2" t="s">
        <v>124</v>
      </c>
      <c r="EP230" s="2"/>
      <c r="EQ230" s="2">
        <v>0</v>
      </c>
      <c r="ER230" s="2">
        <v>3.45</v>
      </c>
      <c r="ES230" s="2">
        <v>3.45</v>
      </c>
      <c r="ET230" s="2">
        <v>0</v>
      </c>
      <c r="EU230" s="2">
        <v>0</v>
      </c>
      <c r="EV230" s="2">
        <v>0</v>
      </c>
      <c r="EW230" s="2">
        <v>0</v>
      </c>
      <c r="EX230" s="2">
        <v>0</v>
      </c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>
        <v>0</v>
      </c>
      <c r="FR230" s="2">
        <v>0</v>
      </c>
      <c r="FS230" s="2">
        <v>0</v>
      </c>
      <c r="FT230" s="2"/>
      <c r="FU230" s="2"/>
      <c r="FV230" s="2"/>
      <c r="FW230" s="2"/>
      <c r="FX230" s="2">
        <v>90</v>
      </c>
      <c r="FY230" s="2">
        <v>46</v>
      </c>
      <c r="FZ230" s="2"/>
      <c r="GA230" s="2" t="s">
        <v>3</v>
      </c>
      <c r="GB230" s="2"/>
      <c r="GC230" s="2"/>
      <c r="GD230" s="2">
        <v>1</v>
      </c>
      <c r="GE230" s="2"/>
      <c r="GF230" s="2">
        <v>1194371439</v>
      </c>
      <c r="GG230" s="2">
        <v>2</v>
      </c>
      <c r="GH230" s="2">
        <v>1</v>
      </c>
      <c r="GI230" s="2">
        <v>-2</v>
      </c>
      <c r="GJ230" s="2">
        <v>0</v>
      </c>
      <c r="GK230" s="2">
        <v>0</v>
      </c>
      <c r="GL230" s="2">
        <f t="shared" si="236"/>
        <v>0</v>
      </c>
      <c r="GM230" s="2">
        <f t="shared" si="237"/>
        <v>2259.1999999999998</v>
      </c>
      <c r="GN230" s="2">
        <f t="shared" si="238"/>
        <v>0</v>
      </c>
      <c r="GO230" s="2">
        <f t="shared" si="239"/>
        <v>2259.1999999999998</v>
      </c>
      <c r="GP230" s="2">
        <f t="shared" si="240"/>
        <v>0</v>
      </c>
      <c r="GQ230" s="2"/>
      <c r="GR230" s="2">
        <v>0</v>
      </c>
      <c r="GS230" s="2">
        <v>3</v>
      </c>
      <c r="GT230" s="2">
        <v>0</v>
      </c>
      <c r="GU230" s="2" t="s">
        <v>3</v>
      </c>
      <c r="GV230" s="2">
        <f t="shared" si="241"/>
        <v>0</v>
      </c>
      <c r="GW230" s="2">
        <v>1</v>
      </c>
      <c r="GX230" s="2">
        <f t="shared" si="242"/>
        <v>0</v>
      </c>
      <c r="GY230" s="2"/>
      <c r="GZ230" s="2"/>
      <c r="HA230" s="2">
        <v>0</v>
      </c>
      <c r="HB230" s="2">
        <v>0</v>
      </c>
      <c r="HC230" s="2">
        <f t="shared" si="243"/>
        <v>0</v>
      </c>
      <c r="HD230" s="2"/>
      <c r="HE230" s="2" t="s">
        <v>3</v>
      </c>
      <c r="HF230" s="2" t="s">
        <v>3</v>
      </c>
      <c r="HG230" s="2"/>
      <c r="HH230" s="2"/>
      <c r="HI230" s="2"/>
      <c r="HJ230" s="2"/>
      <c r="HK230" s="2"/>
      <c r="HL230" s="2"/>
      <c r="HM230" s="2" t="s">
        <v>119</v>
      </c>
      <c r="HN230" s="2" t="s">
        <v>3</v>
      </c>
      <c r="HO230" s="2" t="s">
        <v>3</v>
      </c>
      <c r="HP230" s="2" t="s">
        <v>3</v>
      </c>
      <c r="HQ230" s="2" t="s">
        <v>3</v>
      </c>
      <c r="HR230" s="2"/>
      <c r="HS230" s="2">
        <v>0</v>
      </c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>
        <v>0</v>
      </c>
      <c r="IL230" s="2"/>
      <c r="IM230" s="2"/>
      <c r="IN230" s="2"/>
      <c r="IO230" s="2"/>
      <c r="IP230" s="2"/>
      <c r="IQ230" s="2"/>
      <c r="IR230" s="2"/>
      <c r="IS230" s="2"/>
      <c r="IT230" s="2"/>
      <c r="IU230" s="2"/>
    </row>
    <row r="231" spans="1:255" x14ac:dyDescent="0.2">
      <c r="A231" s="3">
        <v>18</v>
      </c>
      <c r="B231" s="3">
        <v>1</v>
      </c>
      <c r="C231" s="3">
        <v>280</v>
      </c>
      <c r="E231" s="3" t="s">
        <v>360</v>
      </c>
      <c r="F231" s="3" t="s">
        <v>339</v>
      </c>
      <c r="G231" s="3" t="s">
        <v>340</v>
      </c>
      <c r="H231" s="3" t="s">
        <v>341</v>
      </c>
      <c r="I231" s="3">
        <f>I229*J231</f>
        <v>654.84</v>
      </c>
      <c r="J231" s="3">
        <v>102</v>
      </c>
      <c r="K231" s="3">
        <v>102</v>
      </c>
      <c r="O231" s="3">
        <f t="shared" si="219"/>
        <v>8562.3700000000008</v>
      </c>
      <c r="P231" s="3">
        <f t="shared" si="220"/>
        <v>8562.3700000000008</v>
      </c>
      <c r="Q231" s="3">
        <f t="shared" si="258"/>
        <v>0</v>
      </c>
      <c r="R231" s="3">
        <f t="shared" si="259"/>
        <v>0</v>
      </c>
      <c r="S231" s="3">
        <f t="shared" si="221"/>
        <v>0</v>
      </c>
      <c r="T231" s="3">
        <f t="shared" si="222"/>
        <v>0</v>
      </c>
      <c r="U231" s="3">
        <f t="shared" si="223"/>
        <v>0</v>
      </c>
      <c r="V231" s="3">
        <f t="shared" si="224"/>
        <v>0</v>
      </c>
      <c r="W231" s="3">
        <f t="shared" si="225"/>
        <v>0</v>
      </c>
      <c r="X231" s="3">
        <f t="shared" si="260"/>
        <v>0</v>
      </c>
      <c r="Y231" s="3">
        <f t="shared" si="261"/>
        <v>0</v>
      </c>
      <c r="AA231" s="3">
        <v>57248837</v>
      </c>
      <c r="AB231" s="3">
        <f t="shared" si="226"/>
        <v>3.45</v>
      </c>
      <c r="AC231" s="3">
        <f t="shared" si="262"/>
        <v>3.45</v>
      </c>
      <c r="AD231" s="3">
        <f t="shared" si="263"/>
        <v>0</v>
      </c>
      <c r="AE231" s="3">
        <f t="shared" si="264"/>
        <v>0</v>
      </c>
      <c r="AF231" s="3">
        <f t="shared" si="265"/>
        <v>0</v>
      </c>
      <c r="AG231" s="3">
        <f t="shared" si="227"/>
        <v>0</v>
      </c>
      <c r="AH231" s="3">
        <f t="shared" si="266"/>
        <v>0</v>
      </c>
      <c r="AI231" s="3">
        <f t="shared" si="267"/>
        <v>0</v>
      </c>
      <c r="AJ231" s="3">
        <f t="shared" si="228"/>
        <v>0</v>
      </c>
      <c r="AK231" s="3">
        <v>3.45</v>
      </c>
      <c r="AL231" s="3">
        <v>3.45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90</v>
      </c>
      <c r="AU231" s="3">
        <v>46</v>
      </c>
      <c r="AV231" s="3">
        <v>1</v>
      </c>
      <c r="AW231" s="3">
        <v>1</v>
      </c>
      <c r="AZ231" s="3">
        <v>1</v>
      </c>
      <c r="BA231" s="3">
        <v>1</v>
      </c>
      <c r="BB231" s="3">
        <v>1</v>
      </c>
      <c r="BC231" s="3">
        <v>3.79</v>
      </c>
      <c r="BD231" s="3" t="s">
        <v>3</v>
      </c>
      <c r="BE231" s="3" t="s">
        <v>3</v>
      </c>
      <c r="BF231" s="3" t="s">
        <v>3</v>
      </c>
      <c r="BG231" s="3" t="s">
        <v>3</v>
      </c>
      <c r="BH231" s="3">
        <v>3</v>
      </c>
      <c r="BI231" s="3">
        <v>2</v>
      </c>
      <c r="BJ231" s="3" t="s">
        <v>342</v>
      </c>
      <c r="BM231" s="3">
        <v>68</v>
      </c>
      <c r="BN231" s="3">
        <v>0</v>
      </c>
      <c r="BO231" s="3" t="s">
        <v>339</v>
      </c>
      <c r="BP231" s="3">
        <v>1</v>
      </c>
      <c r="BQ231" s="3">
        <v>40</v>
      </c>
      <c r="BR231" s="3">
        <v>0</v>
      </c>
      <c r="BS231" s="3">
        <v>1</v>
      </c>
      <c r="BT231" s="3">
        <v>1</v>
      </c>
      <c r="BU231" s="3">
        <v>1</v>
      </c>
      <c r="BV231" s="3">
        <v>1</v>
      </c>
      <c r="BW231" s="3">
        <v>1</v>
      </c>
      <c r="BX231" s="3">
        <v>1</v>
      </c>
      <c r="BY231" s="3" t="s">
        <v>3</v>
      </c>
      <c r="BZ231" s="3">
        <v>90</v>
      </c>
      <c r="CA231" s="3">
        <v>46</v>
      </c>
      <c r="CB231" s="3" t="s">
        <v>3</v>
      </c>
      <c r="CE231" s="3">
        <v>1566</v>
      </c>
      <c r="CF231" s="3">
        <v>0</v>
      </c>
      <c r="CG231" s="3">
        <v>0</v>
      </c>
      <c r="CM231" s="3">
        <v>0</v>
      </c>
      <c r="CN231" s="3" t="s">
        <v>821</v>
      </c>
      <c r="CO231" s="3">
        <v>0</v>
      </c>
      <c r="CP231" s="3">
        <f t="shared" si="229"/>
        <v>8562.3700000000008</v>
      </c>
      <c r="CQ231" s="3">
        <f t="shared" si="230"/>
        <v>13.08</v>
      </c>
      <c r="CR231" s="3">
        <f t="shared" si="268"/>
        <v>0</v>
      </c>
      <c r="CS231" s="3">
        <f t="shared" si="269"/>
        <v>0</v>
      </c>
      <c r="CT231" s="3">
        <f t="shared" si="231"/>
        <v>0</v>
      </c>
      <c r="CU231" s="3">
        <f t="shared" si="232"/>
        <v>0</v>
      </c>
      <c r="CV231" s="3">
        <f t="shared" si="233"/>
        <v>0</v>
      </c>
      <c r="CW231" s="3">
        <f t="shared" si="234"/>
        <v>0</v>
      </c>
      <c r="CX231" s="3">
        <f t="shared" si="235"/>
        <v>0</v>
      </c>
      <c r="CY231" s="3">
        <f t="shared" si="270"/>
        <v>0</v>
      </c>
      <c r="CZ231" s="3">
        <f t="shared" si="271"/>
        <v>0</v>
      </c>
      <c r="DC231" s="3" t="s">
        <v>3</v>
      </c>
      <c r="DD231" s="3" t="s">
        <v>3</v>
      </c>
      <c r="DE231" s="3" t="s">
        <v>3</v>
      </c>
      <c r="DF231" s="3" t="s">
        <v>3</v>
      </c>
      <c r="DG231" s="3" t="s">
        <v>3</v>
      </c>
      <c r="DH231" s="3" t="s">
        <v>3</v>
      </c>
      <c r="DI231" s="3" t="s">
        <v>3</v>
      </c>
      <c r="DJ231" s="3" t="s">
        <v>3</v>
      </c>
      <c r="DK231" s="3" t="s">
        <v>3</v>
      </c>
      <c r="DL231" s="3" t="s">
        <v>3</v>
      </c>
      <c r="DM231" s="3" t="s">
        <v>3</v>
      </c>
      <c r="DN231" s="3">
        <v>0</v>
      </c>
      <c r="DO231" s="3">
        <v>0</v>
      </c>
      <c r="DP231" s="3">
        <v>1</v>
      </c>
      <c r="DQ231" s="3">
        <v>1</v>
      </c>
      <c r="DU231" s="3">
        <v>1003</v>
      </c>
      <c r="DV231" s="3" t="s">
        <v>341</v>
      </c>
      <c r="DW231" s="3" t="s">
        <v>341</v>
      </c>
      <c r="DX231" s="3">
        <v>1</v>
      </c>
      <c r="DZ231" s="3" t="s">
        <v>3</v>
      </c>
      <c r="EA231" s="3" t="s">
        <v>3</v>
      </c>
      <c r="EB231" s="3" t="s">
        <v>3</v>
      </c>
      <c r="EC231" s="3" t="s">
        <v>3</v>
      </c>
      <c r="EE231" s="3">
        <v>57248652</v>
      </c>
      <c r="EF231" s="3">
        <v>40</v>
      </c>
      <c r="EG231" s="3" t="s">
        <v>33</v>
      </c>
      <c r="EH231" s="3">
        <v>0</v>
      </c>
      <c r="EI231" s="3" t="s">
        <v>3</v>
      </c>
      <c r="EJ231" s="3">
        <v>2</v>
      </c>
      <c r="EK231" s="3">
        <v>68</v>
      </c>
      <c r="EL231" s="3" t="s">
        <v>34</v>
      </c>
      <c r="EM231" s="3" t="s">
        <v>35</v>
      </c>
      <c r="EO231" s="3" t="s">
        <v>124</v>
      </c>
      <c r="EQ231" s="3">
        <v>0</v>
      </c>
      <c r="ER231" s="3">
        <v>3.45</v>
      </c>
      <c r="ES231" s="3">
        <v>3.45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FQ231" s="3">
        <v>0</v>
      </c>
      <c r="FR231" s="3">
        <v>0</v>
      </c>
      <c r="FS231" s="3">
        <v>0</v>
      </c>
      <c r="FX231" s="3">
        <v>90</v>
      </c>
      <c r="FY231" s="3">
        <v>46</v>
      </c>
      <c r="GA231" s="3" t="s">
        <v>3</v>
      </c>
      <c r="GD231" s="3">
        <v>1</v>
      </c>
      <c r="GF231" s="3">
        <v>1194371439</v>
      </c>
      <c r="GG231" s="3">
        <v>2</v>
      </c>
      <c r="GH231" s="3">
        <v>1</v>
      </c>
      <c r="GI231" s="3">
        <v>2</v>
      </c>
      <c r="GJ231" s="3">
        <v>0</v>
      </c>
      <c r="GK231" s="3">
        <v>0</v>
      </c>
      <c r="GL231" s="3">
        <f t="shared" si="236"/>
        <v>0</v>
      </c>
      <c r="GM231" s="3">
        <f t="shared" si="237"/>
        <v>8562.3700000000008</v>
      </c>
      <c r="GN231" s="3">
        <f t="shared" si="238"/>
        <v>0</v>
      </c>
      <c r="GO231" s="3">
        <f t="shared" si="239"/>
        <v>8562.3700000000008</v>
      </c>
      <c r="GP231" s="3">
        <f t="shared" si="240"/>
        <v>0</v>
      </c>
      <c r="GR231" s="3">
        <v>0</v>
      </c>
      <c r="GS231" s="3">
        <v>3</v>
      </c>
      <c r="GT231" s="3">
        <v>0</v>
      </c>
      <c r="GU231" s="3" t="s">
        <v>3</v>
      </c>
      <c r="GV231" s="3">
        <f t="shared" si="241"/>
        <v>0</v>
      </c>
      <c r="GW231" s="3">
        <v>1</v>
      </c>
      <c r="GX231" s="3">
        <f t="shared" si="242"/>
        <v>0</v>
      </c>
      <c r="HA231" s="3">
        <v>0</v>
      </c>
      <c r="HB231" s="3">
        <v>0</v>
      </c>
      <c r="HC231" s="3">
        <f t="shared" si="243"/>
        <v>0</v>
      </c>
      <c r="HE231" s="3" t="s">
        <v>3</v>
      </c>
      <c r="HF231" s="3" t="s">
        <v>3</v>
      </c>
      <c r="HM231" s="3" t="s">
        <v>119</v>
      </c>
      <c r="HN231" s="3" t="s">
        <v>3</v>
      </c>
      <c r="HO231" s="3" t="s">
        <v>3</v>
      </c>
      <c r="HP231" s="3" t="s">
        <v>3</v>
      </c>
      <c r="HQ231" s="3" t="s">
        <v>3</v>
      </c>
      <c r="HS231" s="3">
        <v>0</v>
      </c>
      <c r="IK231" s="3">
        <v>0</v>
      </c>
    </row>
    <row r="232" spans="1:255" x14ac:dyDescent="0.2">
      <c r="A232" s="2">
        <v>18</v>
      </c>
      <c r="B232" s="2">
        <v>1</v>
      </c>
      <c r="C232" s="2">
        <v>272</v>
      </c>
      <c r="D232" s="2"/>
      <c r="E232" s="2" t="s">
        <v>361</v>
      </c>
      <c r="F232" s="2" t="s">
        <v>346</v>
      </c>
      <c r="G232" s="2" t="s">
        <v>347</v>
      </c>
      <c r="H232" s="2" t="s">
        <v>348</v>
      </c>
      <c r="I232" s="2">
        <f>I228*J232</f>
        <v>2.14</v>
      </c>
      <c r="J232" s="2">
        <v>0.33333333333333337</v>
      </c>
      <c r="K232" s="2">
        <v>0.3333333</v>
      </c>
      <c r="L232" s="2"/>
      <c r="M232" s="2"/>
      <c r="N232" s="2"/>
      <c r="O232" s="2">
        <f t="shared" si="219"/>
        <v>848.7</v>
      </c>
      <c r="P232" s="2">
        <f t="shared" si="220"/>
        <v>848.7</v>
      </c>
      <c r="Q232" s="2">
        <f t="shared" si="258"/>
        <v>0</v>
      </c>
      <c r="R232" s="2">
        <f t="shared" si="259"/>
        <v>0</v>
      </c>
      <c r="S232" s="2">
        <f t="shared" si="221"/>
        <v>0</v>
      </c>
      <c r="T232" s="2">
        <f t="shared" si="222"/>
        <v>0</v>
      </c>
      <c r="U232" s="2">
        <f t="shared" si="223"/>
        <v>0</v>
      </c>
      <c r="V232" s="2">
        <f t="shared" si="224"/>
        <v>0</v>
      </c>
      <c r="W232" s="2">
        <f t="shared" si="225"/>
        <v>0</v>
      </c>
      <c r="X232" s="2">
        <f t="shared" si="260"/>
        <v>0</v>
      </c>
      <c r="Y232" s="2">
        <f t="shared" si="261"/>
        <v>0</v>
      </c>
      <c r="Z232" s="2"/>
      <c r="AA232" s="2">
        <v>57248835</v>
      </c>
      <c r="AB232" s="2">
        <f t="shared" si="226"/>
        <v>396.59</v>
      </c>
      <c r="AC232" s="2">
        <f t="shared" si="262"/>
        <v>396.59</v>
      </c>
      <c r="AD232" s="2">
        <f t="shared" si="263"/>
        <v>0</v>
      </c>
      <c r="AE232" s="2">
        <f t="shared" si="264"/>
        <v>0</v>
      </c>
      <c r="AF232" s="2">
        <f t="shared" si="265"/>
        <v>0</v>
      </c>
      <c r="AG232" s="2">
        <f t="shared" si="227"/>
        <v>0</v>
      </c>
      <c r="AH232" s="2">
        <f t="shared" si="266"/>
        <v>0</v>
      </c>
      <c r="AI232" s="2">
        <f t="shared" si="267"/>
        <v>0</v>
      </c>
      <c r="AJ232" s="2">
        <f t="shared" si="228"/>
        <v>0</v>
      </c>
      <c r="AK232" s="2">
        <v>396.59</v>
      </c>
      <c r="AL232" s="2">
        <v>396.59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90</v>
      </c>
      <c r="AU232" s="2">
        <v>46</v>
      </c>
      <c r="AV232" s="2">
        <v>1</v>
      </c>
      <c r="AW232" s="2">
        <v>1</v>
      </c>
      <c r="AX232" s="2"/>
      <c r="AY232" s="2"/>
      <c r="AZ232" s="2">
        <v>1</v>
      </c>
      <c r="BA232" s="2">
        <v>1</v>
      </c>
      <c r="BB232" s="2">
        <v>1</v>
      </c>
      <c r="BC232" s="2">
        <v>1</v>
      </c>
      <c r="BD232" s="2" t="s">
        <v>3</v>
      </c>
      <c r="BE232" s="2" t="s">
        <v>3</v>
      </c>
      <c r="BF232" s="2" t="s">
        <v>3</v>
      </c>
      <c r="BG232" s="2" t="s">
        <v>3</v>
      </c>
      <c r="BH232" s="2">
        <v>3</v>
      </c>
      <c r="BI232" s="2">
        <v>2</v>
      </c>
      <c r="BJ232" s="2" t="s">
        <v>349</v>
      </c>
      <c r="BK232" s="2"/>
      <c r="BL232" s="2"/>
      <c r="BM232" s="2">
        <v>68</v>
      </c>
      <c r="BN232" s="2">
        <v>0</v>
      </c>
      <c r="BO232" s="2" t="s">
        <v>3</v>
      </c>
      <c r="BP232" s="2">
        <v>0</v>
      </c>
      <c r="BQ232" s="2">
        <v>40</v>
      </c>
      <c r="BR232" s="2">
        <v>0</v>
      </c>
      <c r="BS232" s="2">
        <v>1</v>
      </c>
      <c r="BT232" s="2">
        <v>1</v>
      </c>
      <c r="BU232" s="2">
        <v>1</v>
      </c>
      <c r="BV232" s="2">
        <v>1</v>
      </c>
      <c r="BW232" s="2">
        <v>1</v>
      </c>
      <c r="BX232" s="2">
        <v>1</v>
      </c>
      <c r="BY232" s="2" t="s">
        <v>3</v>
      </c>
      <c r="BZ232" s="2">
        <v>90</v>
      </c>
      <c r="CA232" s="2">
        <v>46</v>
      </c>
      <c r="CB232" s="2" t="s">
        <v>3</v>
      </c>
      <c r="CC232" s="2"/>
      <c r="CD232" s="2"/>
      <c r="CE232" s="2">
        <v>1566</v>
      </c>
      <c r="CF232" s="2">
        <v>0</v>
      </c>
      <c r="CG232" s="2">
        <v>0</v>
      </c>
      <c r="CH232" s="2"/>
      <c r="CI232" s="2"/>
      <c r="CJ232" s="2"/>
      <c r="CK232" s="2"/>
      <c r="CL232" s="2"/>
      <c r="CM232" s="2">
        <v>0</v>
      </c>
      <c r="CN232" s="2" t="s">
        <v>821</v>
      </c>
      <c r="CO232" s="2">
        <v>0</v>
      </c>
      <c r="CP232" s="2">
        <f t="shared" si="229"/>
        <v>848.7</v>
      </c>
      <c r="CQ232" s="2">
        <f t="shared" si="230"/>
        <v>396.59</v>
      </c>
      <c r="CR232" s="2">
        <f t="shared" si="268"/>
        <v>0</v>
      </c>
      <c r="CS232" s="2">
        <f t="shared" si="269"/>
        <v>0</v>
      </c>
      <c r="CT232" s="2">
        <f t="shared" si="231"/>
        <v>0</v>
      </c>
      <c r="CU232" s="2">
        <f t="shared" si="232"/>
        <v>0</v>
      </c>
      <c r="CV232" s="2">
        <f t="shared" si="233"/>
        <v>0</v>
      </c>
      <c r="CW232" s="2">
        <f t="shared" si="234"/>
        <v>0</v>
      </c>
      <c r="CX232" s="2">
        <f t="shared" si="235"/>
        <v>0</v>
      </c>
      <c r="CY232" s="2">
        <f t="shared" si="270"/>
        <v>0</v>
      </c>
      <c r="CZ232" s="2">
        <f t="shared" si="271"/>
        <v>0</v>
      </c>
      <c r="DA232" s="2"/>
      <c r="DB232" s="2"/>
      <c r="DC232" s="2" t="s">
        <v>3</v>
      </c>
      <c r="DD232" s="2" t="s">
        <v>3</v>
      </c>
      <c r="DE232" s="2" t="s">
        <v>3</v>
      </c>
      <c r="DF232" s="2" t="s">
        <v>3</v>
      </c>
      <c r="DG232" s="2" t="s">
        <v>3</v>
      </c>
      <c r="DH232" s="2" t="s">
        <v>3</v>
      </c>
      <c r="DI232" s="2" t="s">
        <v>3</v>
      </c>
      <c r="DJ232" s="2" t="s">
        <v>3</v>
      </c>
      <c r="DK232" s="2" t="s">
        <v>3</v>
      </c>
      <c r="DL232" s="2" t="s">
        <v>3</v>
      </c>
      <c r="DM232" s="2" t="s">
        <v>3</v>
      </c>
      <c r="DN232" s="2">
        <v>0</v>
      </c>
      <c r="DO232" s="2">
        <v>0</v>
      </c>
      <c r="DP232" s="2">
        <v>1</v>
      </c>
      <c r="DQ232" s="2">
        <v>1</v>
      </c>
      <c r="DR232" s="2"/>
      <c r="DS232" s="2"/>
      <c r="DT232" s="2"/>
      <c r="DU232" s="2">
        <v>1010</v>
      </c>
      <c r="DV232" s="2" t="s">
        <v>348</v>
      </c>
      <c r="DW232" s="2" t="s">
        <v>348</v>
      </c>
      <c r="DX232" s="2">
        <v>1000</v>
      </c>
      <c r="DY232" s="2"/>
      <c r="DZ232" s="2" t="s">
        <v>3</v>
      </c>
      <c r="EA232" s="2" t="s">
        <v>3</v>
      </c>
      <c r="EB232" s="2" t="s">
        <v>3</v>
      </c>
      <c r="EC232" s="2" t="s">
        <v>3</v>
      </c>
      <c r="ED232" s="2"/>
      <c r="EE232" s="2">
        <v>57248652</v>
      </c>
      <c r="EF232" s="2">
        <v>40</v>
      </c>
      <c r="EG232" s="2" t="s">
        <v>33</v>
      </c>
      <c r="EH232" s="2">
        <v>0</v>
      </c>
      <c r="EI232" s="2" t="s">
        <v>3</v>
      </c>
      <c r="EJ232" s="2">
        <v>2</v>
      </c>
      <c r="EK232" s="2">
        <v>68</v>
      </c>
      <c r="EL232" s="2" t="s">
        <v>34</v>
      </c>
      <c r="EM232" s="2" t="s">
        <v>35</v>
      </c>
      <c r="EN232" s="2"/>
      <c r="EO232" s="2" t="s">
        <v>124</v>
      </c>
      <c r="EP232" s="2"/>
      <c r="EQ232" s="2">
        <v>0</v>
      </c>
      <c r="ER232" s="2">
        <v>396.59</v>
      </c>
      <c r="ES232" s="2">
        <v>396.59</v>
      </c>
      <c r="ET232" s="2">
        <v>0</v>
      </c>
      <c r="EU232" s="2">
        <v>0</v>
      </c>
      <c r="EV232" s="2">
        <v>0</v>
      </c>
      <c r="EW232" s="2">
        <v>0</v>
      </c>
      <c r="EX232" s="2">
        <v>0</v>
      </c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>
        <v>0</v>
      </c>
      <c r="FR232" s="2">
        <v>0</v>
      </c>
      <c r="FS232" s="2">
        <v>0</v>
      </c>
      <c r="FT232" s="2"/>
      <c r="FU232" s="2"/>
      <c r="FV232" s="2"/>
      <c r="FW232" s="2"/>
      <c r="FX232" s="2">
        <v>90</v>
      </c>
      <c r="FY232" s="2">
        <v>46</v>
      </c>
      <c r="FZ232" s="2"/>
      <c r="GA232" s="2" t="s">
        <v>3</v>
      </c>
      <c r="GB232" s="2"/>
      <c r="GC232" s="2"/>
      <c r="GD232" s="2">
        <v>1</v>
      </c>
      <c r="GE232" s="2"/>
      <c r="GF232" s="2">
        <v>1886730866</v>
      </c>
      <c r="GG232" s="2">
        <v>2</v>
      </c>
      <c r="GH232" s="2">
        <v>1</v>
      </c>
      <c r="GI232" s="2">
        <v>-2</v>
      </c>
      <c r="GJ232" s="2">
        <v>0</v>
      </c>
      <c r="GK232" s="2">
        <v>0</v>
      </c>
      <c r="GL232" s="2">
        <f t="shared" si="236"/>
        <v>0</v>
      </c>
      <c r="GM232" s="2">
        <f t="shared" si="237"/>
        <v>848.7</v>
      </c>
      <c r="GN232" s="2">
        <f t="shared" si="238"/>
        <v>0</v>
      </c>
      <c r="GO232" s="2">
        <f t="shared" si="239"/>
        <v>848.7</v>
      </c>
      <c r="GP232" s="2">
        <f t="shared" si="240"/>
        <v>0</v>
      </c>
      <c r="GQ232" s="2"/>
      <c r="GR232" s="2">
        <v>0</v>
      </c>
      <c r="GS232" s="2">
        <v>3</v>
      </c>
      <c r="GT232" s="2">
        <v>0</v>
      </c>
      <c r="GU232" s="2" t="s">
        <v>3</v>
      </c>
      <c r="GV232" s="2">
        <f t="shared" si="241"/>
        <v>0</v>
      </c>
      <c r="GW232" s="2">
        <v>1</v>
      </c>
      <c r="GX232" s="2">
        <f t="shared" si="242"/>
        <v>0</v>
      </c>
      <c r="GY232" s="2"/>
      <c r="GZ232" s="2"/>
      <c r="HA232" s="2">
        <v>0</v>
      </c>
      <c r="HB232" s="2">
        <v>0</v>
      </c>
      <c r="HC232" s="2">
        <f t="shared" si="243"/>
        <v>0</v>
      </c>
      <c r="HD232" s="2"/>
      <c r="HE232" s="2" t="s">
        <v>3</v>
      </c>
      <c r="HF232" s="2" t="s">
        <v>3</v>
      </c>
      <c r="HG232" s="2"/>
      <c r="HH232" s="2"/>
      <c r="HI232" s="2"/>
      <c r="HJ232" s="2"/>
      <c r="HK232" s="2"/>
      <c r="HL232" s="2"/>
      <c r="HM232" s="2" t="s">
        <v>119</v>
      </c>
      <c r="HN232" s="2" t="s">
        <v>3</v>
      </c>
      <c r="HO232" s="2" t="s">
        <v>3</v>
      </c>
      <c r="HP232" s="2" t="s">
        <v>3</v>
      </c>
      <c r="HQ232" s="2" t="s">
        <v>3</v>
      </c>
      <c r="HR232" s="2"/>
      <c r="HS232" s="2">
        <v>0</v>
      </c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>
        <v>0</v>
      </c>
      <c r="IL232" s="2"/>
      <c r="IM232" s="2"/>
      <c r="IN232" s="2"/>
      <c r="IO232" s="2"/>
      <c r="IP232" s="2"/>
      <c r="IQ232" s="2"/>
      <c r="IR232" s="2"/>
      <c r="IS232" s="2"/>
      <c r="IT232" s="2"/>
      <c r="IU232" s="2"/>
    </row>
    <row r="233" spans="1:255" x14ac:dyDescent="0.2">
      <c r="A233" s="3">
        <v>18</v>
      </c>
      <c r="B233" s="3">
        <v>1</v>
      </c>
      <c r="C233" s="3">
        <v>282</v>
      </c>
      <c r="E233" s="3" t="s">
        <v>361</v>
      </c>
      <c r="F233" s="3" t="s">
        <v>346</v>
      </c>
      <c r="G233" s="3" t="s">
        <v>347</v>
      </c>
      <c r="H233" s="3" t="s">
        <v>348</v>
      </c>
      <c r="I233" s="3">
        <f>I229*J233</f>
        <v>2.14</v>
      </c>
      <c r="J233" s="3">
        <v>0.33333333333333337</v>
      </c>
      <c r="K233" s="3">
        <v>0.3333333</v>
      </c>
      <c r="O233" s="3">
        <f t="shared" si="219"/>
        <v>3734.28</v>
      </c>
      <c r="P233" s="3">
        <f t="shared" si="220"/>
        <v>3734.28</v>
      </c>
      <c r="Q233" s="3">
        <f t="shared" si="258"/>
        <v>0</v>
      </c>
      <c r="R233" s="3">
        <f t="shared" si="259"/>
        <v>0</v>
      </c>
      <c r="S233" s="3">
        <f t="shared" si="221"/>
        <v>0</v>
      </c>
      <c r="T233" s="3">
        <f t="shared" si="222"/>
        <v>0</v>
      </c>
      <c r="U233" s="3">
        <f t="shared" si="223"/>
        <v>0</v>
      </c>
      <c r="V233" s="3">
        <f t="shared" si="224"/>
        <v>0</v>
      </c>
      <c r="W233" s="3">
        <f t="shared" si="225"/>
        <v>0</v>
      </c>
      <c r="X233" s="3">
        <f t="shared" si="260"/>
        <v>0</v>
      </c>
      <c r="Y233" s="3">
        <f t="shared" si="261"/>
        <v>0</v>
      </c>
      <c r="AA233" s="3">
        <v>57248837</v>
      </c>
      <c r="AB233" s="3">
        <f t="shared" si="226"/>
        <v>396.59</v>
      </c>
      <c r="AC233" s="3">
        <f t="shared" si="262"/>
        <v>396.59</v>
      </c>
      <c r="AD233" s="3">
        <f t="shared" si="263"/>
        <v>0</v>
      </c>
      <c r="AE233" s="3">
        <f t="shared" si="264"/>
        <v>0</v>
      </c>
      <c r="AF233" s="3">
        <f t="shared" si="265"/>
        <v>0</v>
      </c>
      <c r="AG233" s="3">
        <f t="shared" si="227"/>
        <v>0</v>
      </c>
      <c r="AH233" s="3">
        <f t="shared" si="266"/>
        <v>0</v>
      </c>
      <c r="AI233" s="3">
        <f t="shared" si="267"/>
        <v>0</v>
      </c>
      <c r="AJ233" s="3">
        <f t="shared" si="228"/>
        <v>0</v>
      </c>
      <c r="AK233" s="3">
        <v>396.59</v>
      </c>
      <c r="AL233" s="3">
        <v>396.59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90</v>
      </c>
      <c r="AU233" s="3">
        <v>46</v>
      </c>
      <c r="AV233" s="3">
        <v>1</v>
      </c>
      <c r="AW233" s="3">
        <v>1</v>
      </c>
      <c r="AZ233" s="3">
        <v>1</v>
      </c>
      <c r="BA233" s="3">
        <v>1</v>
      </c>
      <c r="BB233" s="3">
        <v>1</v>
      </c>
      <c r="BC233" s="3">
        <v>4.4000000000000004</v>
      </c>
      <c r="BD233" s="3" t="s">
        <v>3</v>
      </c>
      <c r="BE233" s="3" t="s">
        <v>3</v>
      </c>
      <c r="BF233" s="3" t="s">
        <v>3</v>
      </c>
      <c r="BG233" s="3" t="s">
        <v>3</v>
      </c>
      <c r="BH233" s="3">
        <v>3</v>
      </c>
      <c r="BI233" s="3">
        <v>2</v>
      </c>
      <c r="BJ233" s="3" t="s">
        <v>349</v>
      </c>
      <c r="BM233" s="3">
        <v>68</v>
      </c>
      <c r="BN233" s="3">
        <v>0</v>
      </c>
      <c r="BO233" s="3" t="s">
        <v>346</v>
      </c>
      <c r="BP233" s="3">
        <v>1</v>
      </c>
      <c r="BQ233" s="3">
        <v>40</v>
      </c>
      <c r="BR233" s="3">
        <v>0</v>
      </c>
      <c r="BS233" s="3">
        <v>1</v>
      </c>
      <c r="BT233" s="3">
        <v>1</v>
      </c>
      <c r="BU233" s="3">
        <v>1</v>
      </c>
      <c r="BV233" s="3">
        <v>1</v>
      </c>
      <c r="BW233" s="3">
        <v>1</v>
      </c>
      <c r="BX233" s="3">
        <v>1</v>
      </c>
      <c r="BY233" s="3" t="s">
        <v>3</v>
      </c>
      <c r="BZ233" s="3">
        <v>90</v>
      </c>
      <c r="CA233" s="3">
        <v>46</v>
      </c>
      <c r="CB233" s="3" t="s">
        <v>3</v>
      </c>
      <c r="CE233" s="3">
        <v>1566</v>
      </c>
      <c r="CF233" s="3">
        <v>0</v>
      </c>
      <c r="CG233" s="3">
        <v>0</v>
      </c>
      <c r="CM233" s="3">
        <v>0</v>
      </c>
      <c r="CN233" s="3" t="s">
        <v>821</v>
      </c>
      <c r="CO233" s="3">
        <v>0</v>
      </c>
      <c r="CP233" s="3">
        <f t="shared" si="229"/>
        <v>3734.28</v>
      </c>
      <c r="CQ233" s="3">
        <f t="shared" si="230"/>
        <v>1745</v>
      </c>
      <c r="CR233" s="3">
        <f t="shared" si="268"/>
        <v>0</v>
      </c>
      <c r="CS233" s="3">
        <f t="shared" si="269"/>
        <v>0</v>
      </c>
      <c r="CT233" s="3">
        <f t="shared" si="231"/>
        <v>0</v>
      </c>
      <c r="CU233" s="3">
        <f t="shared" si="232"/>
        <v>0</v>
      </c>
      <c r="CV233" s="3">
        <f t="shared" si="233"/>
        <v>0</v>
      </c>
      <c r="CW233" s="3">
        <f t="shared" si="234"/>
        <v>0</v>
      </c>
      <c r="CX233" s="3">
        <f t="shared" si="235"/>
        <v>0</v>
      </c>
      <c r="CY233" s="3">
        <f t="shared" si="270"/>
        <v>0</v>
      </c>
      <c r="CZ233" s="3">
        <f t="shared" si="271"/>
        <v>0</v>
      </c>
      <c r="DC233" s="3" t="s">
        <v>3</v>
      </c>
      <c r="DD233" s="3" t="s">
        <v>3</v>
      </c>
      <c r="DE233" s="3" t="s">
        <v>3</v>
      </c>
      <c r="DF233" s="3" t="s">
        <v>3</v>
      </c>
      <c r="DG233" s="3" t="s">
        <v>3</v>
      </c>
      <c r="DH233" s="3" t="s">
        <v>3</v>
      </c>
      <c r="DI233" s="3" t="s">
        <v>3</v>
      </c>
      <c r="DJ233" s="3" t="s">
        <v>3</v>
      </c>
      <c r="DK233" s="3" t="s">
        <v>3</v>
      </c>
      <c r="DL233" s="3" t="s">
        <v>3</v>
      </c>
      <c r="DM233" s="3" t="s">
        <v>3</v>
      </c>
      <c r="DN233" s="3">
        <v>0</v>
      </c>
      <c r="DO233" s="3">
        <v>0</v>
      </c>
      <c r="DP233" s="3">
        <v>1</v>
      </c>
      <c r="DQ233" s="3">
        <v>1</v>
      </c>
      <c r="DU233" s="3">
        <v>1010</v>
      </c>
      <c r="DV233" s="3" t="s">
        <v>348</v>
      </c>
      <c r="DW233" s="3" t="s">
        <v>348</v>
      </c>
      <c r="DX233" s="3">
        <v>1000</v>
      </c>
      <c r="DZ233" s="3" t="s">
        <v>3</v>
      </c>
      <c r="EA233" s="3" t="s">
        <v>3</v>
      </c>
      <c r="EB233" s="3" t="s">
        <v>3</v>
      </c>
      <c r="EC233" s="3" t="s">
        <v>3</v>
      </c>
      <c r="EE233" s="3">
        <v>57248652</v>
      </c>
      <c r="EF233" s="3">
        <v>40</v>
      </c>
      <c r="EG233" s="3" t="s">
        <v>33</v>
      </c>
      <c r="EH233" s="3">
        <v>0</v>
      </c>
      <c r="EI233" s="3" t="s">
        <v>3</v>
      </c>
      <c r="EJ233" s="3">
        <v>2</v>
      </c>
      <c r="EK233" s="3">
        <v>68</v>
      </c>
      <c r="EL233" s="3" t="s">
        <v>34</v>
      </c>
      <c r="EM233" s="3" t="s">
        <v>35</v>
      </c>
      <c r="EO233" s="3" t="s">
        <v>124</v>
      </c>
      <c r="EQ233" s="3">
        <v>0</v>
      </c>
      <c r="ER233" s="3">
        <v>396.59</v>
      </c>
      <c r="ES233" s="3">
        <v>396.59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FQ233" s="3">
        <v>0</v>
      </c>
      <c r="FR233" s="3">
        <v>0</v>
      </c>
      <c r="FS233" s="3">
        <v>0</v>
      </c>
      <c r="FX233" s="3">
        <v>90</v>
      </c>
      <c r="FY233" s="3">
        <v>46</v>
      </c>
      <c r="GA233" s="3" t="s">
        <v>3</v>
      </c>
      <c r="GD233" s="3">
        <v>1</v>
      </c>
      <c r="GF233" s="3">
        <v>1886730866</v>
      </c>
      <c r="GG233" s="3">
        <v>2</v>
      </c>
      <c r="GH233" s="3">
        <v>1</v>
      </c>
      <c r="GI233" s="3">
        <v>2</v>
      </c>
      <c r="GJ233" s="3">
        <v>0</v>
      </c>
      <c r="GK233" s="3">
        <v>0</v>
      </c>
      <c r="GL233" s="3">
        <f t="shared" si="236"/>
        <v>0</v>
      </c>
      <c r="GM233" s="3">
        <f t="shared" si="237"/>
        <v>3734.28</v>
      </c>
      <c r="GN233" s="3">
        <f t="shared" si="238"/>
        <v>0</v>
      </c>
      <c r="GO233" s="3">
        <f t="shared" si="239"/>
        <v>3734.28</v>
      </c>
      <c r="GP233" s="3">
        <f t="shared" si="240"/>
        <v>0</v>
      </c>
      <c r="GR233" s="3">
        <v>0</v>
      </c>
      <c r="GS233" s="3">
        <v>3</v>
      </c>
      <c r="GT233" s="3">
        <v>0</v>
      </c>
      <c r="GU233" s="3" t="s">
        <v>3</v>
      </c>
      <c r="GV233" s="3">
        <f t="shared" si="241"/>
        <v>0</v>
      </c>
      <c r="GW233" s="3">
        <v>1</v>
      </c>
      <c r="GX233" s="3">
        <f t="shared" si="242"/>
        <v>0</v>
      </c>
      <c r="HA233" s="3">
        <v>0</v>
      </c>
      <c r="HB233" s="3">
        <v>0</v>
      </c>
      <c r="HC233" s="3">
        <f t="shared" si="243"/>
        <v>0</v>
      </c>
      <c r="HE233" s="3" t="s">
        <v>3</v>
      </c>
      <c r="HF233" s="3" t="s">
        <v>3</v>
      </c>
      <c r="HM233" s="3" t="s">
        <v>119</v>
      </c>
      <c r="HN233" s="3" t="s">
        <v>3</v>
      </c>
      <c r="HO233" s="3" t="s">
        <v>3</v>
      </c>
      <c r="HP233" s="3" t="s">
        <v>3</v>
      </c>
      <c r="HQ233" s="3" t="s">
        <v>3</v>
      </c>
      <c r="HS233" s="3">
        <v>0</v>
      </c>
      <c r="IK233" s="3">
        <v>0</v>
      </c>
    </row>
    <row r="234" spans="1:255" x14ac:dyDescent="0.2">
      <c r="A234" s="2">
        <v>18</v>
      </c>
      <c r="B234" s="2">
        <v>1</v>
      </c>
      <c r="C234" s="2">
        <v>269</v>
      </c>
      <c r="D234" s="2"/>
      <c r="E234" s="2" t="s">
        <v>362</v>
      </c>
      <c r="F234" s="2" t="s">
        <v>350</v>
      </c>
      <c r="G234" s="2" t="s">
        <v>363</v>
      </c>
      <c r="H234" s="2" t="s">
        <v>67</v>
      </c>
      <c r="I234" s="2">
        <f>I228*J234</f>
        <v>26.4</v>
      </c>
      <c r="J234" s="2">
        <v>4.1121495327102799</v>
      </c>
      <c r="K234" s="2">
        <v>4.1121495000000001</v>
      </c>
      <c r="L234" s="2"/>
      <c r="M234" s="2"/>
      <c r="N234" s="2"/>
      <c r="O234" s="2">
        <f t="shared" si="219"/>
        <v>2506.15</v>
      </c>
      <c r="P234" s="2">
        <f t="shared" si="220"/>
        <v>2506.15</v>
      </c>
      <c r="Q234" s="2">
        <f t="shared" si="258"/>
        <v>0</v>
      </c>
      <c r="R234" s="2">
        <f t="shared" si="259"/>
        <v>0</v>
      </c>
      <c r="S234" s="2">
        <f t="shared" si="221"/>
        <v>0</v>
      </c>
      <c r="T234" s="2">
        <f t="shared" si="222"/>
        <v>0</v>
      </c>
      <c r="U234" s="2">
        <f t="shared" si="223"/>
        <v>0</v>
      </c>
      <c r="V234" s="2">
        <f t="shared" si="224"/>
        <v>0</v>
      </c>
      <c r="W234" s="2">
        <f t="shared" si="225"/>
        <v>0</v>
      </c>
      <c r="X234" s="2">
        <f t="shared" si="260"/>
        <v>0</v>
      </c>
      <c r="Y234" s="2">
        <f t="shared" si="261"/>
        <v>0</v>
      </c>
      <c r="Z234" s="2"/>
      <c r="AA234" s="2">
        <v>57248835</v>
      </c>
      <c r="AB234" s="2">
        <f t="shared" si="226"/>
        <v>94.93</v>
      </c>
      <c r="AC234" s="2">
        <f t="shared" si="262"/>
        <v>94.93</v>
      </c>
      <c r="AD234" s="2">
        <f t="shared" si="263"/>
        <v>0</v>
      </c>
      <c r="AE234" s="2">
        <f t="shared" si="264"/>
        <v>0</v>
      </c>
      <c r="AF234" s="2">
        <f t="shared" si="265"/>
        <v>0</v>
      </c>
      <c r="AG234" s="2">
        <f t="shared" si="227"/>
        <v>0</v>
      </c>
      <c r="AH234" s="2">
        <f t="shared" si="266"/>
        <v>0</v>
      </c>
      <c r="AI234" s="2">
        <f t="shared" si="267"/>
        <v>0</v>
      </c>
      <c r="AJ234" s="2">
        <f t="shared" si="228"/>
        <v>0</v>
      </c>
      <c r="AK234" s="2">
        <v>94.93</v>
      </c>
      <c r="AL234" s="2">
        <v>94.93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90</v>
      </c>
      <c r="AU234" s="2">
        <v>46</v>
      </c>
      <c r="AV234" s="2">
        <v>1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3</v>
      </c>
      <c r="BI234" s="2">
        <v>2</v>
      </c>
      <c r="BJ234" s="2" t="s">
        <v>352</v>
      </c>
      <c r="BK234" s="2"/>
      <c r="BL234" s="2"/>
      <c r="BM234" s="2">
        <v>68</v>
      </c>
      <c r="BN234" s="2">
        <v>0</v>
      </c>
      <c r="BO234" s="2" t="s">
        <v>3</v>
      </c>
      <c r="BP234" s="2">
        <v>0</v>
      </c>
      <c r="BQ234" s="2">
        <v>40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90</v>
      </c>
      <c r="CA234" s="2">
        <v>46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821</v>
      </c>
      <c r="CO234" s="2">
        <v>0</v>
      </c>
      <c r="CP234" s="2">
        <f t="shared" si="229"/>
        <v>2506.15</v>
      </c>
      <c r="CQ234" s="2">
        <f t="shared" si="230"/>
        <v>94.93</v>
      </c>
      <c r="CR234" s="2">
        <f t="shared" si="268"/>
        <v>0</v>
      </c>
      <c r="CS234" s="2">
        <f t="shared" si="269"/>
        <v>0</v>
      </c>
      <c r="CT234" s="2">
        <f t="shared" si="231"/>
        <v>0</v>
      </c>
      <c r="CU234" s="2">
        <f t="shared" si="232"/>
        <v>0</v>
      </c>
      <c r="CV234" s="2">
        <f t="shared" si="233"/>
        <v>0</v>
      </c>
      <c r="CW234" s="2">
        <f t="shared" si="234"/>
        <v>0</v>
      </c>
      <c r="CX234" s="2">
        <f t="shared" si="235"/>
        <v>0</v>
      </c>
      <c r="CY234" s="2">
        <f t="shared" si="270"/>
        <v>0</v>
      </c>
      <c r="CZ234" s="2">
        <f t="shared" si="271"/>
        <v>0</v>
      </c>
      <c r="DA234" s="2"/>
      <c r="DB234" s="2"/>
      <c r="DC234" s="2" t="s">
        <v>3</v>
      </c>
      <c r="DD234" s="2" t="s">
        <v>3</v>
      </c>
      <c r="DE234" s="2" t="s">
        <v>3</v>
      </c>
      <c r="DF234" s="2" t="s">
        <v>3</v>
      </c>
      <c r="DG234" s="2" t="s">
        <v>3</v>
      </c>
      <c r="DH234" s="2" t="s">
        <v>3</v>
      </c>
      <c r="DI234" s="2" t="s">
        <v>3</v>
      </c>
      <c r="DJ234" s="2" t="s">
        <v>3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1010</v>
      </c>
      <c r="DV234" s="2" t="s">
        <v>67</v>
      </c>
      <c r="DW234" s="2" t="s">
        <v>67</v>
      </c>
      <c r="DX234" s="2">
        <v>100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57248652</v>
      </c>
      <c r="EF234" s="2">
        <v>40</v>
      </c>
      <c r="EG234" s="2" t="s">
        <v>33</v>
      </c>
      <c r="EH234" s="2">
        <v>0</v>
      </c>
      <c r="EI234" s="2" t="s">
        <v>3</v>
      </c>
      <c r="EJ234" s="2">
        <v>2</v>
      </c>
      <c r="EK234" s="2">
        <v>68</v>
      </c>
      <c r="EL234" s="2" t="s">
        <v>34</v>
      </c>
      <c r="EM234" s="2" t="s">
        <v>35</v>
      </c>
      <c r="EN234" s="2"/>
      <c r="EO234" s="2" t="s">
        <v>124</v>
      </c>
      <c r="EP234" s="2"/>
      <c r="EQ234" s="2">
        <v>0</v>
      </c>
      <c r="ER234" s="2">
        <v>94.93</v>
      </c>
      <c r="ES234" s="2">
        <v>94.93</v>
      </c>
      <c r="ET234" s="2">
        <v>0</v>
      </c>
      <c r="EU234" s="2">
        <v>0</v>
      </c>
      <c r="EV234" s="2">
        <v>0</v>
      </c>
      <c r="EW234" s="2">
        <v>0</v>
      </c>
      <c r="EX234" s="2">
        <v>0</v>
      </c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90</v>
      </c>
      <c r="FY234" s="2">
        <v>46</v>
      </c>
      <c r="FZ234" s="2"/>
      <c r="GA234" s="2" t="s">
        <v>3</v>
      </c>
      <c r="GB234" s="2"/>
      <c r="GC234" s="2"/>
      <c r="GD234" s="2">
        <v>1</v>
      </c>
      <c r="GE234" s="2"/>
      <c r="GF234" s="2">
        <v>1778873822</v>
      </c>
      <c r="GG234" s="2">
        <v>2</v>
      </c>
      <c r="GH234" s="2">
        <v>1</v>
      </c>
      <c r="GI234" s="2">
        <v>-2</v>
      </c>
      <c r="GJ234" s="2">
        <v>0</v>
      </c>
      <c r="GK234" s="2">
        <v>0</v>
      </c>
      <c r="GL234" s="2">
        <f t="shared" si="236"/>
        <v>0</v>
      </c>
      <c r="GM234" s="2">
        <f t="shared" si="237"/>
        <v>2506.15</v>
      </c>
      <c r="GN234" s="2">
        <f t="shared" si="238"/>
        <v>0</v>
      </c>
      <c r="GO234" s="2">
        <f t="shared" si="239"/>
        <v>2506.15</v>
      </c>
      <c r="GP234" s="2">
        <f t="shared" si="240"/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si="241"/>
        <v>0</v>
      </c>
      <c r="GW234" s="2">
        <v>1</v>
      </c>
      <c r="GX234" s="2">
        <f t="shared" si="242"/>
        <v>0</v>
      </c>
      <c r="GY234" s="2"/>
      <c r="GZ234" s="2"/>
      <c r="HA234" s="2">
        <v>0</v>
      </c>
      <c r="HB234" s="2">
        <v>0</v>
      </c>
      <c r="HC234" s="2">
        <f t="shared" si="243"/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119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3">
        <v>18</v>
      </c>
      <c r="B235" s="3">
        <v>1</v>
      </c>
      <c r="C235" s="3">
        <v>279</v>
      </c>
      <c r="E235" s="3" t="s">
        <v>362</v>
      </c>
      <c r="F235" s="3" t="s">
        <v>350</v>
      </c>
      <c r="G235" s="3" t="s">
        <v>363</v>
      </c>
      <c r="H235" s="3" t="s">
        <v>67</v>
      </c>
      <c r="I235" s="3">
        <f>I229*J235</f>
        <v>26.4</v>
      </c>
      <c r="J235" s="3">
        <v>4.1121495327102799</v>
      </c>
      <c r="K235" s="3">
        <v>4.1121495000000001</v>
      </c>
      <c r="O235" s="3">
        <f t="shared" si="219"/>
        <v>9272.76</v>
      </c>
      <c r="P235" s="3">
        <f t="shared" si="220"/>
        <v>9272.76</v>
      </c>
      <c r="Q235" s="3">
        <f t="shared" si="258"/>
        <v>0</v>
      </c>
      <c r="R235" s="3">
        <f t="shared" si="259"/>
        <v>0</v>
      </c>
      <c r="S235" s="3">
        <f t="shared" si="221"/>
        <v>0</v>
      </c>
      <c r="T235" s="3">
        <f t="shared" si="222"/>
        <v>0</v>
      </c>
      <c r="U235" s="3">
        <f t="shared" si="223"/>
        <v>0</v>
      </c>
      <c r="V235" s="3">
        <f t="shared" si="224"/>
        <v>0</v>
      </c>
      <c r="W235" s="3">
        <f t="shared" si="225"/>
        <v>0</v>
      </c>
      <c r="X235" s="3">
        <f t="shared" si="260"/>
        <v>0</v>
      </c>
      <c r="Y235" s="3">
        <f t="shared" si="261"/>
        <v>0</v>
      </c>
      <c r="AA235" s="3">
        <v>57248837</v>
      </c>
      <c r="AB235" s="3">
        <f t="shared" si="226"/>
        <v>94.93</v>
      </c>
      <c r="AC235" s="3">
        <f t="shared" si="262"/>
        <v>94.93</v>
      </c>
      <c r="AD235" s="3">
        <f t="shared" si="263"/>
        <v>0</v>
      </c>
      <c r="AE235" s="3">
        <f t="shared" si="264"/>
        <v>0</v>
      </c>
      <c r="AF235" s="3">
        <f t="shared" si="265"/>
        <v>0</v>
      </c>
      <c r="AG235" s="3">
        <f t="shared" si="227"/>
        <v>0</v>
      </c>
      <c r="AH235" s="3">
        <f t="shared" si="266"/>
        <v>0</v>
      </c>
      <c r="AI235" s="3">
        <f t="shared" si="267"/>
        <v>0</v>
      </c>
      <c r="AJ235" s="3">
        <f t="shared" si="228"/>
        <v>0</v>
      </c>
      <c r="AK235" s="3">
        <v>94.93</v>
      </c>
      <c r="AL235" s="3">
        <v>94.93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90</v>
      </c>
      <c r="AU235" s="3">
        <v>46</v>
      </c>
      <c r="AV235" s="3">
        <v>1</v>
      </c>
      <c r="AW235" s="3">
        <v>1</v>
      </c>
      <c r="AZ235" s="3">
        <v>1</v>
      </c>
      <c r="BA235" s="3">
        <v>1</v>
      </c>
      <c r="BB235" s="3">
        <v>1</v>
      </c>
      <c r="BC235" s="3">
        <v>3.7</v>
      </c>
      <c r="BD235" s="3" t="s">
        <v>3</v>
      </c>
      <c r="BE235" s="3" t="s">
        <v>3</v>
      </c>
      <c r="BF235" s="3" t="s">
        <v>3</v>
      </c>
      <c r="BG235" s="3" t="s">
        <v>3</v>
      </c>
      <c r="BH235" s="3">
        <v>3</v>
      </c>
      <c r="BI235" s="3">
        <v>2</v>
      </c>
      <c r="BJ235" s="3" t="s">
        <v>352</v>
      </c>
      <c r="BM235" s="3">
        <v>68</v>
      </c>
      <c r="BN235" s="3">
        <v>0</v>
      </c>
      <c r="BO235" s="3" t="s">
        <v>350</v>
      </c>
      <c r="BP235" s="3">
        <v>1</v>
      </c>
      <c r="BQ235" s="3">
        <v>40</v>
      </c>
      <c r="BR235" s="3">
        <v>0</v>
      </c>
      <c r="BS235" s="3">
        <v>1</v>
      </c>
      <c r="BT235" s="3">
        <v>1</v>
      </c>
      <c r="BU235" s="3">
        <v>1</v>
      </c>
      <c r="BV235" s="3">
        <v>1</v>
      </c>
      <c r="BW235" s="3">
        <v>1</v>
      </c>
      <c r="BX235" s="3">
        <v>1</v>
      </c>
      <c r="BY235" s="3" t="s">
        <v>3</v>
      </c>
      <c r="BZ235" s="3">
        <v>90</v>
      </c>
      <c r="CA235" s="3">
        <v>46</v>
      </c>
      <c r="CB235" s="3" t="s">
        <v>3</v>
      </c>
      <c r="CE235" s="3">
        <v>1566</v>
      </c>
      <c r="CF235" s="3">
        <v>0</v>
      </c>
      <c r="CG235" s="3">
        <v>0</v>
      </c>
      <c r="CM235" s="3">
        <v>0</v>
      </c>
      <c r="CN235" s="3" t="s">
        <v>821</v>
      </c>
      <c r="CO235" s="3">
        <v>0</v>
      </c>
      <c r="CP235" s="3">
        <f t="shared" si="229"/>
        <v>9272.76</v>
      </c>
      <c r="CQ235" s="3">
        <f t="shared" si="230"/>
        <v>351.24</v>
      </c>
      <c r="CR235" s="3">
        <f t="shared" si="268"/>
        <v>0</v>
      </c>
      <c r="CS235" s="3">
        <f t="shared" si="269"/>
        <v>0</v>
      </c>
      <c r="CT235" s="3">
        <f t="shared" si="231"/>
        <v>0</v>
      </c>
      <c r="CU235" s="3">
        <f t="shared" si="232"/>
        <v>0</v>
      </c>
      <c r="CV235" s="3">
        <f t="shared" si="233"/>
        <v>0</v>
      </c>
      <c r="CW235" s="3">
        <f t="shared" si="234"/>
        <v>0</v>
      </c>
      <c r="CX235" s="3">
        <f t="shared" si="235"/>
        <v>0</v>
      </c>
      <c r="CY235" s="3">
        <f t="shared" si="270"/>
        <v>0</v>
      </c>
      <c r="CZ235" s="3">
        <f t="shared" si="271"/>
        <v>0</v>
      </c>
      <c r="DC235" s="3" t="s">
        <v>3</v>
      </c>
      <c r="DD235" s="3" t="s">
        <v>3</v>
      </c>
      <c r="DE235" s="3" t="s">
        <v>3</v>
      </c>
      <c r="DF235" s="3" t="s">
        <v>3</v>
      </c>
      <c r="DG235" s="3" t="s">
        <v>3</v>
      </c>
      <c r="DH235" s="3" t="s">
        <v>3</v>
      </c>
      <c r="DI235" s="3" t="s">
        <v>3</v>
      </c>
      <c r="DJ235" s="3" t="s">
        <v>3</v>
      </c>
      <c r="DK235" s="3" t="s">
        <v>3</v>
      </c>
      <c r="DL235" s="3" t="s">
        <v>3</v>
      </c>
      <c r="DM235" s="3" t="s">
        <v>3</v>
      </c>
      <c r="DN235" s="3">
        <v>0</v>
      </c>
      <c r="DO235" s="3">
        <v>0</v>
      </c>
      <c r="DP235" s="3">
        <v>1</v>
      </c>
      <c r="DQ235" s="3">
        <v>1</v>
      </c>
      <c r="DU235" s="3">
        <v>1010</v>
      </c>
      <c r="DV235" s="3" t="s">
        <v>67</v>
      </c>
      <c r="DW235" s="3" t="s">
        <v>67</v>
      </c>
      <c r="DX235" s="3">
        <v>100</v>
      </c>
      <c r="DZ235" s="3" t="s">
        <v>3</v>
      </c>
      <c r="EA235" s="3" t="s">
        <v>3</v>
      </c>
      <c r="EB235" s="3" t="s">
        <v>3</v>
      </c>
      <c r="EC235" s="3" t="s">
        <v>3</v>
      </c>
      <c r="EE235" s="3">
        <v>57248652</v>
      </c>
      <c r="EF235" s="3">
        <v>40</v>
      </c>
      <c r="EG235" s="3" t="s">
        <v>33</v>
      </c>
      <c r="EH235" s="3">
        <v>0</v>
      </c>
      <c r="EI235" s="3" t="s">
        <v>3</v>
      </c>
      <c r="EJ235" s="3">
        <v>2</v>
      </c>
      <c r="EK235" s="3">
        <v>68</v>
      </c>
      <c r="EL235" s="3" t="s">
        <v>34</v>
      </c>
      <c r="EM235" s="3" t="s">
        <v>35</v>
      </c>
      <c r="EO235" s="3" t="s">
        <v>124</v>
      </c>
      <c r="EQ235" s="3">
        <v>0</v>
      </c>
      <c r="ER235" s="3">
        <v>94.93</v>
      </c>
      <c r="ES235" s="3">
        <v>94.93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FQ235" s="3">
        <v>0</v>
      </c>
      <c r="FR235" s="3">
        <v>0</v>
      </c>
      <c r="FS235" s="3">
        <v>0</v>
      </c>
      <c r="FX235" s="3">
        <v>90</v>
      </c>
      <c r="FY235" s="3">
        <v>46</v>
      </c>
      <c r="GA235" s="3" t="s">
        <v>3</v>
      </c>
      <c r="GD235" s="3">
        <v>1</v>
      </c>
      <c r="GF235" s="3">
        <v>1778873822</v>
      </c>
      <c r="GG235" s="3">
        <v>2</v>
      </c>
      <c r="GH235" s="3">
        <v>1</v>
      </c>
      <c r="GI235" s="3">
        <v>2</v>
      </c>
      <c r="GJ235" s="3">
        <v>0</v>
      </c>
      <c r="GK235" s="3">
        <v>0</v>
      </c>
      <c r="GL235" s="3">
        <f t="shared" si="236"/>
        <v>0</v>
      </c>
      <c r="GM235" s="3">
        <f t="shared" si="237"/>
        <v>9272.76</v>
      </c>
      <c r="GN235" s="3">
        <f t="shared" si="238"/>
        <v>0</v>
      </c>
      <c r="GO235" s="3">
        <f t="shared" si="239"/>
        <v>9272.76</v>
      </c>
      <c r="GP235" s="3">
        <f t="shared" si="240"/>
        <v>0</v>
      </c>
      <c r="GR235" s="3">
        <v>0</v>
      </c>
      <c r="GS235" s="3">
        <v>3</v>
      </c>
      <c r="GT235" s="3">
        <v>0</v>
      </c>
      <c r="GU235" s="3" t="s">
        <v>3</v>
      </c>
      <c r="GV235" s="3">
        <f t="shared" si="241"/>
        <v>0</v>
      </c>
      <c r="GW235" s="3">
        <v>1</v>
      </c>
      <c r="GX235" s="3">
        <f t="shared" si="242"/>
        <v>0</v>
      </c>
      <c r="HA235" s="3">
        <v>0</v>
      </c>
      <c r="HB235" s="3">
        <v>0</v>
      </c>
      <c r="HC235" s="3">
        <f t="shared" si="243"/>
        <v>0</v>
      </c>
      <c r="HE235" s="3" t="s">
        <v>3</v>
      </c>
      <c r="HF235" s="3" t="s">
        <v>3</v>
      </c>
      <c r="HM235" s="3" t="s">
        <v>119</v>
      </c>
      <c r="HN235" s="3" t="s">
        <v>3</v>
      </c>
      <c r="HO235" s="3" t="s">
        <v>3</v>
      </c>
      <c r="HP235" s="3" t="s">
        <v>3</v>
      </c>
      <c r="HQ235" s="3" t="s">
        <v>3</v>
      </c>
      <c r="HS235" s="3">
        <v>0</v>
      </c>
      <c r="IK235" s="3">
        <v>0</v>
      </c>
    </row>
    <row r="236" spans="1:255" x14ac:dyDescent="0.2">
      <c r="A236" s="2">
        <v>18</v>
      </c>
      <c r="B236" s="2">
        <v>1</v>
      </c>
      <c r="C236" s="2">
        <v>268</v>
      </c>
      <c r="D236" s="2"/>
      <c r="E236" s="2" t="s">
        <v>364</v>
      </c>
      <c r="F236" s="2" t="s">
        <v>356</v>
      </c>
      <c r="G236" s="2" t="s">
        <v>357</v>
      </c>
      <c r="H236" s="2" t="s">
        <v>67</v>
      </c>
      <c r="I236" s="2">
        <f>I228*J236</f>
        <v>26.4</v>
      </c>
      <c r="J236" s="2">
        <v>4.1121495327102799</v>
      </c>
      <c r="K236" s="2">
        <v>4.1121495000000001</v>
      </c>
      <c r="L236" s="2"/>
      <c r="M236" s="2"/>
      <c r="N236" s="2"/>
      <c r="O236" s="2">
        <f t="shared" si="219"/>
        <v>456.19</v>
      </c>
      <c r="P236" s="2">
        <f t="shared" si="220"/>
        <v>456.19</v>
      </c>
      <c r="Q236" s="2">
        <f t="shared" si="258"/>
        <v>0</v>
      </c>
      <c r="R236" s="2">
        <f t="shared" si="259"/>
        <v>0</v>
      </c>
      <c r="S236" s="2">
        <f t="shared" si="221"/>
        <v>0</v>
      </c>
      <c r="T236" s="2">
        <f t="shared" si="222"/>
        <v>0</v>
      </c>
      <c r="U236" s="2">
        <f t="shared" si="223"/>
        <v>0</v>
      </c>
      <c r="V236" s="2">
        <f t="shared" si="224"/>
        <v>0</v>
      </c>
      <c r="W236" s="2">
        <f t="shared" si="225"/>
        <v>0</v>
      </c>
      <c r="X236" s="2">
        <f t="shared" si="260"/>
        <v>0</v>
      </c>
      <c r="Y236" s="2">
        <f t="shared" si="261"/>
        <v>0</v>
      </c>
      <c r="Z236" s="2"/>
      <c r="AA236" s="2">
        <v>57248835</v>
      </c>
      <c r="AB236" s="2">
        <f t="shared" si="226"/>
        <v>17.28</v>
      </c>
      <c r="AC236" s="2">
        <f t="shared" si="262"/>
        <v>17.28</v>
      </c>
      <c r="AD236" s="2">
        <f t="shared" si="263"/>
        <v>0</v>
      </c>
      <c r="AE236" s="2">
        <f t="shared" si="264"/>
        <v>0</v>
      </c>
      <c r="AF236" s="2">
        <f t="shared" si="265"/>
        <v>0</v>
      </c>
      <c r="AG236" s="2">
        <f t="shared" si="227"/>
        <v>0</v>
      </c>
      <c r="AH236" s="2">
        <f t="shared" si="266"/>
        <v>0</v>
      </c>
      <c r="AI236" s="2">
        <f t="shared" si="267"/>
        <v>0</v>
      </c>
      <c r="AJ236" s="2">
        <f t="shared" si="228"/>
        <v>0</v>
      </c>
      <c r="AK236" s="2">
        <v>17.28</v>
      </c>
      <c r="AL236" s="2">
        <v>17.28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90</v>
      </c>
      <c r="AU236" s="2">
        <v>46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2</v>
      </c>
      <c r="BJ236" s="2" t="s">
        <v>358</v>
      </c>
      <c r="BK236" s="2"/>
      <c r="BL236" s="2"/>
      <c r="BM236" s="2">
        <v>68</v>
      </c>
      <c r="BN236" s="2">
        <v>0</v>
      </c>
      <c r="BO236" s="2" t="s">
        <v>3</v>
      </c>
      <c r="BP236" s="2">
        <v>0</v>
      </c>
      <c r="BQ236" s="2">
        <v>40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90</v>
      </c>
      <c r="CA236" s="2">
        <v>46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821</v>
      </c>
      <c r="CO236" s="2">
        <v>0</v>
      </c>
      <c r="CP236" s="2">
        <f t="shared" si="229"/>
        <v>456.19</v>
      </c>
      <c r="CQ236" s="2">
        <f t="shared" si="230"/>
        <v>17.28</v>
      </c>
      <c r="CR236" s="2">
        <f t="shared" si="268"/>
        <v>0</v>
      </c>
      <c r="CS236" s="2">
        <f t="shared" si="269"/>
        <v>0</v>
      </c>
      <c r="CT236" s="2">
        <f t="shared" si="231"/>
        <v>0</v>
      </c>
      <c r="CU236" s="2">
        <f t="shared" si="232"/>
        <v>0</v>
      </c>
      <c r="CV236" s="2">
        <f t="shared" si="233"/>
        <v>0</v>
      </c>
      <c r="CW236" s="2">
        <f t="shared" si="234"/>
        <v>0</v>
      </c>
      <c r="CX236" s="2">
        <f t="shared" si="235"/>
        <v>0</v>
      </c>
      <c r="CY236" s="2">
        <f t="shared" si="270"/>
        <v>0</v>
      </c>
      <c r="CZ236" s="2">
        <f t="shared" si="271"/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67</v>
      </c>
      <c r="DW236" s="2" t="s">
        <v>67</v>
      </c>
      <c r="DX236" s="2">
        <v>100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57248652</v>
      </c>
      <c r="EF236" s="2">
        <v>40</v>
      </c>
      <c r="EG236" s="2" t="s">
        <v>33</v>
      </c>
      <c r="EH236" s="2">
        <v>0</v>
      </c>
      <c r="EI236" s="2" t="s">
        <v>3</v>
      </c>
      <c r="EJ236" s="2">
        <v>2</v>
      </c>
      <c r="EK236" s="2">
        <v>68</v>
      </c>
      <c r="EL236" s="2" t="s">
        <v>34</v>
      </c>
      <c r="EM236" s="2" t="s">
        <v>35</v>
      </c>
      <c r="EN236" s="2"/>
      <c r="EO236" s="2" t="s">
        <v>124</v>
      </c>
      <c r="EP236" s="2"/>
      <c r="EQ236" s="2">
        <v>0</v>
      </c>
      <c r="ER236" s="2">
        <v>17.28</v>
      </c>
      <c r="ES236" s="2">
        <v>17.28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90</v>
      </c>
      <c r="FY236" s="2">
        <v>46</v>
      </c>
      <c r="FZ236" s="2"/>
      <c r="GA236" s="2" t="s">
        <v>3</v>
      </c>
      <c r="GB236" s="2"/>
      <c r="GC236" s="2"/>
      <c r="GD236" s="2">
        <v>1</v>
      </c>
      <c r="GE236" s="2"/>
      <c r="GF236" s="2">
        <v>-2062965048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236"/>
        <v>0</v>
      </c>
      <c r="GM236" s="2">
        <f t="shared" si="237"/>
        <v>456.19</v>
      </c>
      <c r="GN236" s="2">
        <f t="shared" si="238"/>
        <v>0</v>
      </c>
      <c r="GO236" s="2">
        <f t="shared" si="239"/>
        <v>456.19</v>
      </c>
      <c r="GP236" s="2">
        <f t="shared" si="240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241"/>
        <v>0</v>
      </c>
      <c r="GW236" s="2">
        <v>1</v>
      </c>
      <c r="GX236" s="2">
        <f t="shared" si="242"/>
        <v>0</v>
      </c>
      <c r="GY236" s="2"/>
      <c r="GZ236" s="2"/>
      <c r="HA236" s="2">
        <v>0</v>
      </c>
      <c r="HB236" s="2">
        <v>0</v>
      </c>
      <c r="HC236" s="2">
        <f t="shared" si="243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119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3">
        <v>18</v>
      </c>
      <c r="B237" s="3">
        <v>1</v>
      </c>
      <c r="C237" s="3">
        <v>278</v>
      </c>
      <c r="E237" s="3" t="s">
        <v>364</v>
      </c>
      <c r="F237" s="3" t="s">
        <v>356</v>
      </c>
      <c r="G237" s="3" t="s">
        <v>357</v>
      </c>
      <c r="H237" s="3" t="s">
        <v>67</v>
      </c>
      <c r="I237" s="3">
        <f>I229*J237</f>
        <v>26.4</v>
      </c>
      <c r="J237" s="3">
        <v>4.1121495327102799</v>
      </c>
      <c r="K237" s="3">
        <v>4.1121495000000001</v>
      </c>
      <c r="O237" s="3">
        <f t="shared" si="219"/>
        <v>2960.67</v>
      </c>
      <c r="P237" s="3">
        <f t="shared" si="220"/>
        <v>2960.67</v>
      </c>
      <c r="Q237" s="3">
        <f t="shared" si="258"/>
        <v>0</v>
      </c>
      <c r="R237" s="3">
        <f t="shared" si="259"/>
        <v>0</v>
      </c>
      <c r="S237" s="3">
        <f t="shared" si="221"/>
        <v>0</v>
      </c>
      <c r="T237" s="3">
        <f t="shared" si="222"/>
        <v>0</v>
      </c>
      <c r="U237" s="3">
        <f t="shared" si="223"/>
        <v>0</v>
      </c>
      <c r="V237" s="3">
        <f t="shared" si="224"/>
        <v>0</v>
      </c>
      <c r="W237" s="3">
        <f t="shared" si="225"/>
        <v>0</v>
      </c>
      <c r="X237" s="3">
        <f t="shared" si="260"/>
        <v>0</v>
      </c>
      <c r="Y237" s="3">
        <f t="shared" si="261"/>
        <v>0</v>
      </c>
      <c r="AA237" s="3">
        <v>57248837</v>
      </c>
      <c r="AB237" s="3">
        <f t="shared" si="226"/>
        <v>17.28</v>
      </c>
      <c r="AC237" s="3">
        <f t="shared" si="262"/>
        <v>17.28</v>
      </c>
      <c r="AD237" s="3">
        <f t="shared" si="263"/>
        <v>0</v>
      </c>
      <c r="AE237" s="3">
        <f t="shared" si="264"/>
        <v>0</v>
      </c>
      <c r="AF237" s="3">
        <f t="shared" si="265"/>
        <v>0</v>
      </c>
      <c r="AG237" s="3">
        <f t="shared" si="227"/>
        <v>0</v>
      </c>
      <c r="AH237" s="3">
        <f t="shared" si="266"/>
        <v>0</v>
      </c>
      <c r="AI237" s="3">
        <f t="shared" si="267"/>
        <v>0</v>
      </c>
      <c r="AJ237" s="3">
        <f t="shared" si="228"/>
        <v>0</v>
      </c>
      <c r="AK237" s="3">
        <v>17.28</v>
      </c>
      <c r="AL237" s="3">
        <v>17.28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90</v>
      </c>
      <c r="AU237" s="3">
        <v>46</v>
      </c>
      <c r="AV237" s="3">
        <v>1</v>
      </c>
      <c r="AW237" s="3">
        <v>1</v>
      </c>
      <c r="AZ237" s="3">
        <v>1</v>
      </c>
      <c r="BA237" s="3">
        <v>1</v>
      </c>
      <c r="BB237" s="3">
        <v>1</v>
      </c>
      <c r="BC237" s="3">
        <v>6.49</v>
      </c>
      <c r="BD237" s="3" t="s">
        <v>3</v>
      </c>
      <c r="BE237" s="3" t="s">
        <v>3</v>
      </c>
      <c r="BF237" s="3" t="s">
        <v>3</v>
      </c>
      <c r="BG237" s="3" t="s">
        <v>3</v>
      </c>
      <c r="BH237" s="3">
        <v>3</v>
      </c>
      <c r="BI237" s="3">
        <v>2</v>
      </c>
      <c r="BJ237" s="3" t="s">
        <v>358</v>
      </c>
      <c r="BM237" s="3">
        <v>68</v>
      </c>
      <c r="BN237" s="3">
        <v>0</v>
      </c>
      <c r="BO237" s="3" t="s">
        <v>356</v>
      </c>
      <c r="BP237" s="3">
        <v>1</v>
      </c>
      <c r="BQ237" s="3">
        <v>40</v>
      </c>
      <c r="BR237" s="3">
        <v>0</v>
      </c>
      <c r="BS237" s="3">
        <v>1</v>
      </c>
      <c r="BT237" s="3">
        <v>1</v>
      </c>
      <c r="BU237" s="3">
        <v>1</v>
      </c>
      <c r="BV237" s="3">
        <v>1</v>
      </c>
      <c r="BW237" s="3">
        <v>1</v>
      </c>
      <c r="BX237" s="3">
        <v>1</v>
      </c>
      <c r="BY237" s="3" t="s">
        <v>3</v>
      </c>
      <c r="BZ237" s="3">
        <v>90</v>
      </c>
      <c r="CA237" s="3">
        <v>46</v>
      </c>
      <c r="CB237" s="3" t="s">
        <v>3</v>
      </c>
      <c r="CE237" s="3">
        <v>1566</v>
      </c>
      <c r="CF237" s="3">
        <v>0</v>
      </c>
      <c r="CG237" s="3">
        <v>0</v>
      </c>
      <c r="CM237" s="3">
        <v>0</v>
      </c>
      <c r="CN237" s="3" t="s">
        <v>821</v>
      </c>
      <c r="CO237" s="3">
        <v>0</v>
      </c>
      <c r="CP237" s="3">
        <f t="shared" si="229"/>
        <v>2960.67</v>
      </c>
      <c r="CQ237" s="3">
        <f t="shared" si="230"/>
        <v>112.15</v>
      </c>
      <c r="CR237" s="3">
        <f t="shared" si="268"/>
        <v>0</v>
      </c>
      <c r="CS237" s="3">
        <f t="shared" si="269"/>
        <v>0</v>
      </c>
      <c r="CT237" s="3">
        <f t="shared" si="231"/>
        <v>0</v>
      </c>
      <c r="CU237" s="3">
        <f t="shared" si="232"/>
        <v>0</v>
      </c>
      <c r="CV237" s="3">
        <f t="shared" si="233"/>
        <v>0</v>
      </c>
      <c r="CW237" s="3">
        <f t="shared" si="234"/>
        <v>0</v>
      </c>
      <c r="CX237" s="3">
        <f t="shared" si="235"/>
        <v>0</v>
      </c>
      <c r="CY237" s="3">
        <f t="shared" si="270"/>
        <v>0</v>
      </c>
      <c r="CZ237" s="3">
        <f t="shared" si="271"/>
        <v>0</v>
      </c>
      <c r="DC237" s="3" t="s">
        <v>3</v>
      </c>
      <c r="DD237" s="3" t="s">
        <v>3</v>
      </c>
      <c r="DE237" s="3" t="s">
        <v>3</v>
      </c>
      <c r="DF237" s="3" t="s">
        <v>3</v>
      </c>
      <c r="DG237" s="3" t="s">
        <v>3</v>
      </c>
      <c r="DH237" s="3" t="s">
        <v>3</v>
      </c>
      <c r="DI237" s="3" t="s">
        <v>3</v>
      </c>
      <c r="DJ237" s="3" t="s">
        <v>3</v>
      </c>
      <c r="DK237" s="3" t="s">
        <v>3</v>
      </c>
      <c r="DL237" s="3" t="s">
        <v>3</v>
      </c>
      <c r="DM237" s="3" t="s">
        <v>3</v>
      </c>
      <c r="DN237" s="3">
        <v>0</v>
      </c>
      <c r="DO237" s="3">
        <v>0</v>
      </c>
      <c r="DP237" s="3">
        <v>1</v>
      </c>
      <c r="DQ237" s="3">
        <v>1</v>
      </c>
      <c r="DU237" s="3">
        <v>1010</v>
      </c>
      <c r="DV237" s="3" t="s">
        <v>67</v>
      </c>
      <c r="DW237" s="3" t="s">
        <v>67</v>
      </c>
      <c r="DX237" s="3">
        <v>100</v>
      </c>
      <c r="DZ237" s="3" t="s">
        <v>3</v>
      </c>
      <c r="EA237" s="3" t="s">
        <v>3</v>
      </c>
      <c r="EB237" s="3" t="s">
        <v>3</v>
      </c>
      <c r="EC237" s="3" t="s">
        <v>3</v>
      </c>
      <c r="EE237" s="3">
        <v>57248652</v>
      </c>
      <c r="EF237" s="3">
        <v>40</v>
      </c>
      <c r="EG237" s="3" t="s">
        <v>33</v>
      </c>
      <c r="EH237" s="3">
        <v>0</v>
      </c>
      <c r="EI237" s="3" t="s">
        <v>3</v>
      </c>
      <c r="EJ237" s="3">
        <v>2</v>
      </c>
      <c r="EK237" s="3">
        <v>68</v>
      </c>
      <c r="EL237" s="3" t="s">
        <v>34</v>
      </c>
      <c r="EM237" s="3" t="s">
        <v>35</v>
      </c>
      <c r="EO237" s="3" t="s">
        <v>124</v>
      </c>
      <c r="EQ237" s="3">
        <v>0</v>
      </c>
      <c r="ER237" s="3">
        <v>17.28</v>
      </c>
      <c r="ES237" s="3">
        <v>17.28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FQ237" s="3">
        <v>0</v>
      </c>
      <c r="FR237" s="3">
        <v>0</v>
      </c>
      <c r="FS237" s="3">
        <v>0</v>
      </c>
      <c r="FX237" s="3">
        <v>90</v>
      </c>
      <c r="FY237" s="3">
        <v>46</v>
      </c>
      <c r="GA237" s="3" t="s">
        <v>3</v>
      </c>
      <c r="GD237" s="3">
        <v>1</v>
      </c>
      <c r="GF237" s="3">
        <v>-2062965048</v>
      </c>
      <c r="GG237" s="3">
        <v>2</v>
      </c>
      <c r="GH237" s="3">
        <v>1</v>
      </c>
      <c r="GI237" s="3">
        <v>2</v>
      </c>
      <c r="GJ237" s="3">
        <v>0</v>
      </c>
      <c r="GK237" s="3">
        <v>0</v>
      </c>
      <c r="GL237" s="3">
        <f t="shared" si="236"/>
        <v>0</v>
      </c>
      <c r="GM237" s="3">
        <f t="shared" si="237"/>
        <v>2960.67</v>
      </c>
      <c r="GN237" s="3">
        <f t="shared" si="238"/>
        <v>0</v>
      </c>
      <c r="GO237" s="3">
        <f t="shared" si="239"/>
        <v>2960.67</v>
      </c>
      <c r="GP237" s="3">
        <f t="shared" si="240"/>
        <v>0</v>
      </c>
      <c r="GR237" s="3">
        <v>0</v>
      </c>
      <c r="GS237" s="3">
        <v>3</v>
      </c>
      <c r="GT237" s="3">
        <v>0</v>
      </c>
      <c r="GU237" s="3" t="s">
        <v>3</v>
      </c>
      <c r="GV237" s="3">
        <f t="shared" si="241"/>
        <v>0</v>
      </c>
      <c r="GW237" s="3">
        <v>1</v>
      </c>
      <c r="GX237" s="3">
        <f t="shared" si="242"/>
        <v>0</v>
      </c>
      <c r="HA237" s="3">
        <v>0</v>
      </c>
      <c r="HB237" s="3">
        <v>0</v>
      </c>
      <c r="HC237" s="3">
        <f t="shared" si="243"/>
        <v>0</v>
      </c>
      <c r="HE237" s="3" t="s">
        <v>3</v>
      </c>
      <c r="HF237" s="3" t="s">
        <v>3</v>
      </c>
      <c r="HM237" s="3" t="s">
        <v>119</v>
      </c>
      <c r="HN237" s="3" t="s">
        <v>3</v>
      </c>
      <c r="HO237" s="3" t="s">
        <v>3</v>
      </c>
      <c r="HP237" s="3" t="s">
        <v>3</v>
      </c>
      <c r="HQ237" s="3" t="s">
        <v>3</v>
      </c>
      <c r="HS237" s="3">
        <v>0</v>
      </c>
      <c r="IK237" s="3">
        <v>0</v>
      </c>
    </row>
    <row r="238" spans="1:255" x14ac:dyDescent="0.2">
      <c r="A238" s="2">
        <v>17</v>
      </c>
      <c r="B238" s="2">
        <v>1</v>
      </c>
      <c r="C238" s="2"/>
      <c r="D238" s="2"/>
      <c r="E238" s="2" t="s">
        <v>365</v>
      </c>
      <c r="F238" s="2" t="s">
        <v>366</v>
      </c>
      <c r="G238" s="2" t="s">
        <v>367</v>
      </c>
      <c r="H238" s="2" t="s">
        <v>341</v>
      </c>
      <c r="I238" s="2">
        <v>654.84</v>
      </c>
      <c r="J238" s="2">
        <v>0</v>
      </c>
      <c r="K238" s="2">
        <v>654.84</v>
      </c>
      <c r="L238" s="2"/>
      <c r="M238" s="2"/>
      <c r="N238" s="2"/>
      <c r="O238" s="2">
        <f t="shared" si="219"/>
        <v>2324.6799999999998</v>
      </c>
      <c r="P238" s="2">
        <f t="shared" si="220"/>
        <v>2324.6799999999998</v>
      </c>
      <c r="Q238" s="2">
        <f t="shared" si="258"/>
        <v>0</v>
      </c>
      <c r="R238" s="2">
        <f t="shared" si="259"/>
        <v>0</v>
      </c>
      <c r="S238" s="2">
        <f t="shared" si="221"/>
        <v>0</v>
      </c>
      <c r="T238" s="2">
        <f t="shared" si="222"/>
        <v>0</v>
      </c>
      <c r="U238" s="2">
        <f t="shared" si="223"/>
        <v>0</v>
      </c>
      <c r="V238" s="2">
        <f t="shared" si="224"/>
        <v>0</v>
      </c>
      <c r="W238" s="2">
        <f t="shared" si="225"/>
        <v>0</v>
      </c>
      <c r="X238" s="2">
        <f t="shared" si="260"/>
        <v>0</v>
      </c>
      <c r="Y238" s="2">
        <f t="shared" si="261"/>
        <v>0</v>
      </c>
      <c r="Z238" s="2"/>
      <c r="AA238" s="2">
        <v>57248835</v>
      </c>
      <c r="AB238" s="2">
        <f t="shared" si="226"/>
        <v>3.55</v>
      </c>
      <c r="AC238" s="2">
        <f t="shared" si="262"/>
        <v>3.55</v>
      </c>
      <c r="AD238" s="2">
        <f t="shared" si="263"/>
        <v>0</v>
      </c>
      <c r="AE238" s="2">
        <f t="shared" si="264"/>
        <v>0</v>
      </c>
      <c r="AF238" s="2">
        <f t="shared" si="265"/>
        <v>0</v>
      </c>
      <c r="AG238" s="2">
        <f t="shared" si="227"/>
        <v>0</v>
      </c>
      <c r="AH238" s="2">
        <f t="shared" si="266"/>
        <v>0</v>
      </c>
      <c r="AI238" s="2">
        <f t="shared" si="267"/>
        <v>0</v>
      </c>
      <c r="AJ238" s="2">
        <f t="shared" si="228"/>
        <v>0</v>
      </c>
      <c r="AK238" s="2">
        <v>3.55</v>
      </c>
      <c r="AL238" s="2">
        <v>3.55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2</v>
      </c>
      <c r="BJ238" s="2" t="s">
        <v>366</v>
      </c>
      <c r="BK238" s="2"/>
      <c r="BL238" s="2"/>
      <c r="BM238" s="2">
        <v>400006</v>
      </c>
      <c r="BN238" s="2">
        <v>0</v>
      </c>
      <c r="BO238" s="2" t="s">
        <v>3</v>
      </c>
      <c r="BP238" s="2">
        <v>0</v>
      </c>
      <c r="BQ238" s="2">
        <v>215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0</v>
      </c>
      <c r="CA238" s="2">
        <v>0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3</v>
      </c>
      <c r="CO238" s="2">
        <v>0</v>
      </c>
      <c r="CP238" s="2">
        <f t="shared" si="229"/>
        <v>2324.6799999999998</v>
      </c>
      <c r="CQ238" s="2">
        <f t="shared" si="230"/>
        <v>3.55</v>
      </c>
      <c r="CR238" s="2">
        <f t="shared" si="268"/>
        <v>0</v>
      </c>
      <c r="CS238" s="2">
        <f t="shared" si="269"/>
        <v>0</v>
      </c>
      <c r="CT238" s="2">
        <f t="shared" si="231"/>
        <v>0</v>
      </c>
      <c r="CU238" s="2">
        <f t="shared" si="232"/>
        <v>0</v>
      </c>
      <c r="CV238" s="2">
        <f t="shared" si="233"/>
        <v>0</v>
      </c>
      <c r="CW238" s="2">
        <f t="shared" si="234"/>
        <v>0</v>
      </c>
      <c r="CX238" s="2">
        <f t="shared" si="235"/>
        <v>0</v>
      </c>
      <c r="CY238" s="2">
        <f t="shared" si="270"/>
        <v>0</v>
      </c>
      <c r="CZ238" s="2">
        <f t="shared" si="271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1003</v>
      </c>
      <c r="DV238" s="2" t="s">
        <v>341</v>
      </c>
      <c r="DW238" s="2" t="s">
        <v>341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57248791</v>
      </c>
      <c r="EF238" s="2">
        <v>215</v>
      </c>
      <c r="EG238" s="2" t="s">
        <v>368</v>
      </c>
      <c r="EH238" s="2">
        <v>0</v>
      </c>
      <c r="EI238" s="2" t="s">
        <v>3</v>
      </c>
      <c r="EJ238" s="2">
        <v>2</v>
      </c>
      <c r="EK238" s="2">
        <v>400006</v>
      </c>
      <c r="EL238" s="2" t="s">
        <v>368</v>
      </c>
      <c r="EM238" s="2" t="s">
        <v>369</v>
      </c>
      <c r="EN238" s="2"/>
      <c r="EO238" s="2" t="s">
        <v>3</v>
      </c>
      <c r="EP238" s="2"/>
      <c r="EQ238" s="2">
        <v>16</v>
      </c>
      <c r="ER238" s="2">
        <v>0</v>
      </c>
      <c r="ES238" s="2">
        <v>3.55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>
        <v>0</v>
      </c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0</v>
      </c>
      <c r="FY238" s="2">
        <v>0</v>
      </c>
      <c r="FZ238" s="2"/>
      <c r="GA238" s="2" t="s">
        <v>370</v>
      </c>
      <c r="GB238" s="2"/>
      <c r="GC238" s="2"/>
      <c r="GD238" s="2">
        <v>1</v>
      </c>
      <c r="GE238" s="2"/>
      <c r="GF238" s="2">
        <v>-109404374</v>
      </c>
      <c r="GG238" s="2">
        <v>2</v>
      </c>
      <c r="GH238" s="2">
        <v>4</v>
      </c>
      <c r="GI238" s="2">
        <v>-2</v>
      </c>
      <c r="GJ238" s="2">
        <v>0</v>
      </c>
      <c r="GK238" s="2">
        <v>0</v>
      </c>
      <c r="GL238" s="2">
        <f t="shared" si="236"/>
        <v>0</v>
      </c>
      <c r="GM238" s="2">
        <f t="shared" si="237"/>
        <v>2324.6799999999998</v>
      </c>
      <c r="GN238" s="2">
        <f t="shared" si="238"/>
        <v>0</v>
      </c>
      <c r="GO238" s="2">
        <f t="shared" si="239"/>
        <v>2324.6799999999998</v>
      </c>
      <c r="GP238" s="2">
        <f t="shared" si="240"/>
        <v>0</v>
      </c>
      <c r="GQ238" s="2"/>
      <c r="GR238" s="2">
        <v>1</v>
      </c>
      <c r="GS238" s="2">
        <v>2</v>
      </c>
      <c r="GT238" s="2">
        <v>0</v>
      </c>
      <c r="GU238" s="2" t="s">
        <v>3</v>
      </c>
      <c r="GV238" s="2">
        <f t="shared" si="241"/>
        <v>0</v>
      </c>
      <c r="GW238" s="2">
        <v>1</v>
      </c>
      <c r="GX238" s="2">
        <f t="shared" si="242"/>
        <v>0</v>
      </c>
      <c r="GY238" s="2"/>
      <c r="GZ238" s="2"/>
      <c r="HA238" s="2">
        <v>0</v>
      </c>
      <c r="HB238" s="2">
        <v>0</v>
      </c>
      <c r="HC238" s="2">
        <f t="shared" si="243"/>
        <v>0</v>
      </c>
      <c r="HD238" s="2"/>
      <c r="HE238" s="2" t="s">
        <v>334</v>
      </c>
      <c r="HF238" s="2" t="s">
        <v>37</v>
      </c>
      <c r="HG238" s="2"/>
      <c r="HH238" s="2"/>
      <c r="HI238" s="2"/>
      <c r="HJ238" s="2"/>
      <c r="HK238" s="2"/>
      <c r="HL238" s="2"/>
      <c r="HM238" s="2" t="s">
        <v>3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3">
        <v>17</v>
      </c>
      <c r="B239" s="3">
        <v>1</v>
      </c>
      <c r="E239" s="3" t="s">
        <v>365</v>
      </c>
      <c r="F239" s="3" t="s">
        <v>366</v>
      </c>
      <c r="G239" s="3" t="s">
        <v>367</v>
      </c>
      <c r="H239" s="3" t="s">
        <v>341</v>
      </c>
      <c r="I239" s="3">
        <v>654.84</v>
      </c>
      <c r="J239" s="3">
        <v>0</v>
      </c>
      <c r="K239" s="3">
        <v>654.84</v>
      </c>
      <c r="O239" s="3">
        <f t="shared" si="219"/>
        <v>22874.85</v>
      </c>
      <c r="P239" s="3">
        <f t="shared" si="220"/>
        <v>22874.85</v>
      </c>
      <c r="Q239" s="3">
        <f t="shared" si="258"/>
        <v>0</v>
      </c>
      <c r="R239" s="3">
        <f t="shared" si="259"/>
        <v>0</v>
      </c>
      <c r="S239" s="3">
        <f t="shared" si="221"/>
        <v>0</v>
      </c>
      <c r="T239" s="3">
        <f t="shared" si="222"/>
        <v>0</v>
      </c>
      <c r="U239" s="3">
        <f t="shared" si="223"/>
        <v>0</v>
      </c>
      <c r="V239" s="3">
        <f t="shared" si="224"/>
        <v>0</v>
      </c>
      <c r="W239" s="3">
        <f t="shared" si="225"/>
        <v>0</v>
      </c>
      <c r="X239" s="3">
        <f t="shared" si="260"/>
        <v>0</v>
      </c>
      <c r="Y239" s="3">
        <f t="shared" si="261"/>
        <v>0</v>
      </c>
      <c r="AA239" s="3">
        <v>57248837</v>
      </c>
      <c r="AB239" s="3">
        <f t="shared" si="226"/>
        <v>3.55</v>
      </c>
      <c r="AC239" s="3">
        <f t="shared" si="262"/>
        <v>3.55</v>
      </c>
      <c r="AD239" s="3">
        <f t="shared" si="263"/>
        <v>0</v>
      </c>
      <c r="AE239" s="3">
        <f t="shared" si="264"/>
        <v>0</v>
      </c>
      <c r="AF239" s="3">
        <f t="shared" si="265"/>
        <v>0</v>
      </c>
      <c r="AG239" s="3">
        <f t="shared" si="227"/>
        <v>0</v>
      </c>
      <c r="AH239" s="3">
        <f t="shared" si="266"/>
        <v>0</v>
      </c>
      <c r="AI239" s="3">
        <f t="shared" si="267"/>
        <v>0</v>
      </c>
      <c r="AJ239" s="3">
        <f t="shared" si="228"/>
        <v>0</v>
      </c>
      <c r="AK239" s="3">
        <v>3.55</v>
      </c>
      <c r="AL239" s="3">
        <v>3.55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1</v>
      </c>
      <c r="AW239" s="3">
        <v>1</v>
      </c>
      <c r="AZ239" s="3">
        <v>1</v>
      </c>
      <c r="BA239" s="3">
        <v>1</v>
      </c>
      <c r="BB239" s="3">
        <v>1</v>
      </c>
      <c r="BC239" s="3">
        <v>9.84</v>
      </c>
      <c r="BD239" s="3" t="s">
        <v>3</v>
      </c>
      <c r="BE239" s="3" t="s">
        <v>3</v>
      </c>
      <c r="BF239" s="3" t="s">
        <v>3</v>
      </c>
      <c r="BG239" s="3" t="s">
        <v>3</v>
      </c>
      <c r="BH239" s="3">
        <v>3</v>
      </c>
      <c r="BI239" s="3">
        <v>2</v>
      </c>
      <c r="BJ239" s="3" t="s">
        <v>366</v>
      </c>
      <c r="BM239" s="3">
        <v>400006</v>
      </c>
      <c r="BN239" s="3">
        <v>0</v>
      </c>
      <c r="BO239" s="3" t="s">
        <v>3</v>
      </c>
      <c r="BP239" s="3">
        <v>0</v>
      </c>
      <c r="BQ239" s="3">
        <v>215</v>
      </c>
      <c r="BR239" s="3">
        <v>0</v>
      </c>
      <c r="BS239" s="3">
        <v>1</v>
      </c>
      <c r="BT239" s="3">
        <v>1</v>
      </c>
      <c r="BU239" s="3">
        <v>1</v>
      </c>
      <c r="BV239" s="3">
        <v>1</v>
      </c>
      <c r="BW239" s="3">
        <v>1</v>
      </c>
      <c r="BX239" s="3">
        <v>1</v>
      </c>
      <c r="BY239" s="3" t="s">
        <v>3</v>
      </c>
      <c r="BZ239" s="3">
        <v>0</v>
      </c>
      <c r="CA239" s="3">
        <v>0</v>
      </c>
      <c r="CB239" s="3" t="s">
        <v>3</v>
      </c>
      <c r="CE239" s="3">
        <v>1566</v>
      </c>
      <c r="CF239" s="3">
        <v>0</v>
      </c>
      <c r="CG239" s="3">
        <v>0</v>
      </c>
      <c r="CM239" s="3">
        <v>0</v>
      </c>
      <c r="CN239" s="3" t="s">
        <v>3</v>
      </c>
      <c r="CO239" s="3">
        <v>0</v>
      </c>
      <c r="CP239" s="3">
        <f t="shared" si="229"/>
        <v>22874.85</v>
      </c>
      <c r="CQ239" s="3">
        <f t="shared" si="230"/>
        <v>34.93</v>
      </c>
      <c r="CR239" s="3">
        <f t="shared" si="268"/>
        <v>0</v>
      </c>
      <c r="CS239" s="3">
        <f t="shared" si="269"/>
        <v>0</v>
      </c>
      <c r="CT239" s="3">
        <f t="shared" si="231"/>
        <v>0</v>
      </c>
      <c r="CU239" s="3">
        <f t="shared" si="232"/>
        <v>0</v>
      </c>
      <c r="CV239" s="3">
        <f t="shared" si="233"/>
        <v>0</v>
      </c>
      <c r="CW239" s="3">
        <f t="shared" si="234"/>
        <v>0</v>
      </c>
      <c r="CX239" s="3">
        <f t="shared" si="235"/>
        <v>0</v>
      </c>
      <c r="CY239" s="3">
        <f t="shared" si="270"/>
        <v>0</v>
      </c>
      <c r="CZ239" s="3">
        <f t="shared" si="271"/>
        <v>0</v>
      </c>
      <c r="DC239" s="3" t="s">
        <v>3</v>
      </c>
      <c r="DD239" s="3" t="s">
        <v>3</v>
      </c>
      <c r="DE239" s="3" t="s">
        <v>3</v>
      </c>
      <c r="DF239" s="3" t="s">
        <v>3</v>
      </c>
      <c r="DG239" s="3" t="s">
        <v>3</v>
      </c>
      <c r="DH239" s="3" t="s">
        <v>3</v>
      </c>
      <c r="DI239" s="3" t="s">
        <v>3</v>
      </c>
      <c r="DJ239" s="3" t="s">
        <v>3</v>
      </c>
      <c r="DK239" s="3" t="s">
        <v>3</v>
      </c>
      <c r="DL239" s="3" t="s">
        <v>3</v>
      </c>
      <c r="DM239" s="3" t="s">
        <v>3</v>
      </c>
      <c r="DN239" s="3">
        <v>0</v>
      </c>
      <c r="DO239" s="3">
        <v>0</v>
      </c>
      <c r="DP239" s="3">
        <v>1</v>
      </c>
      <c r="DQ239" s="3">
        <v>1</v>
      </c>
      <c r="DU239" s="3">
        <v>1003</v>
      </c>
      <c r="DV239" s="3" t="s">
        <v>341</v>
      </c>
      <c r="DW239" s="3" t="s">
        <v>341</v>
      </c>
      <c r="DX239" s="3">
        <v>1</v>
      </c>
      <c r="DZ239" s="3" t="s">
        <v>3</v>
      </c>
      <c r="EA239" s="3" t="s">
        <v>3</v>
      </c>
      <c r="EB239" s="3" t="s">
        <v>3</v>
      </c>
      <c r="EC239" s="3" t="s">
        <v>3</v>
      </c>
      <c r="EE239" s="3">
        <v>57248791</v>
      </c>
      <c r="EF239" s="3">
        <v>215</v>
      </c>
      <c r="EG239" s="3" t="s">
        <v>368</v>
      </c>
      <c r="EH239" s="3">
        <v>0</v>
      </c>
      <c r="EI239" s="3" t="s">
        <v>3</v>
      </c>
      <c r="EJ239" s="3">
        <v>2</v>
      </c>
      <c r="EK239" s="3">
        <v>400006</v>
      </c>
      <c r="EL239" s="3" t="s">
        <v>368</v>
      </c>
      <c r="EM239" s="3" t="s">
        <v>369</v>
      </c>
      <c r="EO239" s="3" t="s">
        <v>3</v>
      </c>
      <c r="EQ239" s="3">
        <v>16</v>
      </c>
      <c r="ER239" s="3">
        <v>0</v>
      </c>
      <c r="ES239" s="3">
        <v>3.55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5</v>
      </c>
      <c r="FC239" s="3">
        <v>1</v>
      </c>
      <c r="FD239" s="3">
        <v>18</v>
      </c>
      <c r="FF239" s="3">
        <v>41.83</v>
      </c>
      <c r="FQ239" s="3">
        <v>0</v>
      </c>
      <c r="FR239" s="3">
        <v>0</v>
      </c>
      <c r="FS239" s="3">
        <v>0</v>
      </c>
      <c r="FX239" s="3">
        <v>0</v>
      </c>
      <c r="FY239" s="3">
        <v>0</v>
      </c>
      <c r="GA239" s="3" t="s">
        <v>370</v>
      </c>
      <c r="GD239" s="3">
        <v>1</v>
      </c>
      <c r="GF239" s="3">
        <v>-109404374</v>
      </c>
      <c r="GG239" s="3">
        <v>2</v>
      </c>
      <c r="GH239" s="3">
        <v>3</v>
      </c>
      <c r="GI239" s="3">
        <v>5</v>
      </c>
      <c r="GJ239" s="3">
        <v>0</v>
      </c>
      <c r="GK239" s="3">
        <v>0</v>
      </c>
      <c r="GL239" s="3">
        <f t="shared" si="236"/>
        <v>0</v>
      </c>
      <c r="GM239" s="3">
        <f t="shared" si="237"/>
        <v>22874.85</v>
      </c>
      <c r="GN239" s="3">
        <f t="shared" si="238"/>
        <v>0</v>
      </c>
      <c r="GO239" s="3">
        <f t="shared" si="239"/>
        <v>22874.85</v>
      </c>
      <c r="GP239" s="3">
        <f t="shared" si="240"/>
        <v>0</v>
      </c>
      <c r="GR239" s="3">
        <v>1</v>
      </c>
      <c r="GS239" s="3">
        <v>1</v>
      </c>
      <c r="GT239" s="3">
        <v>0</v>
      </c>
      <c r="GU239" s="3" t="s">
        <v>3</v>
      </c>
      <c r="GV239" s="3">
        <f t="shared" si="241"/>
        <v>0</v>
      </c>
      <c r="GW239" s="3">
        <v>1</v>
      </c>
      <c r="GX239" s="3">
        <f t="shared" si="242"/>
        <v>0</v>
      </c>
      <c r="HA239" s="3">
        <v>0</v>
      </c>
      <c r="HB239" s="3">
        <v>0</v>
      </c>
      <c r="HC239" s="3">
        <f t="shared" si="243"/>
        <v>0</v>
      </c>
      <c r="HE239" s="3" t="s">
        <v>334</v>
      </c>
      <c r="HF239" s="3" t="s">
        <v>37</v>
      </c>
      <c r="HM239" s="3" t="s">
        <v>3</v>
      </c>
      <c r="HN239" s="3" t="s">
        <v>3</v>
      </c>
      <c r="HO239" s="3" t="s">
        <v>3</v>
      </c>
      <c r="HP239" s="3" t="s">
        <v>3</v>
      </c>
      <c r="HQ239" s="3" t="s">
        <v>3</v>
      </c>
      <c r="HS239" s="3">
        <v>0</v>
      </c>
      <c r="IK239" s="3">
        <v>0</v>
      </c>
    </row>
    <row r="240" spans="1:255" x14ac:dyDescent="0.2">
      <c r="A240" s="2">
        <v>17</v>
      </c>
      <c r="B240" s="2">
        <v>1</v>
      </c>
      <c r="C240" s="2">
        <f>ROW(SmtRes!A288)</f>
        <v>288</v>
      </c>
      <c r="D240" s="2">
        <f>ROW(EtalonRes!A356)</f>
        <v>356</v>
      </c>
      <c r="E240" s="2" t="s">
        <v>371</v>
      </c>
      <c r="F240" s="2" t="s">
        <v>372</v>
      </c>
      <c r="G240" s="2" t="s">
        <v>373</v>
      </c>
      <c r="H240" s="2" t="s">
        <v>67</v>
      </c>
      <c r="I240" s="2">
        <f>ROUND(33/100,9)</f>
        <v>0.33</v>
      </c>
      <c r="J240" s="2">
        <v>0</v>
      </c>
      <c r="K240" s="2">
        <f>ROUND(33/100,9)</f>
        <v>0.33</v>
      </c>
      <c r="L240" s="2"/>
      <c r="M240" s="2"/>
      <c r="N240" s="2"/>
      <c r="O240" s="2">
        <f t="shared" si="219"/>
        <v>372.45</v>
      </c>
      <c r="P240" s="2">
        <f t="shared" si="220"/>
        <v>1.1299999999999999</v>
      </c>
      <c r="Q240" s="2">
        <f>(ROUND((ROUND((((ET240*1.2))*AV240*I240),2)*BB240),2)+ROUND((ROUND(((AE240-((EU240*1.2)))*AV240*I240),2)*BS240),2))</f>
        <v>2.5099999999999998</v>
      </c>
      <c r="R240" s="2">
        <f>(ROUND((ROUND((((EU240*1.2))*AV240*I240),2)*BS240),2)+ROUND((ROUND(((AE240-((EU240*1.2)))*AV240*I240),2)*BS240),2))</f>
        <v>0</v>
      </c>
      <c r="S240" s="2">
        <f t="shared" si="221"/>
        <v>368.81</v>
      </c>
      <c r="T240" s="2">
        <f t="shared" si="222"/>
        <v>0</v>
      </c>
      <c r="U240" s="2">
        <f t="shared" si="223"/>
        <v>28.732611599999998</v>
      </c>
      <c r="V240" s="2">
        <f t="shared" si="224"/>
        <v>0</v>
      </c>
      <c r="W240" s="2">
        <f t="shared" si="225"/>
        <v>0</v>
      </c>
      <c r="X240" s="2">
        <f>(ROUND((((S240+ROUND((ROUND((((EU240*1.2))*AV240*I240),2)*BS240),2))*AT240)/100),2)+ROUND(((ROUND((ROUND(((AE240-((EU240*1.2)))*AV240*I240),2)*BS240),2)*AT240)/100),2))</f>
        <v>331.93</v>
      </c>
      <c r="Y240" s="2">
        <f>(ROUND((((S240+ROUND((ROUND((((EU240*1.2))*AV240*I240),2)*BS240),2))*AU240)/100),2)+ROUND(((ROUND((ROUND(((AE240-((EU240*1.2)))*AV240*I240),2)*BS240),2)*AU240)/100),2))</f>
        <v>169.65</v>
      </c>
      <c r="Z240" s="2"/>
      <c r="AA240" s="2">
        <v>57248835</v>
      </c>
      <c r="AB240" s="2">
        <f t="shared" si="226"/>
        <v>1078.1300000000001</v>
      </c>
      <c r="AC240" s="2">
        <f>ROUND(((ES240*1)),6)</f>
        <v>3.41</v>
      </c>
      <c r="AD240" s="2">
        <f>ROUND(((((ET240*1.2))-((EU240*1.2)))+AE240),6)</f>
        <v>7.2720000000000002</v>
      </c>
      <c r="AE240" s="2">
        <f>ROUND(((EU240*1.2)),6)</f>
        <v>0</v>
      </c>
      <c r="AF240" s="2">
        <f>ROUND(((EV240*1.2)),6)</f>
        <v>1067.4480000000001</v>
      </c>
      <c r="AG240" s="2">
        <f t="shared" si="227"/>
        <v>0</v>
      </c>
      <c r="AH240" s="2">
        <f>((EW240*1.2))</f>
        <v>83.16</v>
      </c>
      <c r="AI240" s="2">
        <f>((EX240*1.2))</f>
        <v>0</v>
      </c>
      <c r="AJ240" s="2">
        <f t="shared" si="228"/>
        <v>0</v>
      </c>
      <c r="AK240" s="2">
        <v>899.01</v>
      </c>
      <c r="AL240" s="2">
        <v>3.41</v>
      </c>
      <c r="AM240" s="2">
        <v>6.06</v>
      </c>
      <c r="AN240" s="2">
        <v>0</v>
      </c>
      <c r="AO240" s="2">
        <v>889.54</v>
      </c>
      <c r="AP240" s="2">
        <v>0</v>
      </c>
      <c r="AQ240" s="2">
        <v>69.3</v>
      </c>
      <c r="AR240" s="2">
        <v>0</v>
      </c>
      <c r="AS240" s="2">
        <v>0</v>
      </c>
      <c r="AT240" s="2">
        <v>90</v>
      </c>
      <c r="AU240" s="2">
        <v>46</v>
      </c>
      <c r="AV240" s="2">
        <v>1.0469999999999999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0</v>
      </c>
      <c r="BI240" s="2">
        <v>2</v>
      </c>
      <c r="BJ240" s="2" t="s">
        <v>374</v>
      </c>
      <c r="BK240" s="2"/>
      <c r="BL240" s="2"/>
      <c r="BM240" s="2">
        <v>68</v>
      </c>
      <c r="BN240" s="2">
        <v>0</v>
      </c>
      <c r="BO240" s="2" t="s">
        <v>372</v>
      </c>
      <c r="BP240" s="2">
        <v>1</v>
      </c>
      <c r="BQ240" s="2">
        <v>40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90</v>
      </c>
      <c r="CA240" s="2">
        <v>46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820</v>
      </c>
      <c r="CO240" s="2">
        <v>0</v>
      </c>
      <c r="CP240" s="2">
        <f t="shared" si="229"/>
        <v>372.45</v>
      </c>
      <c r="CQ240" s="2">
        <f t="shared" si="230"/>
        <v>3.41</v>
      </c>
      <c r="CR240" s="2">
        <f>(ROUND((ROUND((((ET240*1.2))*AV240*1),2)*BB240),2)+ROUND((ROUND(((AE240-((EU240*1.2)))*AV240*1),2)*BS240),2))</f>
        <v>7.61</v>
      </c>
      <c r="CS240" s="2">
        <f>(ROUND((ROUND((((EU240*1.2))*AV240*1),2)*BS240),2)+ROUND((ROUND(((AE240-((EU240*1.2)))*AV240*1),2)*BS240),2))</f>
        <v>0</v>
      </c>
      <c r="CT240" s="2">
        <f t="shared" si="231"/>
        <v>1117.6199999999999</v>
      </c>
      <c r="CU240" s="2">
        <f t="shared" si="232"/>
        <v>0</v>
      </c>
      <c r="CV240" s="2">
        <f t="shared" si="233"/>
        <v>87.068519999999992</v>
      </c>
      <c r="CW240" s="2">
        <f t="shared" si="234"/>
        <v>0</v>
      </c>
      <c r="CX240" s="2">
        <f t="shared" si="235"/>
        <v>0</v>
      </c>
      <c r="CY240" s="2">
        <f>(ROUND((((S240+ROUND((ROUND((((EU240*1.2))*AV240*1),2)*BS240),2))*AT240)/100),2)+ROUND(((ROUND((ROUND(((AE240-((EU240*1.2)))*AV240*1),2)*BS240),2)*AT240)/100),2))</f>
        <v>331.93</v>
      </c>
      <c r="CZ240" s="2">
        <f>(ROUND((((S240+ROUND((ROUND((((EU240*1.2))*AV240*1),2)*BS240),2))*AU240)/100),2)+ROUND(((ROUND((ROUND(((AE240-((EU240*1.2)))*AV240*1),2)*BS240),2)*AU240)/100),2))</f>
        <v>169.65</v>
      </c>
      <c r="DA240" s="2"/>
      <c r="DB240" s="2">
        <v>109</v>
      </c>
      <c r="DC240" s="2" t="s">
        <v>3</v>
      </c>
      <c r="DD240" s="2" t="s">
        <v>119</v>
      </c>
      <c r="DE240" s="2" t="s">
        <v>120</v>
      </c>
      <c r="DF240" s="2" t="s">
        <v>120</v>
      </c>
      <c r="DG240" s="2" t="s">
        <v>120</v>
      </c>
      <c r="DH240" s="2" t="s">
        <v>3</v>
      </c>
      <c r="DI240" s="2" t="s">
        <v>120</v>
      </c>
      <c r="DJ240" s="2" t="s">
        <v>120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67</v>
      </c>
      <c r="DW240" s="2" t="s">
        <v>67</v>
      </c>
      <c r="DX240" s="2">
        <v>100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57248652</v>
      </c>
      <c r="EF240" s="2">
        <v>40</v>
      </c>
      <c r="EG240" s="2" t="s">
        <v>33</v>
      </c>
      <c r="EH240" s="2">
        <v>0</v>
      </c>
      <c r="EI240" s="2" t="s">
        <v>3</v>
      </c>
      <c r="EJ240" s="2">
        <v>2</v>
      </c>
      <c r="EK240" s="2">
        <v>68</v>
      </c>
      <c r="EL240" s="2" t="s">
        <v>34</v>
      </c>
      <c r="EM240" s="2" t="s">
        <v>35</v>
      </c>
      <c r="EN240" s="2"/>
      <c r="EO240" s="2" t="s">
        <v>124</v>
      </c>
      <c r="EP240" s="2"/>
      <c r="EQ240" s="2">
        <v>0</v>
      </c>
      <c r="ER240" s="2">
        <v>899.01</v>
      </c>
      <c r="ES240" s="2">
        <v>3.41</v>
      </c>
      <c r="ET240" s="2">
        <v>6.06</v>
      </c>
      <c r="EU240" s="2">
        <v>0</v>
      </c>
      <c r="EV240" s="2">
        <v>889.54</v>
      </c>
      <c r="EW240" s="2">
        <v>69.3</v>
      </c>
      <c r="EX240" s="2">
        <v>0</v>
      </c>
      <c r="EY240" s="2">
        <v>0</v>
      </c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90</v>
      </c>
      <c r="FY240" s="2">
        <v>46</v>
      </c>
      <c r="FZ240" s="2"/>
      <c r="GA240" s="2" t="s">
        <v>3</v>
      </c>
      <c r="GB240" s="2"/>
      <c r="GC240" s="2"/>
      <c r="GD240" s="2">
        <v>1</v>
      </c>
      <c r="GE240" s="2"/>
      <c r="GF240" s="2">
        <v>1243715057</v>
      </c>
      <c r="GG240" s="2">
        <v>2</v>
      </c>
      <c r="GH240" s="2">
        <v>1</v>
      </c>
      <c r="GI240" s="2">
        <v>2</v>
      </c>
      <c r="GJ240" s="2">
        <v>0</v>
      </c>
      <c r="GK240" s="2">
        <v>0</v>
      </c>
      <c r="GL240" s="2">
        <f t="shared" si="236"/>
        <v>0</v>
      </c>
      <c r="GM240" s="2">
        <f t="shared" si="237"/>
        <v>874.03</v>
      </c>
      <c r="GN240" s="2">
        <f t="shared" si="238"/>
        <v>0</v>
      </c>
      <c r="GO240" s="2">
        <f t="shared" si="239"/>
        <v>874.03</v>
      </c>
      <c r="GP240" s="2">
        <f t="shared" si="240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241"/>
        <v>0</v>
      </c>
      <c r="GW240" s="2">
        <v>1</v>
      </c>
      <c r="GX240" s="2">
        <f t="shared" si="242"/>
        <v>0</v>
      </c>
      <c r="GY240" s="2"/>
      <c r="GZ240" s="2"/>
      <c r="HA240" s="2">
        <v>0</v>
      </c>
      <c r="HB240" s="2">
        <v>0</v>
      </c>
      <c r="HC240" s="2">
        <f t="shared" si="243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3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3">
        <v>17</v>
      </c>
      <c r="B241" s="3">
        <v>1</v>
      </c>
      <c r="C241" s="3">
        <f>ROW(SmtRes!A292)</f>
        <v>292</v>
      </c>
      <c r="D241" s="3">
        <f>ROW(EtalonRes!A362)</f>
        <v>362</v>
      </c>
      <c r="E241" s="3" t="s">
        <v>371</v>
      </c>
      <c r="F241" s="3" t="s">
        <v>372</v>
      </c>
      <c r="G241" s="3" t="s">
        <v>373</v>
      </c>
      <c r="H241" s="3" t="s">
        <v>67</v>
      </c>
      <c r="I241" s="3">
        <f>ROUND(33/100,9)</f>
        <v>0.33</v>
      </c>
      <c r="J241" s="3">
        <v>0</v>
      </c>
      <c r="K241" s="3">
        <f>ROUND(33/100,9)</f>
        <v>0.33</v>
      </c>
      <c r="O241" s="3">
        <f t="shared" si="219"/>
        <v>20819.8</v>
      </c>
      <c r="P241" s="3">
        <f t="shared" si="220"/>
        <v>13.19</v>
      </c>
      <c r="Q241" s="3">
        <f>(ROUND((ROUND((((ET241*1.2))*AV241*I241),2)*BB241),2)+ROUND((ROUND(((AE241-((EU241*1.2)))*AV241*I241),2)*BS241),2))</f>
        <v>24.17</v>
      </c>
      <c r="R241" s="3">
        <f>(ROUND((ROUND((((EU241*1.2))*AV241*I241),2)*BS241),2)+ROUND((ROUND(((AE241-((EU241*1.2)))*AV241*I241),2)*BS241),2))</f>
        <v>0</v>
      </c>
      <c r="S241" s="3">
        <f t="shared" si="221"/>
        <v>20782.439999999999</v>
      </c>
      <c r="T241" s="3">
        <f t="shared" si="222"/>
        <v>0</v>
      </c>
      <c r="U241" s="3">
        <f t="shared" si="223"/>
        <v>28.732611599999998</v>
      </c>
      <c r="V241" s="3">
        <f t="shared" si="224"/>
        <v>0</v>
      </c>
      <c r="W241" s="3">
        <f t="shared" si="225"/>
        <v>0</v>
      </c>
      <c r="X241" s="3">
        <f>(ROUND((((S241+ROUND((ROUND((((EU241*1.2))*AV241*I241),2)*BS241),2))*AT241)/100),2)+ROUND(((ROUND((ROUND(((AE241-((EU241*1.2)))*AV241*I241),2)*BS241),2)*AT241)/100),2))</f>
        <v>18704.2</v>
      </c>
      <c r="Y241" s="3">
        <f>(ROUND((((S241+ROUND((ROUND((((EU241*1.2))*AV241*I241),2)*BS241),2))*AU241)/100),2)+ROUND(((ROUND((ROUND(((AE241-((EU241*1.2)))*AV241*I241),2)*BS241),2)*AU241)/100),2))</f>
        <v>9559.92</v>
      </c>
      <c r="AA241" s="3">
        <v>57248837</v>
      </c>
      <c r="AB241" s="3">
        <f t="shared" si="226"/>
        <v>1078.1300000000001</v>
      </c>
      <c r="AC241" s="3">
        <f>ROUND(((ES241*1)),6)</f>
        <v>3.41</v>
      </c>
      <c r="AD241" s="3">
        <f>ROUND(((((ET241*1.2))-((EU241*1.2)))+AE241),6)</f>
        <v>7.2720000000000002</v>
      </c>
      <c r="AE241" s="3">
        <f>ROUND(((EU241*1.2)),6)</f>
        <v>0</v>
      </c>
      <c r="AF241" s="3">
        <f>ROUND(((EV241*1.2)),6)</f>
        <v>1067.4480000000001</v>
      </c>
      <c r="AG241" s="3">
        <f t="shared" si="227"/>
        <v>0</v>
      </c>
      <c r="AH241" s="3">
        <f>((EW241*1.2))</f>
        <v>83.16</v>
      </c>
      <c r="AI241" s="3">
        <f>((EX241*1.2))</f>
        <v>0</v>
      </c>
      <c r="AJ241" s="3">
        <f t="shared" si="228"/>
        <v>0</v>
      </c>
      <c r="AK241" s="3">
        <v>899.01</v>
      </c>
      <c r="AL241" s="3">
        <v>3.41</v>
      </c>
      <c r="AM241" s="3">
        <v>6.06</v>
      </c>
      <c r="AN241" s="3">
        <v>0</v>
      </c>
      <c r="AO241" s="3">
        <v>889.54</v>
      </c>
      <c r="AP241" s="3">
        <v>0</v>
      </c>
      <c r="AQ241" s="3">
        <v>69.3</v>
      </c>
      <c r="AR241" s="3">
        <v>0</v>
      </c>
      <c r="AS241" s="3">
        <v>0</v>
      </c>
      <c r="AT241" s="3">
        <v>90</v>
      </c>
      <c r="AU241" s="3">
        <v>46</v>
      </c>
      <c r="AV241" s="3">
        <v>1.0469999999999999</v>
      </c>
      <c r="AW241" s="3">
        <v>1</v>
      </c>
      <c r="AZ241" s="3">
        <v>1</v>
      </c>
      <c r="BA241" s="3">
        <v>56.35</v>
      </c>
      <c r="BB241" s="3">
        <v>9.6300000000000008</v>
      </c>
      <c r="BC241" s="3">
        <v>11.67</v>
      </c>
      <c r="BD241" s="3" t="s">
        <v>3</v>
      </c>
      <c r="BE241" s="3" t="s">
        <v>3</v>
      </c>
      <c r="BF241" s="3" t="s">
        <v>3</v>
      </c>
      <c r="BG241" s="3" t="s">
        <v>3</v>
      </c>
      <c r="BH241" s="3">
        <v>0</v>
      </c>
      <c r="BI241" s="3">
        <v>2</v>
      </c>
      <c r="BJ241" s="3" t="s">
        <v>374</v>
      </c>
      <c r="BM241" s="3">
        <v>68</v>
      </c>
      <c r="BN241" s="3">
        <v>0</v>
      </c>
      <c r="BO241" s="3" t="s">
        <v>372</v>
      </c>
      <c r="BP241" s="3">
        <v>1</v>
      </c>
      <c r="BQ241" s="3">
        <v>40</v>
      </c>
      <c r="BR241" s="3">
        <v>0</v>
      </c>
      <c r="BS241" s="3">
        <v>56.35</v>
      </c>
      <c r="BT241" s="3">
        <v>1</v>
      </c>
      <c r="BU241" s="3">
        <v>1</v>
      </c>
      <c r="BV241" s="3">
        <v>1</v>
      </c>
      <c r="BW241" s="3">
        <v>1</v>
      </c>
      <c r="BX241" s="3">
        <v>1</v>
      </c>
      <c r="BY241" s="3" t="s">
        <v>3</v>
      </c>
      <c r="BZ241" s="3">
        <v>90</v>
      </c>
      <c r="CA241" s="3">
        <v>46</v>
      </c>
      <c r="CB241" s="3" t="s">
        <v>3</v>
      </c>
      <c r="CE241" s="3">
        <v>1566</v>
      </c>
      <c r="CF241" s="3">
        <v>0</v>
      </c>
      <c r="CG241" s="3">
        <v>0</v>
      </c>
      <c r="CM241" s="3">
        <v>0</v>
      </c>
      <c r="CN241" s="3" t="s">
        <v>820</v>
      </c>
      <c r="CO241" s="3">
        <v>0</v>
      </c>
      <c r="CP241" s="3">
        <f t="shared" si="229"/>
        <v>20819.8</v>
      </c>
      <c r="CQ241" s="3">
        <f t="shared" si="230"/>
        <v>39.79</v>
      </c>
      <c r="CR241" s="3">
        <f>(ROUND((ROUND((((ET241*1.2))*AV241*1),2)*BB241),2)+ROUND((ROUND(((AE241-((EU241*1.2)))*AV241*1),2)*BS241),2))</f>
        <v>73.28</v>
      </c>
      <c r="CS241" s="3">
        <f>(ROUND((ROUND((((EU241*1.2))*AV241*1),2)*BS241),2)+ROUND((ROUND(((AE241-((EU241*1.2)))*AV241*1),2)*BS241),2))</f>
        <v>0</v>
      </c>
      <c r="CT241" s="3">
        <f t="shared" si="231"/>
        <v>62977.89</v>
      </c>
      <c r="CU241" s="3">
        <f t="shared" si="232"/>
        <v>0</v>
      </c>
      <c r="CV241" s="3">
        <f t="shared" si="233"/>
        <v>87.068519999999992</v>
      </c>
      <c r="CW241" s="3">
        <f t="shared" si="234"/>
        <v>0</v>
      </c>
      <c r="CX241" s="3">
        <f t="shared" si="235"/>
        <v>0</v>
      </c>
      <c r="CY241" s="3">
        <f>(ROUND((((S241+ROUND((ROUND((((EU241*1.2))*AV241*1),2)*BS241),2))*AT241)/100),2)+ROUND(((ROUND((ROUND(((AE241-((EU241*1.2)))*AV241*1),2)*BS241),2)*AT241)/100),2))</f>
        <v>18704.2</v>
      </c>
      <c r="CZ241" s="3">
        <f>(ROUND((((S241+ROUND((ROUND((((EU241*1.2))*AV241*1),2)*BS241),2))*AU241)/100),2)+ROUND(((ROUND((ROUND(((AE241-((EU241*1.2)))*AV241*1),2)*BS241),2)*AU241)/100),2))</f>
        <v>9559.92</v>
      </c>
      <c r="DB241" s="3">
        <v>110</v>
      </c>
      <c r="DC241" s="3" t="s">
        <v>3</v>
      </c>
      <c r="DD241" s="3" t="s">
        <v>119</v>
      </c>
      <c r="DE241" s="3" t="s">
        <v>120</v>
      </c>
      <c r="DF241" s="3" t="s">
        <v>120</v>
      </c>
      <c r="DG241" s="3" t="s">
        <v>120</v>
      </c>
      <c r="DH241" s="3" t="s">
        <v>3</v>
      </c>
      <c r="DI241" s="3" t="s">
        <v>120</v>
      </c>
      <c r="DJ241" s="3" t="s">
        <v>120</v>
      </c>
      <c r="DK241" s="3" t="s">
        <v>3</v>
      </c>
      <c r="DL241" s="3" t="s">
        <v>3</v>
      </c>
      <c r="DM241" s="3" t="s">
        <v>3</v>
      </c>
      <c r="DN241" s="3">
        <v>0</v>
      </c>
      <c r="DO241" s="3">
        <v>0</v>
      </c>
      <c r="DP241" s="3">
        <v>1</v>
      </c>
      <c r="DQ241" s="3">
        <v>1</v>
      </c>
      <c r="DU241" s="3">
        <v>1010</v>
      </c>
      <c r="DV241" s="3" t="s">
        <v>67</v>
      </c>
      <c r="DW241" s="3" t="s">
        <v>67</v>
      </c>
      <c r="DX241" s="3">
        <v>100</v>
      </c>
      <c r="DZ241" s="3" t="s">
        <v>3</v>
      </c>
      <c r="EA241" s="3" t="s">
        <v>3</v>
      </c>
      <c r="EB241" s="3" t="s">
        <v>3</v>
      </c>
      <c r="EC241" s="3" t="s">
        <v>3</v>
      </c>
      <c r="EE241" s="3">
        <v>57248652</v>
      </c>
      <c r="EF241" s="3">
        <v>40</v>
      </c>
      <c r="EG241" s="3" t="s">
        <v>33</v>
      </c>
      <c r="EH241" s="3">
        <v>0</v>
      </c>
      <c r="EI241" s="3" t="s">
        <v>3</v>
      </c>
      <c r="EJ241" s="3">
        <v>2</v>
      </c>
      <c r="EK241" s="3">
        <v>68</v>
      </c>
      <c r="EL241" s="3" t="s">
        <v>34</v>
      </c>
      <c r="EM241" s="3" t="s">
        <v>35</v>
      </c>
      <c r="EO241" s="3" t="s">
        <v>124</v>
      </c>
      <c r="EQ241" s="3">
        <v>0</v>
      </c>
      <c r="ER241" s="3">
        <v>899.01</v>
      </c>
      <c r="ES241" s="3">
        <v>3.41</v>
      </c>
      <c r="ET241" s="3">
        <v>6.06</v>
      </c>
      <c r="EU241" s="3">
        <v>0</v>
      </c>
      <c r="EV241" s="3">
        <v>889.54</v>
      </c>
      <c r="EW241" s="3">
        <v>69.3</v>
      </c>
      <c r="EX241" s="3">
        <v>0</v>
      </c>
      <c r="EY241" s="3">
        <v>0</v>
      </c>
      <c r="FQ241" s="3">
        <v>0</v>
      </c>
      <c r="FR241" s="3">
        <v>0</v>
      </c>
      <c r="FS241" s="3">
        <v>0</v>
      </c>
      <c r="FX241" s="3">
        <v>90</v>
      </c>
      <c r="FY241" s="3">
        <v>46</v>
      </c>
      <c r="GA241" s="3" t="s">
        <v>3</v>
      </c>
      <c r="GD241" s="3">
        <v>1</v>
      </c>
      <c r="GF241" s="3">
        <v>1243715057</v>
      </c>
      <c r="GG241" s="3">
        <v>2</v>
      </c>
      <c r="GH241" s="3">
        <v>1</v>
      </c>
      <c r="GI241" s="3">
        <v>2</v>
      </c>
      <c r="GJ241" s="3">
        <v>0</v>
      </c>
      <c r="GK241" s="3">
        <v>0</v>
      </c>
      <c r="GL241" s="3">
        <f t="shared" si="236"/>
        <v>0</v>
      </c>
      <c r="GM241" s="3">
        <f t="shared" si="237"/>
        <v>49083.92</v>
      </c>
      <c r="GN241" s="3">
        <f t="shared" si="238"/>
        <v>0</v>
      </c>
      <c r="GO241" s="3">
        <f t="shared" si="239"/>
        <v>49083.92</v>
      </c>
      <c r="GP241" s="3">
        <f t="shared" si="240"/>
        <v>0</v>
      </c>
      <c r="GR241" s="3">
        <v>0</v>
      </c>
      <c r="GS241" s="3">
        <v>3</v>
      </c>
      <c r="GT241" s="3">
        <v>0</v>
      </c>
      <c r="GU241" s="3" t="s">
        <v>3</v>
      </c>
      <c r="GV241" s="3">
        <f t="shared" si="241"/>
        <v>0</v>
      </c>
      <c r="GW241" s="3">
        <v>1</v>
      </c>
      <c r="GX241" s="3">
        <f t="shared" si="242"/>
        <v>0</v>
      </c>
      <c r="HA241" s="3">
        <v>0</v>
      </c>
      <c r="HB241" s="3">
        <v>0</v>
      </c>
      <c r="HC241" s="3">
        <f t="shared" si="243"/>
        <v>0</v>
      </c>
      <c r="HE241" s="3" t="s">
        <v>3</v>
      </c>
      <c r="HF241" s="3" t="s">
        <v>3</v>
      </c>
      <c r="HM241" s="3" t="s">
        <v>3</v>
      </c>
      <c r="HN241" s="3" t="s">
        <v>3</v>
      </c>
      <c r="HO241" s="3" t="s">
        <v>3</v>
      </c>
      <c r="HP241" s="3" t="s">
        <v>3</v>
      </c>
      <c r="HQ241" s="3" t="s">
        <v>3</v>
      </c>
      <c r="HS241" s="3">
        <v>0</v>
      </c>
      <c r="IK241" s="3">
        <v>0</v>
      </c>
    </row>
    <row r="242" spans="1:255" x14ac:dyDescent="0.2">
      <c r="A242" s="2">
        <v>17</v>
      </c>
      <c r="B242" s="2">
        <v>1</v>
      </c>
      <c r="C242" s="2"/>
      <c r="D242" s="2"/>
      <c r="E242" s="2" t="s">
        <v>375</v>
      </c>
      <c r="F242" s="2" t="s">
        <v>343</v>
      </c>
      <c r="G242" s="2" t="s">
        <v>344</v>
      </c>
      <c r="H242" s="2" t="s">
        <v>192</v>
      </c>
      <c r="I242" s="2">
        <v>33</v>
      </c>
      <c r="J242" s="2">
        <v>0</v>
      </c>
      <c r="K242" s="2">
        <v>33</v>
      </c>
      <c r="L242" s="2"/>
      <c r="M242" s="2"/>
      <c r="N242" s="2"/>
      <c r="O242" s="2">
        <f t="shared" si="219"/>
        <v>6903.27</v>
      </c>
      <c r="P242" s="2">
        <f t="shared" si="220"/>
        <v>6903.27</v>
      </c>
      <c r="Q242" s="2">
        <f>(ROUND((ROUND(((ET242)*AV242*I242),2)*BB242),2)+ROUND((ROUND(((AE242-(EU242))*AV242*I242),2)*BS242),2))</f>
        <v>0</v>
      </c>
      <c r="R242" s="2">
        <f>(ROUND((ROUND(((EU242)*AV242*I242),2)*BS242),2)+ROUND((ROUND(((AE242-(EU242))*AV242*I242),2)*BS242),2))</f>
        <v>0</v>
      </c>
      <c r="S242" s="2">
        <f t="shared" si="221"/>
        <v>0</v>
      </c>
      <c r="T242" s="2">
        <f t="shared" si="222"/>
        <v>0</v>
      </c>
      <c r="U242" s="2">
        <f t="shared" si="223"/>
        <v>0</v>
      </c>
      <c r="V242" s="2">
        <f t="shared" si="224"/>
        <v>0</v>
      </c>
      <c r="W242" s="2">
        <f t="shared" si="225"/>
        <v>0</v>
      </c>
      <c r="X242" s="2">
        <f>(ROUND((((S242+ROUND((ROUND(((EU242)*AV242*I242),2)*BS242),2))*AT242)/100),2)+ROUND(((ROUND((ROUND(((AE242-(EU242))*AV242*I242),2)*BS242),2)*AT242)/100),2))</f>
        <v>0</v>
      </c>
      <c r="Y242" s="2">
        <f>(ROUND((((S242+ROUND((ROUND(((EU242)*AV242*I242),2)*BS242),2))*AU242)/100),2)+ROUND(((ROUND((ROUND(((AE242-(EU242))*AV242*I242),2)*BS242),2)*AU242)/100),2))</f>
        <v>0</v>
      </c>
      <c r="Z242" s="2"/>
      <c r="AA242" s="2">
        <v>57248835</v>
      </c>
      <c r="AB242" s="2">
        <f t="shared" si="226"/>
        <v>209.19</v>
      </c>
      <c r="AC242" s="2">
        <f>ROUND((ES242),6)</f>
        <v>209.19</v>
      </c>
      <c r="AD242" s="2">
        <f>ROUND((((ET242)-(EU242))+AE242),6)</f>
        <v>0</v>
      </c>
      <c r="AE242" s="2">
        <f>ROUND((EU242),6)</f>
        <v>0</v>
      </c>
      <c r="AF242" s="2">
        <f>ROUND((EV242),6)</f>
        <v>0</v>
      </c>
      <c r="AG242" s="2">
        <f t="shared" si="227"/>
        <v>0</v>
      </c>
      <c r="AH242" s="2">
        <f>(EW242)</f>
        <v>0</v>
      </c>
      <c r="AI242" s="2">
        <f>(EX242)</f>
        <v>0</v>
      </c>
      <c r="AJ242" s="2">
        <f t="shared" si="228"/>
        <v>0</v>
      </c>
      <c r="AK242" s="2">
        <v>209.19</v>
      </c>
      <c r="AL242" s="2">
        <v>209.19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2</v>
      </c>
      <c r="BJ242" s="2" t="s">
        <v>343</v>
      </c>
      <c r="BK242" s="2"/>
      <c r="BL242" s="2"/>
      <c r="BM242" s="2">
        <v>400006</v>
      </c>
      <c r="BN242" s="2">
        <v>0</v>
      </c>
      <c r="BO242" s="2" t="s">
        <v>3</v>
      </c>
      <c r="BP242" s="2">
        <v>0</v>
      </c>
      <c r="BQ242" s="2">
        <v>215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0</v>
      </c>
      <c r="CA242" s="2">
        <v>0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3</v>
      </c>
      <c r="CO242" s="2">
        <v>0</v>
      </c>
      <c r="CP242" s="2">
        <f t="shared" si="229"/>
        <v>6903.27</v>
      </c>
      <c r="CQ242" s="2">
        <f t="shared" si="230"/>
        <v>209.19</v>
      </c>
      <c r="CR242" s="2">
        <f>(ROUND((ROUND(((ET242)*AV242*1),2)*BB242),2)+ROUND((ROUND(((AE242-(EU242))*AV242*1),2)*BS242),2))</f>
        <v>0</v>
      </c>
      <c r="CS242" s="2">
        <f>(ROUND((ROUND(((EU242)*AV242*1),2)*BS242),2)+ROUND((ROUND(((AE242-(EU242))*AV242*1),2)*BS242),2))</f>
        <v>0</v>
      </c>
      <c r="CT242" s="2">
        <f t="shared" si="231"/>
        <v>0</v>
      </c>
      <c r="CU242" s="2">
        <f t="shared" si="232"/>
        <v>0</v>
      </c>
      <c r="CV242" s="2">
        <f t="shared" si="233"/>
        <v>0</v>
      </c>
      <c r="CW242" s="2">
        <f t="shared" si="234"/>
        <v>0</v>
      </c>
      <c r="CX242" s="2">
        <f t="shared" si="235"/>
        <v>0</v>
      </c>
      <c r="CY242" s="2">
        <f>(ROUND((((S242+ROUND((ROUND(((EU242)*AV242*1),2)*BS242),2))*AT242)/100),2)+ROUND(((ROUND((ROUND(((AE242-(EU242))*AV242*1),2)*BS242),2)*AT242)/100),2))</f>
        <v>0</v>
      </c>
      <c r="CZ242" s="2">
        <f>(ROUND((((S242+ROUND((ROUND(((EU242)*AV242*1),2)*BS242),2))*AU242)/100),2)+ROUND(((ROUND((ROUND(((AE242-(EU242))*AV242*1),2)*BS242),2)*AU242)/100),2))</f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1013</v>
      </c>
      <c r="DV242" s="2" t="s">
        <v>192</v>
      </c>
      <c r="DW242" s="2" t="s">
        <v>192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57248791</v>
      </c>
      <c r="EF242" s="2">
        <v>215</v>
      </c>
      <c r="EG242" s="2" t="s">
        <v>368</v>
      </c>
      <c r="EH242" s="2">
        <v>0</v>
      </c>
      <c r="EI242" s="2" t="s">
        <v>3</v>
      </c>
      <c r="EJ242" s="2">
        <v>2</v>
      </c>
      <c r="EK242" s="2">
        <v>400006</v>
      </c>
      <c r="EL242" s="2" t="s">
        <v>368</v>
      </c>
      <c r="EM242" s="2" t="s">
        <v>369</v>
      </c>
      <c r="EN242" s="2"/>
      <c r="EO242" s="2" t="s">
        <v>3</v>
      </c>
      <c r="EP242" s="2"/>
      <c r="EQ242" s="2">
        <v>16</v>
      </c>
      <c r="ER242" s="2">
        <v>0</v>
      </c>
      <c r="ES242" s="2">
        <v>209.19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>
        <v>0</v>
      </c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0</v>
      </c>
      <c r="FY242" s="2">
        <v>0</v>
      </c>
      <c r="FZ242" s="2"/>
      <c r="GA242" s="2" t="s">
        <v>345</v>
      </c>
      <c r="GB242" s="2"/>
      <c r="GC242" s="2"/>
      <c r="GD242" s="2">
        <v>1</v>
      </c>
      <c r="GE242" s="2"/>
      <c r="GF242" s="2">
        <v>-1877605131</v>
      </c>
      <c r="GG242" s="2">
        <v>2</v>
      </c>
      <c r="GH242" s="2">
        <v>4</v>
      </c>
      <c r="GI242" s="2">
        <v>-2</v>
      </c>
      <c r="GJ242" s="2">
        <v>0</v>
      </c>
      <c r="GK242" s="2">
        <v>0</v>
      </c>
      <c r="GL242" s="2">
        <f t="shared" si="236"/>
        <v>0</v>
      </c>
      <c r="GM242" s="2">
        <f t="shared" si="237"/>
        <v>6903.27</v>
      </c>
      <c r="GN242" s="2">
        <f t="shared" si="238"/>
        <v>0</v>
      </c>
      <c r="GO242" s="2">
        <f t="shared" si="239"/>
        <v>6903.27</v>
      </c>
      <c r="GP242" s="2">
        <f t="shared" si="240"/>
        <v>0</v>
      </c>
      <c r="GQ242" s="2"/>
      <c r="GR242" s="2">
        <v>1</v>
      </c>
      <c r="GS242" s="2">
        <v>2</v>
      </c>
      <c r="GT242" s="2">
        <v>0</v>
      </c>
      <c r="GU242" s="2" t="s">
        <v>3</v>
      </c>
      <c r="GV242" s="2">
        <f t="shared" si="241"/>
        <v>0</v>
      </c>
      <c r="GW242" s="2">
        <v>1</v>
      </c>
      <c r="GX242" s="2">
        <f t="shared" si="242"/>
        <v>0</v>
      </c>
      <c r="GY242" s="2"/>
      <c r="GZ242" s="2"/>
      <c r="HA242" s="2">
        <v>0</v>
      </c>
      <c r="HB242" s="2">
        <v>0</v>
      </c>
      <c r="HC242" s="2">
        <f t="shared" si="243"/>
        <v>0</v>
      </c>
      <c r="HD242" s="2"/>
      <c r="HE242" s="2" t="s">
        <v>334</v>
      </c>
      <c r="HF242" s="2" t="s">
        <v>37</v>
      </c>
      <c r="HG242" s="2"/>
      <c r="HH242" s="2"/>
      <c r="HI242" s="2"/>
      <c r="HJ242" s="2"/>
      <c r="HK242" s="2"/>
      <c r="HL242" s="2"/>
      <c r="HM242" s="2" t="s">
        <v>3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3">
        <v>17</v>
      </c>
      <c r="B243" s="3">
        <v>1</v>
      </c>
      <c r="E243" s="3" t="s">
        <v>375</v>
      </c>
      <c r="F243" s="3" t="s">
        <v>343</v>
      </c>
      <c r="G243" s="3" t="s">
        <v>344</v>
      </c>
      <c r="H243" s="3" t="s">
        <v>192</v>
      </c>
      <c r="I243" s="3">
        <v>33</v>
      </c>
      <c r="J243" s="3">
        <v>0</v>
      </c>
      <c r="K243" s="3">
        <v>33</v>
      </c>
      <c r="O243" s="3">
        <f t="shared" si="219"/>
        <v>67928.179999999993</v>
      </c>
      <c r="P243" s="3">
        <f t="shared" si="220"/>
        <v>67928.179999999993</v>
      </c>
      <c r="Q243" s="3">
        <f>(ROUND((ROUND(((ET243)*AV243*I243),2)*BB243),2)+ROUND((ROUND(((AE243-(EU243))*AV243*I243),2)*BS243),2))</f>
        <v>0</v>
      </c>
      <c r="R243" s="3">
        <f>(ROUND((ROUND(((EU243)*AV243*I243),2)*BS243),2)+ROUND((ROUND(((AE243-(EU243))*AV243*I243),2)*BS243),2))</f>
        <v>0</v>
      </c>
      <c r="S243" s="3">
        <f t="shared" si="221"/>
        <v>0</v>
      </c>
      <c r="T243" s="3">
        <f t="shared" si="222"/>
        <v>0</v>
      </c>
      <c r="U243" s="3">
        <f t="shared" si="223"/>
        <v>0</v>
      </c>
      <c r="V243" s="3">
        <f t="shared" si="224"/>
        <v>0</v>
      </c>
      <c r="W243" s="3">
        <f t="shared" si="225"/>
        <v>0</v>
      </c>
      <c r="X243" s="3">
        <f>(ROUND((((S243+ROUND((ROUND(((EU243)*AV243*I243),2)*BS243),2))*AT243)/100),2)+ROUND(((ROUND((ROUND(((AE243-(EU243))*AV243*I243),2)*BS243),2)*AT243)/100),2))</f>
        <v>0</v>
      </c>
      <c r="Y243" s="3">
        <f>(ROUND((((S243+ROUND((ROUND(((EU243)*AV243*I243),2)*BS243),2))*AU243)/100),2)+ROUND(((ROUND((ROUND(((AE243-(EU243))*AV243*I243),2)*BS243),2)*AU243)/100),2))</f>
        <v>0</v>
      </c>
      <c r="AA243" s="3">
        <v>57248837</v>
      </c>
      <c r="AB243" s="3">
        <f t="shared" si="226"/>
        <v>209.19</v>
      </c>
      <c r="AC243" s="3">
        <f>ROUND((ES243),6)</f>
        <v>209.19</v>
      </c>
      <c r="AD243" s="3">
        <f>ROUND((((ET243)-(EU243))+AE243),6)</f>
        <v>0</v>
      </c>
      <c r="AE243" s="3">
        <f>ROUND((EU243),6)</f>
        <v>0</v>
      </c>
      <c r="AF243" s="3">
        <f>ROUND((EV243),6)</f>
        <v>0</v>
      </c>
      <c r="AG243" s="3">
        <f t="shared" si="227"/>
        <v>0</v>
      </c>
      <c r="AH243" s="3">
        <f>(EW243)</f>
        <v>0</v>
      </c>
      <c r="AI243" s="3">
        <f>(EX243)</f>
        <v>0</v>
      </c>
      <c r="AJ243" s="3">
        <f t="shared" si="228"/>
        <v>0</v>
      </c>
      <c r="AK243" s="3">
        <v>209.19</v>
      </c>
      <c r="AL243" s="3">
        <v>209.19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1</v>
      </c>
      <c r="AW243" s="3">
        <v>1</v>
      </c>
      <c r="AZ243" s="3">
        <v>1</v>
      </c>
      <c r="BA243" s="3">
        <v>1</v>
      </c>
      <c r="BB243" s="3">
        <v>1</v>
      </c>
      <c r="BC243" s="3">
        <v>9.84</v>
      </c>
      <c r="BD243" s="3" t="s">
        <v>3</v>
      </c>
      <c r="BE243" s="3" t="s">
        <v>3</v>
      </c>
      <c r="BF243" s="3" t="s">
        <v>3</v>
      </c>
      <c r="BG243" s="3" t="s">
        <v>3</v>
      </c>
      <c r="BH243" s="3">
        <v>3</v>
      </c>
      <c r="BI243" s="3">
        <v>2</v>
      </c>
      <c r="BJ243" s="3" t="s">
        <v>343</v>
      </c>
      <c r="BM243" s="3">
        <v>400006</v>
      </c>
      <c r="BN243" s="3">
        <v>0</v>
      </c>
      <c r="BO243" s="3" t="s">
        <v>3</v>
      </c>
      <c r="BP243" s="3">
        <v>0</v>
      </c>
      <c r="BQ243" s="3">
        <v>215</v>
      </c>
      <c r="BR243" s="3">
        <v>0</v>
      </c>
      <c r="BS243" s="3">
        <v>1</v>
      </c>
      <c r="BT243" s="3">
        <v>1</v>
      </c>
      <c r="BU243" s="3">
        <v>1</v>
      </c>
      <c r="BV243" s="3">
        <v>1</v>
      </c>
      <c r="BW243" s="3">
        <v>1</v>
      </c>
      <c r="BX243" s="3">
        <v>1</v>
      </c>
      <c r="BY243" s="3" t="s">
        <v>3</v>
      </c>
      <c r="BZ243" s="3">
        <v>0</v>
      </c>
      <c r="CA243" s="3">
        <v>0</v>
      </c>
      <c r="CB243" s="3" t="s">
        <v>3</v>
      </c>
      <c r="CE243" s="3">
        <v>1566</v>
      </c>
      <c r="CF243" s="3">
        <v>0</v>
      </c>
      <c r="CG243" s="3">
        <v>0</v>
      </c>
      <c r="CM243" s="3">
        <v>0</v>
      </c>
      <c r="CN243" s="3" t="s">
        <v>3</v>
      </c>
      <c r="CO243" s="3">
        <v>0</v>
      </c>
      <c r="CP243" s="3">
        <f t="shared" si="229"/>
        <v>67928.179999999993</v>
      </c>
      <c r="CQ243" s="3">
        <f t="shared" si="230"/>
        <v>2058.4299999999998</v>
      </c>
      <c r="CR243" s="3">
        <f>(ROUND((ROUND(((ET243)*AV243*1),2)*BB243),2)+ROUND((ROUND(((AE243-(EU243))*AV243*1),2)*BS243),2))</f>
        <v>0</v>
      </c>
      <c r="CS243" s="3">
        <f>(ROUND((ROUND(((EU243)*AV243*1),2)*BS243),2)+ROUND((ROUND(((AE243-(EU243))*AV243*1),2)*BS243),2))</f>
        <v>0</v>
      </c>
      <c r="CT243" s="3">
        <f t="shared" si="231"/>
        <v>0</v>
      </c>
      <c r="CU243" s="3">
        <f t="shared" si="232"/>
        <v>0</v>
      </c>
      <c r="CV243" s="3">
        <f t="shared" si="233"/>
        <v>0</v>
      </c>
      <c r="CW243" s="3">
        <f t="shared" si="234"/>
        <v>0</v>
      </c>
      <c r="CX243" s="3">
        <f t="shared" si="235"/>
        <v>0</v>
      </c>
      <c r="CY243" s="3">
        <f>(ROUND((((S243+ROUND((ROUND(((EU243)*AV243*1),2)*BS243),2))*AT243)/100),2)+ROUND(((ROUND((ROUND(((AE243-(EU243))*AV243*1),2)*BS243),2)*AT243)/100),2))</f>
        <v>0</v>
      </c>
      <c r="CZ243" s="3">
        <f>(ROUND((((S243+ROUND((ROUND(((EU243)*AV243*1),2)*BS243),2))*AU243)/100),2)+ROUND(((ROUND((ROUND(((AE243-(EU243))*AV243*1),2)*BS243),2)*AU243)/100),2))</f>
        <v>0</v>
      </c>
      <c r="DC243" s="3" t="s">
        <v>3</v>
      </c>
      <c r="DD243" s="3" t="s">
        <v>3</v>
      </c>
      <c r="DE243" s="3" t="s">
        <v>3</v>
      </c>
      <c r="DF243" s="3" t="s">
        <v>3</v>
      </c>
      <c r="DG243" s="3" t="s">
        <v>3</v>
      </c>
      <c r="DH243" s="3" t="s">
        <v>3</v>
      </c>
      <c r="DI243" s="3" t="s">
        <v>3</v>
      </c>
      <c r="DJ243" s="3" t="s">
        <v>3</v>
      </c>
      <c r="DK243" s="3" t="s">
        <v>3</v>
      </c>
      <c r="DL243" s="3" t="s">
        <v>3</v>
      </c>
      <c r="DM243" s="3" t="s">
        <v>3</v>
      </c>
      <c r="DN243" s="3">
        <v>0</v>
      </c>
      <c r="DO243" s="3">
        <v>0</v>
      </c>
      <c r="DP243" s="3">
        <v>1</v>
      </c>
      <c r="DQ243" s="3">
        <v>1</v>
      </c>
      <c r="DU243" s="3">
        <v>1013</v>
      </c>
      <c r="DV243" s="3" t="s">
        <v>192</v>
      </c>
      <c r="DW243" s="3" t="s">
        <v>192</v>
      </c>
      <c r="DX243" s="3">
        <v>1</v>
      </c>
      <c r="DZ243" s="3" t="s">
        <v>3</v>
      </c>
      <c r="EA243" s="3" t="s">
        <v>3</v>
      </c>
      <c r="EB243" s="3" t="s">
        <v>3</v>
      </c>
      <c r="EC243" s="3" t="s">
        <v>3</v>
      </c>
      <c r="EE243" s="3">
        <v>57248791</v>
      </c>
      <c r="EF243" s="3">
        <v>215</v>
      </c>
      <c r="EG243" s="3" t="s">
        <v>368</v>
      </c>
      <c r="EH243" s="3">
        <v>0</v>
      </c>
      <c r="EI243" s="3" t="s">
        <v>3</v>
      </c>
      <c r="EJ243" s="3">
        <v>2</v>
      </c>
      <c r="EK243" s="3">
        <v>400006</v>
      </c>
      <c r="EL243" s="3" t="s">
        <v>368</v>
      </c>
      <c r="EM243" s="3" t="s">
        <v>369</v>
      </c>
      <c r="EO243" s="3" t="s">
        <v>3</v>
      </c>
      <c r="EQ243" s="3">
        <v>16</v>
      </c>
      <c r="ER243" s="3">
        <v>0</v>
      </c>
      <c r="ES243" s="3">
        <v>209.19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5</v>
      </c>
      <c r="FC243" s="3">
        <v>1</v>
      </c>
      <c r="FD243" s="3">
        <v>18</v>
      </c>
      <c r="FF243" s="3">
        <v>2462.1</v>
      </c>
      <c r="FQ243" s="3">
        <v>0</v>
      </c>
      <c r="FR243" s="3">
        <v>0</v>
      </c>
      <c r="FS243" s="3">
        <v>0</v>
      </c>
      <c r="FX243" s="3">
        <v>0</v>
      </c>
      <c r="FY243" s="3">
        <v>0</v>
      </c>
      <c r="GA243" s="3" t="s">
        <v>345</v>
      </c>
      <c r="GD243" s="3">
        <v>1</v>
      </c>
      <c r="GF243" s="3">
        <v>-1877605131</v>
      </c>
      <c r="GG243" s="3">
        <v>2</v>
      </c>
      <c r="GH243" s="3">
        <v>3</v>
      </c>
      <c r="GI243" s="3">
        <v>5</v>
      </c>
      <c r="GJ243" s="3">
        <v>0</v>
      </c>
      <c r="GK243" s="3">
        <v>0</v>
      </c>
      <c r="GL243" s="3">
        <f t="shared" si="236"/>
        <v>0</v>
      </c>
      <c r="GM243" s="3">
        <f t="shared" si="237"/>
        <v>67928.179999999993</v>
      </c>
      <c r="GN243" s="3">
        <f t="shared" si="238"/>
        <v>0</v>
      </c>
      <c r="GO243" s="3">
        <f t="shared" si="239"/>
        <v>67928.179999999993</v>
      </c>
      <c r="GP243" s="3">
        <f t="shared" si="240"/>
        <v>0</v>
      </c>
      <c r="GR243" s="3">
        <v>1</v>
      </c>
      <c r="GS243" s="3">
        <v>1</v>
      </c>
      <c r="GT243" s="3">
        <v>0</v>
      </c>
      <c r="GU243" s="3" t="s">
        <v>3</v>
      </c>
      <c r="GV243" s="3">
        <f t="shared" si="241"/>
        <v>0</v>
      </c>
      <c r="GW243" s="3">
        <v>1</v>
      </c>
      <c r="GX243" s="3">
        <f t="shared" si="242"/>
        <v>0</v>
      </c>
      <c r="HA243" s="3">
        <v>0</v>
      </c>
      <c r="HB243" s="3">
        <v>0</v>
      </c>
      <c r="HC243" s="3">
        <f t="shared" si="243"/>
        <v>0</v>
      </c>
      <c r="HE243" s="3" t="s">
        <v>334</v>
      </c>
      <c r="HF243" s="3" t="s">
        <v>37</v>
      </c>
      <c r="HM243" s="3" t="s">
        <v>3</v>
      </c>
      <c r="HN243" s="3" t="s">
        <v>3</v>
      </c>
      <c r="HO243" s="3" t="s">
        <v>3</v>
      </c>
      <c r="HP243" s="3" t="s">
        <v>3</v>
      </c>
      <c r="HQ243" s="3" t="s">
        <v>3</v>
      </c>
      <c r="HS243" s="3">
        <v>0</v>
      </c>
      <c r="IK243" s="3">
        <v>0</v>
      </c>
    </row>
    <row r="244" spans="1:255" x14ac:dyDescent="0.2">
      <c r="A244" s="2">
        <v>17</v>
      </c>
      <c r="B244" s="2">
        <v>1</v>
      </c>
      <c r="C244" s="2">
        <f>ROW(SmtRes!A295)</f>
        <v>295</v>
      </c>
      <c r="D244" s="2">
        <f>ROW(EtalonRes!A366)</f>
        <v>366</v>
      </c>
      <c r="E244" s="2" t="s">
        <v>3</v>
      </c>
      <c r="F244" s="2" t="s">
        <v>376</v>
      </c>
      <c r="G244" s="2" t="s">
        <v>377</v>
      </c>
      <c r="H244" s="2" t="s">
        <v>117</v>
      </c>
      <c r="I244" s="2">
        <f>ROUND(150/100,9)</f>
        <v>1.5</v>
      </c>
      <c r="J244" s="2">
        <v>0</v>
      </c>
      <c r="K244" s="2">
        <f>ROUND(150/100,9)</f>
        <v>1.5</v>
      </c>
      <c r="L244" s="2"/>
      <c r="M244" s="2"/>
      <c r="N244" s="2"/>
      <c r="O244" s="2">
        <f t="shared" si="219"/>
        <v>900.12</v>
      </c>
      <c r="P244" s="2">
        <f t="shared" si="220"/>
        <v>435.98</v>
      </c>
      <c r="Q244" s="2">
        <f>(ROUND((ROUND((((ET244*1.2))*AV244*I244),2)*BB244),2)+ROUND((ROUND(((AE244-((EU244*1.2)))*AV244*I244),2)*BS244),2))</f>
        <v>81.400000000000006</v>
      </c>
      <c r="R244" s="2">
        <f>(ROUND((ROUND((((EU244*1.2))*AV244*I244),2)*BS244),2)+ROUND((ROUND(((AE244-((EU244*1.2)))*AV244*I244),2)*BS244),2))</f>
        <v>15.6</v>
      </c>
      <c r="S244" s="2">
        <f t="shared" si="221"/>
        <v>382.74</v>
      </c>
      <c r="T244" s="2">
        <f t="shared" si="222"/>
        <v>0</v>
      </c>
      <c r="U244" s="2">
        <f t="shared" si="223"/>
        <v>30.021677999999998</v>
      </c>
      <c r="V244" s="2">
        <f t="shared" si="224"/>
        <v>0</v>
      </c>
      <c r="W244" s="2">
        <f t="shared" si="225"/>
        <v>0</v>
      </c>
      <c r="X244" s="2">
        <f>(ROUND((((S244+ROUND((ROUND((((EU244*1.2))*AV244*I244),2)*BS244),2))*AT244)/100),2)+ROUND(((ROUND((ROUND(((AE244-((EU244*1.2)))*AV244*I244),2)*BS244),2)*AT244)/100),2))</f>
        <v>386.39</v>
      </c>
      <c r="Y244" s="2">
        <f>(ROUND((((S244+ROUND((ROUND((((EU244*1.2))*AV244*I244),2)*BS244),2))*AU244)/100),2)+ROUND(((ROUND((ROUND(((AE244-((EU244*1.2)))*AV244*I244),2)*BS244),2)*AU244)/100),2))</f>
        <v>203.15</v>
      </c>
      <c r="Z244" s="2"/>
      <c r="AA244" s="2">
        <v>-1</v>
      </c>
      <c r="AB244" s="2">
        <f t="shared" si="226"/>
        <v>586.18600000000004</v>
      </c>
      <c r="AC244" s="2">
        <f>ROUND(((ES244*1)),6)</f>
        <v>290.64999999999998</v>
      </c>
      <c r="AD244" s="2">
        <f>ROUND(((((ET244*1.2))-((EU244*1.2)))+AE244),6)</f>
        <v>51.828000000000003</v>
      </c>
      <c r="AE244" s="2">
        <f>ROUND(((EU244*1.2)),6)</f>
        <v>9.9359999999999999</v>
      </c>
      <c r="AF244" s="2">
        <f>ROUND(((EV244*1.2)),6)</f>
        <v>243.708</v>
      </c>
      <c r="AG244" s="2">
        <f t="shared" si="227"/>
        <v>0</v>
      </c>
      <c r="AH244" s="2">
        <f>((EW244*1.2))</f>
        <v>19.116</v>
      </c>
      <c r="AI244" s="2">
        <f>((EX244*1.2))</f>
        <v>0</v>
      </c>
      <c r="AJ244" s="2">
        <f t="shared" si="228"/>
        <v>0</v>
      </c>
      <c r="AK244" s="2">
        <v>536.92999999999995</v>
      </c>
      <c r="AL244" s="2">
        <v>290.64999999999998</v>
      </c>
      <c r="AM244" s="2">
        <v>43.19</v>
      </c>
      <c r="AN244" s="2">
        <v>8.2799999999999994</v>
      </c>
      <c r="AO244" s="2">
        <v>203.09</v>
      </c>
      <c r="AP244" s="2">
        <v>0</v>
      </c>
      <c r="AQ244" s="2">
        <v>15.93</v>
      </c>
      <c r="AR244" s="2">
        <v>0</v>
      </c>
      <c r="AS244" s="2">
        <v>0</v>
      </c>
      <c r="AT244" s="2">
        <v>97</v>
      </c>
      <c r="AU244" s="2">
        <v>51</v>
      </c>
      <c r="AV244" s="2">
        <v>1.0469999999999999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2</v>
      </c>
      <c r="BJ244" s="2" t="s">
        <v>378</v>
      </c>
      <c r="BK244" s="2"/>
      <c r="BL244" s="2"/>
      <c r="BM244" s="2">
        <v>67</v>
      </c>
      <c r="BN244" s="2">
        <v>0</v>
      </c>
      <c r="BO244" s="2" t="s">
        <v>376</v>
      </c>
      <c r="BP244" s="2">
        <v>1</v>
      </c>
      <c r="BQ244" s="2">
        <v>40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97</v>
      </c>
      <c r="CA244" s="2">
        <v>51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820</v>
      </c>
      <c r="CO244" s="2">
        <v>0</v>
      </c>
      <c r="CP244" s="2">
        <f t="shared" si="229"/>
        <v>900.12</v>
      </c>
      <c r="CQ244" s="2">
        <f t="shared" si="230"/>
        <v>290.64999999999998</v>
      </c>
      <c r="CR244" s="2">
        <f>(ROUND((ROUND((((ET244*1.2))*AV244*1),2)*BB244),2)+ROUND((ROUND(((AE244-((EU244*1.2)))*AV244*1),2)*BS244),2))</f>
        <v>54.26</v>
      </c>
      <c r="CS244" s="2">
        <f>(ROUND((ROUND((((EU244*1.2))*AV244*1),2)*BS244),2)+ROUND((ROUND(((AE244-((EU244*1.2)))*AV244*1),2)*BS244),2))</f>
        <v>10.4</v>
      </c>
      <c r="CT244" s="2">
        <f t="shared" si="231"/>
        <v>255.16</v>
      </c>
      <c r="CU244" s="2">
        <f t="shared" si="232"/>
        <v>0</v>
      </c>
      <c r="CV244" s="2">
        <f t="shared" si="233"/>
        <v>20.014451999999999</v>
      </c>
      <c r="CW244" s="2">
        <f t="shared" si="234"/>
        <v>0</v>
      </c>
      <c r="CX244" s="2">
        <f t="shared" si="235"/>
        <v>0</v>
      </c>
      <c r="CY244" s="2">
        <f>(ROUND((((S244+ROUND((ROUND((((EU244*1.2))*AV244*1),2)*BS244),2))*AT244)/100),2)+ROUND(((ROUND((ROUND(((AE244-((EU244*1.2)))*AV244*1),2)*BS244),2)*AT244)/100),2))</f>
        <v>381.35</v>
      </c>
      <c r="CZ244" s="2">
        <f>(ROUND((((S244+ROUND((ROUND((((EU244*1.2))*AV244*1),2)*BS244),2))*AU244)/100),2)+ROUND(((ROUND((ROUND(((AE244-((EU244*1.2)))*AV244*1),2)*BS244),2)*AU244)/100),2))</f>
        <v>200.5</v>
      </c>
      <c r="DA244" s="2"/>
      <c r="DB244" s="2">
        <v>111</v>
      </c>
      <c r="DC244" s="2" t="s">
        <v>3</v>
      </c>
      <c r="DD244" s="2" t="s">
        <v>119</v>
      </c>
      <c r="DE244" s="2" t="s">
        <v>120</v>
      </c>
      <c r="DF244" s="2" t="s">
        <v>120</v>
      </c>
      <c r="DG244" s="2" t="s">
        <v>120</v>
      </c>
      <c r="DH244" s="2" t="s">
        <v>3</v>
      </c>
      <c r="DI244" s="2" t="s">
        <v>120</v>
      </c>
      <c r="DJ244" s="2" t="s">
        <v>120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1003</v>
      </c>
      <c r="DV244" s="2" t="s">
        <v>117</v>
      </c>
      <c r="DW244" s="2" t="s">
        <v>117</v>
      </c>
      <c r="DX244" s="2">
        <v>100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57248651</v>
      </c>
      <c r="EF244" s="2">
        <v>40</v>
      </c>
      <c r="EG244" s="2" t="s">
        <v>33</v>
      </c>
      <c r="EH244" s="2">
        <v>0</v>
      </c>
      <c r="EI244" s="2" t="s">
        <v>3</v>
      </c>
      <c r="EJ244" s="2">
        <v>2</v>
      </c>
      <c r="EK244" s="2">
        <v>67</v>
      </c>
      <c r="EL244" s="2" t="s">
        <v>69</v>
      </c>
      <c r="EM244" s="2" t="s">
        <v>70</v>
      </c>
      <c r="EN244" s="2"/>
      <c r="EO244" s="2" t="s">
        <v>124</v>
      </c>
      <c r="EP244" s="2"/>
      <c r="EQ244" s="2">
        <v>132096</v>
      </c>
      <c r="ER244" s="2">
        <v>536.92999999999995</v>
      </c>
      <c r="ES244" s="2">
        <v>290.64999999999998</v>
      </c>
      <c r="ET244" s="2">
        <v>43.19</v>
      </c>
      <c r="EU244" s="2">
        <v>8.2799999999999994</v>
      </c>
      <c r="EV244" s="2">
        <v>203.09</v>
      </c>
      <c r="EW244" s="2">
        <v>15.93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97</v>
      </c>
      <c r="FY244" s="2">
        <v>51</v>
      </c>
      <c r="FZ244" s="2"/>
      <c r="GA244" s="2" t="s">
        <v>3</v>
      </c>
      <c r="GB244" s="2"/>
      <c r="GC244" s="2"/>
      <c r="GD244" s="2">
        <v>1</v>
      </c>
      <c r="GE244" s="2"/>
      <c r="GF244" s="2">
        <v>1768576156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236"/>
        <v>0</v>
      </c>
      <c r="GM244" s="2">
        <f t="shared" si="237"/>
        <v>1489.66</v>
      </c>
      <c r="GN244" s="2">
        <f t="shared" si="238"/>
        <v>0</v>
      </c>
      <c r="GO244" s="2">
        <f t="shared" si="239"/>
        <v>1489.66</v>
      </c>
      <c r="GP244" s="2">
        <f t="shared" si="240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241"/>
        <v>0</v>
      </c>
      <c r="GW244" s="2">
        <v>1</v>
      </c>
      <c r="GX244" s="2">
        <f t="shared" si="242"/>
        <v>0</v>
      </c>
      <c r="GY244" s="2"/>
      <c r="GZ244" s="2"/>
      <c r="HA244" s="2">
        <v>0</v>
      </c>
      <c r="HB244" s="2">
        <v>0</v>
      </c>
      <c r="HC244" s="2">
        <f t="shared" si="243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3">
        <v>17</v>
      </c>
      <c r="B245" s="3">
        <v>1</v>
      </c>
      <c r="C245" s="3">
        <f>ROW(SmtRes!A298)</f>
        <v>298</v>
      </c>
      <c r="D245" s="3">
        <f>ROW(EtalonRes!A370)</f>
        <v>370</v>
      </c>
      <c r="E245" s="3" t="s">
        <v>3</v>
      </c>
      <c r="F245" s="3" t="s">
        <v>376</v>
      </c>
      <c r="G245" s="3" t="s">
        <v>377</v>
      </c>
      <c r="H245" s="3" t="s">
        <v>117</v>
      </c>
      <c r="I245" s="3">
        <f>ROUND(150/100,9)</f>
        <v>1.5</v>
      </c>
      <c r="J245" s="3">
        <v>0</v>
      </c>
      <c r="K245" s="3">
        <f>ROUND(150/100,9)</f>
        <v>1.5</v>
      </c>
      <c r="O245" s="3">
        <f t="shared" si="219"/>
        <v>27457.759999999998</v>
      </c>
      <c r="P245" s="3">
        <f t="shared" si="220"/>
        <v>4290.04</v>
      </c>
      <c r="Q245" s="3">
        <f>(ROUND((ROUND((((ET245*1.2))*AV245*I245),2)*BB245),2)+ROUND((ROUND(((AE245-((EU245*1.2)))*AV245*I245),2)*BS245),2))</f>
        <v>1600.32</v>
      </c>
      <c r="R245" s="3">
        <f>(ROUND((ROUND((((EU245*1.2))*AV245*I245),2)*BS245),2)+ROUND((ROUND(((AE245-((EU245*1.2)))*AV245*I245),2)*BS245),2))</f>
        <v>879.06</v>
      </c>
      <c r="S245" s="3">
        <f t="shared" si="221"/>
        <v>21567.4</v>
      </c>
      <c r="T245" s="3">
        <f t="shared" si="222"/>
        <v>0</v>
      </c>
      <c r="U245" s="3">
        <f t="shared" si="223"/>
        <v>30.021677999999998</v>
      </c>
      <c r="V245" s="3">
        <f t="shared" si="224"/>
        <v>0</v>
      </c>
      <c r="W245" s="3">
        <f t="shared" si="225"/>
        <v>0</v>
      </c>
      <c r="X245" s="3">
        <f>(ROUND((((S245+ROUND((ROUND((((EU245*1.2))*AV245*I245),2)*BS245),2))*AT245)/100),2)+ROUND(((ROUND((ROUND(((AE245-((EU245*1.2)))*AV245*I245),2)*BS245),2)*AT245)/100),2))</f>
        <v>21773.07</v>
      </c>
      <c r="Y245" s="3">
        <f>(ROUND((((S245+ROUND((ROUND((((EU245*1.2))*AV245*I245),2)*BS245),2))*AU245)/100),2)+ROUND(((ROUND((ROUND(((AE245-((EU245*1.2)))*AV245*I245),2)*BS245),2)*AU245)/100),2))</f>
        <v>11447.69</v>
      </c>
      <c r="AA245" s="3">
        <v>-1</v>
      </c>
      <c r="AB245" s="3">
        <f t="shared" si="226"/>
        <v>586.18600000000004</v>
      </c>
      <c r="AC245" s="3">
        <f>ROUND(((ES245*1)),6)</f>
        <v>290.64999999999998</v>
      </c>
      <c r="AD245" s="3">
        <f>ROUND(((((ET245*1.2))-((EU245*1.2)))+AE245),6)</f>
        <v>51.828000000000003</v>
      </c>
      <c r="AE245" s="3">
        <f>ROUND(((EU245*1.2)),6)</f>
        <v>9.9359999999999999</v>
      </c>
      <c r="AF245" s="3">
        <f>ROUND(((EV245*1.2)),6)</f>
        <v>243.708</v>
      </c>
      <c r="AG245" s="3">
        <f t="shared" si="227"/>
        <v>0</v>
      </c>
      <c r="AH245" s="3">
        <f>((EW245*1.2))</f>
        <v>19.116</v>
      </c>
      <c r="AI245" s="3">
        <f>((EX245*1.2))</f>
        <v>0</v>
      </c>
      <c r="AJ245" s="3">
        <f t="shared" si="228"/>
        <v>0</v>
      </c>
      <c r="AK245" s="3">
        <v>536.92999999999995</v>
      </c>
      <c r="AL245" s="3">
        <v>290.64999999999998</v>
      </c>
      <c r="AM245" s="3">
        <v>43.19</v>
      </c>
      <c r="AN245" s="3">
        <v>8.2799999999999994</v>
      </c>
      <c r="AO245" s="3">
        <v>203.09</v>
      </c>
      <c r="AP245" s="3">
        <v>0</v>
      </c>
      <c r="AQ245" s="3">
        <v>15.93</v>
      </c>
      <c r="AR245" s="3">
        <v>0</v>
      </c>
      <c r="AS245" s="3">
        <v>0</v>
      </c>
      <c r="AT245" s="3">
        <v>97</v>
      </c>
      <c r="AU245" s="3">
        <v>51</v>
      </c>
      <c r="AV245" s="3">
        <v>1.0469999999999999</v>
      </c>
      <c r="AW245" s="3">
        <v>1</v>
      </c>
      <c r="AZ245" s="3">
        <v>1</v>
      </c>
      <c r="BA245" s="3">
        <v>56.35</v>
      </c>
      <c r="BB245" s="3">
        <v>19.66</v>
      </c>
      <c r="BC245" s="3">
        <v>9.84</v>
      </c>
      <c r="BD245" s="3" t="s">
        <v>3</v>
      </c>
      <c r="BE245" s="3" t="s">
        <v>3</v>
      </c>
      <c r="BF245" s="3" t="s">
        <v>3</v>
      </c>
      <c r="BG245" s="3" t="s">
        <v>3</v>
      </c>
      <c r="BH245" s="3">
        <v>0</v>
      </c>
      <c r="BI245" s="3">
        <v>2</v>
      </c>
      <c r="BJ245" s="3" t="s">
        <v>378</v>
      </c>
      <c r="BM245" s="3">
        <v>67</v>
      </c>
      <c r="BN245" s="3">
        <v>0</v>
      </c>
      <c r="BO245" s="3" t="s">
        <v>376</v>
      </c>
      <c r="BP245" s="3">
        <v>1</v>
      </c>
      <c r="BQ245" s="3">
        <v>40</v>
      </c>
      <c r="BR245" s="3">
        <v>0</v>
      </c>
      <c r="BS245" s="3">
        <v>56.35</v>
      </c>
      <c r="BT245" s="3">
        <v>1</v>
      </c>
      <c r="BU245" s="3">
        <v>1</v>
      </c>
      <c r="BV245" s="3">
        <v>1</v>
      </c>
      <c r="BW245" s="3">
        <v>1</v>
      </c>
      <c r="BX245" s="3">
        <v>1</v>
      </c>
      <c r="BY245" s="3" t="s">
        <v>3</v>
      </c>
      <c r="BZ245" s="3">
        <v>97</v>
      </c>
      <c r="CA245" s="3">
        <v>51</v>
      </c>
      <c r="CB245" s="3" t="s">
        <v>3</v>
      </c>
      <c r="CE245" s="3">
        <v>1566</v>
      </c>
      <c r="CF245" s="3">
        <v>0</v>
      </c>
      <c r="CG245" s="3">
        <v>0</v>
      </c>
      <c r="CM245" s="3">
        <v>0</v>
      </c>
      <c r="CN245" s="3" t="s">
        <v>820</v>
      </c>
      <c r="CO245" s="3">
        <v>0</v>
      </c>
      <c r="CP245" s="3">
        <f t="shared" si="229"/>
        <v>27457.760000000002</v>
      </c>
      <c r="CQ245" s="3">
        <f t="shared" si="230"/>
        <v>2860</v>
      </c>
      <c r="CR245" s="3">
        <f>(ROUND((ROUND((((ET245*1.2))*AV245*1),2)*BB245),2)+ROUND((ROUND(((AE245-((EU245*1.2)))*AV245*1),2)*BS245),2))</f>
        <v>1066.75</v>
      </c>
      <c r="CS245" s="3">
        <f>(ROUND((ROUND((((EU245*1.2))*AV245*1),2)*BS245),2)+ROUND((ROUND(((AE245-((EU245*1.2)))*AV245*1),2)*BS245),2))</f>
        <v>586.04</v>
      </c>
      <c r="CT245" s="3">
        <f t="shared" si="231"/>
        <v>14378.27</v>
      </c>
      <c r="CU245" s="3">
        <f t="shared" si="232"/>
        <v>0</v>
      </c>
      <c r="CV245" s="3">
        <f t="shared" si="233"/>
        <v>20.014451999999999</v>
      </c>
      <c r="CW245" s="3">
        <f t="shared" si="234"/>
        <v>0</v>
      </c>
      <c r="CX245" s="3">
        <f t="shared" si="235"/>
        <v>0</v>
      </c>
      <c r="CY245" s="3">
        <f>(ROUND((((S245+ROUND((ROUND((((EU245*1.2))*AV245*1),2)*BS245),2))*AT245)/100),2)+ROUND(((ROUND((ROUND(((AE245-((EU245*1.2)))*AV245*1),2)*BS245),2)*AT245)/100),2))</f>
        <v>21488.84</v>
      </c>
      <c r="CZ245" s="3">
        <f>(ROUND((((S245+ROUND((ROUND((((EU245*1.2))*AV245*1),2)*BS245),2))*AU245)/100),2)+ROUND(((ROUND((ROUND(((AE245-((EU245*1.2)))*AV245*1),2)*BS245),2)*AU245)/100),2))</f>
        <v>11298.25</v>
      </c>
      <c r="DB245" s="3">
        <v>112</v>
      </c>
      <c r="DC245" s="3" t="s">
        <v>3</v>
      </c>
      <c r="DD245" s="3" t="s">
        <v>119</v>
      </c>
      <c r="DE245" s="3" t="s">
        <v>120</v>
      </c>
      <c r="DF245" s="3" t="s">
        <v>120</v>
      </c>
      <c r="DG245" s="3" t="s">
        <v>120</v>
      </c>
      <c r="DH245" s="3" t="s">
        <v>3</v>
      </c>
      <c r="DI245" s="3" t="s">
        <v>120</v>
      </c>
      <c r="DJ245" s="3" t="s">
        <v>120</v>
      </c>
      <c r="DK245" s="3" t="s">
        <v>3</v>
      </c>
      <c r="DL245" s="3" t="s">
        <v>3</v>
      </c>
      <c r="DM245" s="3" t="s">
        <v>3</v>
      </c>
      <c r="DN245" s="3">
        <v>0</v>
      </c>
      <c r="DO245" s="3">
        <v>0</v>
      </c>
      <c r="DP245" s="3">
        <v>1</v>
      </c>
      <c r="DQ245" s="3">
        <v>1</v>
      </c>
      <c r="DU245" s="3">
        <v>1003</v>
      </c>
      <c r="DV245" s="3" t="s">
        <v>117</v>
      </c>
      <c r="DW245" s="3" t="s">
        <v>117</v>
      </c>
      <c r="DX245" s="3">
        <v>100</v>
      </c>
      <c r="DZ245" s="3" t="s">
        <v>3</v>
      </c>
      <c r="EA245" s="3" t="s">
        <v>3</v>
      </c>
      <c r="EB245" s="3" t="s">
        <v>3</v>
      </c>
      <c r="EC245" s="3" t="s">
        <v>3</v>
      </c>
      <c r="EE245" s="3">
        <v>57248651</v>
      </c>
      <c r="EF245" s="3">
        <v>40</v>
      </c>
      <c r="EG245" s="3" t="s">
        <v>33</v>
      </c>
      <c r="EH245" s="3">
        <v>0</v>
      </c>
      <c r="EI245" s="3" t="s">
        <v>3</v>
      </c>
      <c r="EJ245" s="3">
        <v>2</v>
      </c>
      <c r="EK245" s="3">
        <v>67</v>
      </c>
      <c r="EL245" s="3" t="s">
        <v>69</v>
      </c>
      <c r="EM245" s="3" t="s">
        <v>70</v>
      </c>
      <c r="EO245" s="3" t="s">
        <v>124</v>
      </c>
      <c r="EQ245" s="3">
        <v>132096</v>
      </c>
      <c r="ER245" s="3">
        <v>536.92999999999995</v>
      </c>
      <c r="ES245" s="3">
        <v>290.64999999999998</v>
      </c>
      <c r="ET245" s="3">
        <v>43.19</v>
      </c>
      <c r="EU245" s="3">
        <v>8.2799999999999994</v>
      </c>
      <c r="EV245" s="3">
        <v>203.09</v>
      </c>
      <c r="EW245" s="3">
        <v>15.93</v>
      </c>
      <c r="EX245" s="3">
        <v>0</v>
      </c>
      <c r="EY245" s="3">
        <v>0</v>
      </c>
      <c r="FQ245" s="3">
        <v>0</v>
      </c>
      <c r="FR245" s="3">
        <v>0</v>
      </c>
      <c r="FS245" s="3">
        <v>0</v>
      </c>
      <c r="FX245" s="3">
        <v>97</v>
      </c>
      <c r="FY245" s="3">
        <v>51</v>
      </c>
      <c r="GA245" s="3" t="s">
        <v>3</v>
      </c>
      <c r="GD245" s="3">
        <v>1</v>
      </c>
      <c r="GF245" s="3">
        <v>1768576156</v>
      </c>
      <c r="GG245" s="3">
        <v>2</v>
      </c>
      <c r="GH245" s="3">
        <v>1</v>
      </c>
      <c r="GI245" s="3">
        <v>2</v>
      </c>
      <c r="GJ245" s="3">
        <v>0</v>
      </c>
      <c r="GK245" s="3">
        <v>0</v>
      </c>
      <c r="GL245" s="3">
        <f t="shared" si="236"/>
        <v>0</v>
      </c>
      <c r="GM245" s="3">
        <f t="shared" si="237"/>
        <v>60678.52</v>
      </c>
      <c r="GN245" s="3">
        <f t="shared" si="238"/>
        <v>0</v>
      </c>
      <c r="GO245" s="3">
        <f t="shared" si="239"/>
        <v>60678.52</v>
      </c>
      <c r="GP245" s="3">
        <f t="shared" si="240"/>
        <v>0</v>
      </c>
      <c r="GR245" s="3">
        <v>0</v>
      </c>
      <c r="GS245" s="3">
        <v>3</v>
      </c>
      <c r="GT245" s="3">
        <v>0</v>
      </c>
      <c r="GU245" s="3" t="s">
        <v>3</v>
      </c>
      <c r="GV245" s="3">
        <f t="shared" si="241"/>
        <v>0</v>
      </c>
      <c r="GW245" s="3">
        <v>1</v>
      </c>
      <c r="GX245" s="3">
        <f t="shared" si="242"/>
        <v>0</v>
      </c>
      <c r="HA245" s="3">
        <v>0</v>
      </c>
      <c r="HB245" s="3">
        <v>0</v>
      </c>
      <c r="HC245" s="3">
        <f t="shared" si="243"/>
        <v>0</v>
      </c>
      <c r="HE245" s="3" t="s">
        <v>3</v>
      </c>
      <c r="HF245" s="3" t="s">
        <v>3</v>
      </c>
      <c r="HM245" s="3" t="s">
        <v>3</v>
      </c>
      <c r="HN245" s="3" t="s">
        <v>3</v>
      </c>
      <c r="HO245" s="3" t="s">
        <v>3</v>
      </c>
      <c r="HP245" s="3" t="s">
        <v>3</v>
      </c>
      <c r="HQ245" s="3" t="s">
        <v>3</v>
      </c>
      <c r="HS245" s="3">
        <v>0</v>
      </c>
      <c r="IK245" s="3">
        <v>0</v>
      </c>
    </row>
    <row r="246" spans="1:255" x14ac:dyDescent="0.2">
      <c r="A246" s="2">
        <v>18</v>
      </c>
      <c r="B246" s="2">
        <v>1</v>
      </c>
      <c r="C246" s="2">
        <v>294</v>
      </c>
      <c r="D246" s="2"/>
      <c r="E246" s="2" t="s">
        <v>3</v>
      </c>
      <c r="F246" s="2" t="s">
        <v>379</v>
      </c>
      <c r="G246" s="2" t="s">
        <v>380</v>
      </c>
      <c r="H246" s="2" t="s">
        <v>341</v>
      </c>
      <c r="I246" s="2">
        <f>I244*J246</f>
        <v>153</v>
      </c>
      <c r="J246" s="2">
        <v>102</v>
      </c>
      <c r="K246" s="2">
        <v>102</v>
      </c>
      <c r="L246" s="2"/>
      <c r="M246" s="2"/>
      <c r="N246" s="2"/>
      <c r="O246" s="2">
        <f t="shared" si="219"/>
        <v>794.07</v>
      </c>
      <c r="P246" s="2">
        <f t="shared" si="220"/>
        <v>794.07</v>
      </c>
      <c r="Q246" s="2">
        <f>(ROUND((ROUND(((ET246)*AV246*I246),2)*BB246),2)+ROUND((ROUND(((AE246-(EU246))*AV246*I246),2)*BS246),2))</f>
        <v>0</v>
      </c>
      <c r="R246" s="2">
        <f>(ROUND((ROUND(((EU246)*AV246*I246),2)*BS246),2)+ROUND((ROUND(((AE246-(EU246))*AV246*I246),2)*BS246),2))</f>
        <v>0</v>
      </c>
      <c r="S246" s="2">
        <f t="shared" si="221"/>
        <v>0</v>
      </c>
      <c r="T246" s="2">
        <f t="shared" si="222"/>
        <v>0</v>
      </c>
      <c r="U246" s="2">
        <f t="shared" si="223"/>
        <v>0</v>
      </c>
      <c r="V246" s="2">
        <f t="shared" si="224"/>
        <v>0</v>
      </c>
      <c r="W246" s="2">
        <f t="shared" si="225"/>
        <v>0</v>
      </c>
      <c r="X246" s="2">
        <f>(ROUND((((S246+ROUND((ROUND(((EU246)*AV246*I246),2)*BS246),2))*AT246)/100),2)+ROUND(((ROUND((ROUND(((AE246-(EU246))*AV246*I246),2)*BS246),2)*AT246)/100),2))</f>
        <v>0</v>
      </c>
      <c r="Y246" s="2">
        <f>(ROUND((((S246+ROUND((ROUND(((EU246)*AV246*I246),2)*BS246),2))*AU246)/100),2)+ROUND(((ROUND((ROUND(((AE246-(EU246))*AV246*I246),2)*BS246),2)*AU246)/100),2))</f>
        <v>0</v>
      </c>
      <c r="Z246" s="2"/>
      <c r="AA246" s="2">
        <v>-1</v>
      </c>
      <c r="AB246" s="2">
        <f t="shared" si="226"/>
        <v>5.19</v>
      </c>
      <c r="AC246" s="2">
        <f>ROUND((ES246),6)</f>
        <v>5.19</v>
      </c>
      <c r="AD246" s="2">
        <f>ROUND((((ET246)-(EU246))+AE246),6)</f>
        <v>0</v>
      </c>
      <c r="AE246" s="2">
        <f t="shared" ref="AE246:AF249" si="272">ROUND((EU246),6)</f>
        <v>0</v>
      </c>
      <c r="AF246" s="2">
        <f t="shared" si="272"/>
        <v>0</v>
      </c>
      <c r="AG246" s="2">
        <f t="shared" si="227"/>
        <v>0</v>
      </c>
      <c r="AH246" s="2">
        <f t="shared" ref="AH246:AI249" si="273">(EW246)</f>
        <v>0</v>
      </c>
      <c r="AI246" s="2">
        <f t="shared" si="273"/>
        <v>0</v>
      </c>
      <c r="AJ246" s="2">
        <f t="shared" si="228"/>
        <v>0</v>
      </c>
      <c r="AK246" s="2">
        <v>5.19</v>
      </c>
      <c r="AL246" s="2">
        <v>5.19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97</v>
      </c>
      <c r="AU246" s="2">
        <v>51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2</v>
      </c>
      <c r="BJ246" s="2" t="s">
        <v>381</v>
      </c>
      <c r="BK246" s="2"/>
      <c r="BL246" s="2"/>
      <c r="BM246" s="2">
        <v>67</v>
      </c>
      <c r="BN246" s="2">
        <v>0</v>
      </c>
      <c r="BO246" s="2" t="s">
        <v>3</v>
      </c>
      <c r="BP246" s="2">
        <v>0</v>
      </c>
      <c r="BQ246" s="2">
        <v>40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97</v>
      </c>
      <c r="CA246" s="2">
        <v>51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821</v>
      </c>
      <c r="CO246" s="2">
        <v>0</v>
      </c>
      <c r="CP246" s="2">
        <f t="shared" si="229"/>
        <v>794.07</v>
      </c>
      <c r="CQ246" s="2">
        <f t="shared" si="230"/>
        <v>5.19</v>
      </c>
      <c r="CR246" s="2">
        <f>(ROUND((ROUND(((ET246)*AV246*1),2)*BB246),2)+ROUND((ROUND(((AE246-(EU246))*AV246*1),2)*BS246),2))</f>
        <v>0</v>
      </c>
      <c r="CS246" s="2">
        <f>(ROUND((ROUND(((EU246)*AV246*1),2)*BS246),2)+ROUND((ROUND(((AE246-(EU246))*AV246*1),2)*BS246),2))</f>
        <v>0</v>
      </c>
      <c r="CT246" s="2">
        <f t="shared" si="231"/>
        <v>0</v>
      </c>
      <c r="CU246" s="2">
        <f t="shared" si="232"/>
        <v>0</v>
      </c>
      <c r="CV246" s="2">
        <f t="shared" si="233"/>
        <v>0</v>
      </c>
      <c r="CW246" s="2">
        <f t="shared" si="234"/>
        <v>0</v>
      </c>
      <c r="CX246" s="2">
        <f t="shared" si="235"/>
        <v>0</v>
      </c>
      <c r="CY246" s="2">
        <f>(ROUND((((S246+ROUND((ROUND(((EU246)*AV246*1),2)*BS246),2))*AT246)/100),2)+ROUND(((ROUND((ROUND(((AE246-(EU246))*AV246*1),2)*BS246),2)*AT246)/100),2))</f>
        <v>0</v>
      </c>
      <c r="CZ246" s="2">
        <f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1003</v>
      </c>
      <c r="DV246" s="2" t="s">
        <v>341</v>
      </c>
      <c r="DW246" s="2" t="s">
        <v>341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57248651</v>
      </c>
      <c r="EF246" s="2">
        <v>40</v>
      </c>
      <c r="EG246" s="2" t="s">
        <v>33</v>
      </c>
      <c r="EH246" s="2">
        <v>0</v>
      </c>
      <c r="EI246" s="2" t="s">
        <v>3</v>
      </c>
      <c r="EJ246" s="2">
        <v>2</v>
      </c>
      <c r="EK246" s="2">
        <v>67</v>
      </c>
      <c r="EL246" s="2" t="s">
        <v>69</v>
      </c>
      <c r="EM246" s="2" t="s">
        <v>70</v>
      </c>
      <c r="EN246" s="2"/>
      <c r="EO246" s="2" t="s">
        <v>124</v>
      </c>
      <c r="EP246" s="2"/>
      <c r="EQ246" s="2">
        <v>1024</v>
      </c>
      <c r="ER246" s="2">
        <v>5.19</v>
      </c>
      <c r="ES246" s="2">
        <v>5.19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97</v>
      </c>
      <c r="FY246" s="2">
        <v>51</v>
      </c>
      <c r="FZ246" s="2"/>
      <c r="GA246" s="2" t="s">
        <v>3</v>
      </c>
      <c r="GB246" s="2"/>
      <c r="GC246" s="2"/>
      <c r="GD246" s="2">
        <v>1</v>
      </c>
      <c r="GE246" s="2"/>
      <c r="GF246" s="2">
        <v>-2061112428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236"/>
        <v>0</v>
      </c>
      <c r="GM246" s="2">
        <f t="shared" si="237"/>
        <v>794.07</v>
      </c>
      <c r="GN246" s="2">
        <f t="shared" si="238"/>
        <v>0</v>
      </c>
      <c r="GO246" s="2">
        <f t="shared" si="239"/>
        <v>794.07</v>
      </c>
      <c r="GP246" s="2">
        <f t="shared" si="240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241"/>
        <v>0</v>
      </c>
      <c r="GW246" s="2">
        <v>1</v>
      </c>
      <c r="GX246" s="2">
        <f t="shared" si="242"/>
        <v>0</v>
      </c>
      <c r="GY246" s="2"/>
      <c r="GZ246" s="2"/>
      <c r="HA246" s="2">
        <v>0</v>
      </c>
      <c r="HB246" s="2">
        <v>0</v>
      </c>
      <c r="HC246" s="2">
        <f t="shared" si="243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119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3">
        <v>18</v>
      </c>
      <c r="B247" s="3">
        <v>1</v>
      </c>
      <c r="C247" s="3">
        <v>297</v>
      </c>
      <c r="E247" s="3" t="s">
        <v>3</v>
      </c>
      <c r="F247" s="3" t="s">
        <v>379</v>
      </c>
      <c r="G247" s="3" t="s">
        <v>380</v>
      </c>
      <c r="H247" s="3" t="s">
        <v>341</v>
      </c>
      <c r="I247" s="3">
        <f>I245*J247</f>
        <v>153</v>
      </c>
      <c r="J247" s="3">
        <v>102</v>
      </c>
      <c r="K247" s="3">
        <v>102</v>
      </c>
      <c r="O247" s="3">
        <f t="shared" si="219"/>
        <v>2906.3</v>
      </c>
      <c r="P247" s="3">
        <f t="shared" si="220"/>
        <v>2906.3</v>
      </c>
      <c r="Q247" s="3">
        <f>(ROUND((ROUND(((ET247)*AV247*I247),2)*BB247),2)+ROUND((ROUND(((AE247-(EU247))*AV247*I247),2)*BS247),2))</f>
        <v>0</v>
      </c>
      <c r="R247" s="3">
        <f>(ROUND((ROUND(((EU247)*AV247*I247),2)*BS247),2)+ROUND((ROUND(((AE247-(EU247))*AV247*I247),2)*BS247),2))</f>
        <v>0</v>
      </c>
      <c r="S247" s="3">
        <f t="shared" si="221"/>
        <v>0</v>
      </c>
      <c r="T247" s="3">
        <f t="shared" si="222"/>
        <v>0</v>
      </c>
      <c r="U247" s="3">
        <f t="shared" si="223"/>
        <v>0</v>
      </c>
      <c r="V247" s="3">
        <f t="shared" si="224"/>
        <v>0</v>
      </c>
      <c r="W247" s="3">
        <f t="shared" si="225"/>
        <v>0</v>
      </c>
      <c r="X247" s="3">
        <f>(ROUND((((S247+ROUND((ROUND(((EU247)*AV247*I247),2)*BS247),2))*AT247)/100),2)+ROUND(((ROUND((ROUND(((AE247-(EU247))*AV247*I247),2)*BS247),2)*AT247)/100),2))</f>
        <v>0</v>
      </c>
      <c r="Y247" s="3">
        <f>(ROUND((((S247+ROUND((ROUND(((EU247)*AV247*I247),2)*BS247),2))*AU247)/100),2)+ROUND(((ROUND((ROUND(((AE247-(EU247))*AV247*I247),2)*BS247),2)*AU247)/100),2))</f>
        <v>0</v>
      </c>
      <c r="AA247" s="3">
        <v>-1</v>
      </c>
      <c r="AB247" s="3">
        <f t="shared" si="226"/>
        <v>5.19</v>
      </c>
      <c r="AC247" s="3">
        <f>ROUND((ES247),6)</f>
        <v>5.19</v>
      </c>
      <c r="AD247" s="3">
        <f>ROUND((((ET247)-(EU247))+AE247),6)</f>
        <v>0</v>
      </c>
      <c r="AE247" s="3">
        <f t="shared" si="272"/>
        <v>0</v>
      </c>
      <c r="AF247" s="3">
        <f t="shared" si="272"/>
        <v>0</v>
      </c>
      <c r="AG247" s="3">
        <f t="shared" si="227"/>
        <v>0</v>
      </c>
      <c r="AH247" s="3">
        <f t="shared" si="273"/>
        <v>0</v>
      </c>
      <c r="AI247" s="3">
        <f t="shared" si="273"/>
        <v>0</v>
      </c>
      <c r="AJ247" s="3">
        <f t="shared" si="228"/>
        <v>0</v>
      </c>
      <c r="AK247" s="3">
        <v>5.19</v>
      </c>
      <c r="AL247" s="3">
        <v>5.19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97</v>
      </c>
      <c r="AU247" s="3">
        <v>51</v>
      </c>
      <c r="AV247" s="3">
        <v>1</v>
      </c>
      <c r="AW247" s="3">
        <v>1</v>
      </c>
      <c r="AZ247" s="3">
        <v>1</v>
      </c>
      <c r="BA247" s="3">
        <v>1</v>
      </c>
      <c r="BB247" s="3">
        <v>1</v>
      </c>
      <c r="BC247" s="3">
        <v>3.66</v>
      </c>
      <c r="BD247" s="3" t="s">
        <v>3</v>
      </c>
      <c r="BE247" s="3" t="s">
        <v>3</v>
      </c>
      <c r="BF247" s="3" t="s">
        <v>3</v>
      </c>
      <c r="BG247" s="3" t="s">
        <v>3</v>
      </c>
      <c r="BH247" s="3">
        <v>3</v>
      </c>
      <c r="BI247" s="3">
        <v>2</v>
      </c>
      <c r="BJ247" s="3" t="s">
        <v>381</v>
      </c>
      <c r="BM247" s="3">
        <v>67</v>
      </c>
      <c r="BN247" s="3">
        <v>0</v>
      </c>
      <c r="BO247" s="3" t="s">
        <v>379</v>
      </c>
      <c r="BP247" s="3">
        <v>1</v>
      </c>
      <c r="BQ247" s="3">
        <v>40</v>
      </c>
      <c r="BR247" s="3">
        <v>0</v>
      </c>
      <c r="BS247" s="3">
        <v>1</v>
      </c>
      <c r="BT247" s="3">
        <v>1</v>
      </c>
      <c r="BU247" s="3">
        <v>1</v>
      </c>
      <c r="BV247" s="3">
        <v>1</v>
      </c>
      <c r="BW247" s="3">
        <v>1</v>
      </c>
      <c r="BX247" s="3">
        <v>1</v>
      </c>
      <c r="BY247" s="3" t="s">
        <v>3</v>
      </c>
      <c r="BZ247" s="3">
        <v>97</v>
      </c>
      <c r="CA247" s="3">
        <v>51</v>
      </c>
      <c r="CB247" s="3" t="s">
        <v>3</v>
      </c>
      <c r="CE247" s="3">
        <v>1566</v>
      </c>
      <c r="CF247" s="3">
        <v>0</v>
      </c>
      <c r="CG247" s="3">
        <v>0</v>
      </c>
      <c r="CM247" s="3">
        <v>0</v>
      </c>
      <c r="CN247" s="3" t="s">
        <v>821</v>
      </c>
      <c r="CO247" s="3">
        <v>0</v>
      </c>
      <c r="CP247" s="3">
        <f t="shared" si="229"/>
        <v>2906.3</v>
      </c>
      <c r="CQ247" s="3">
        <f t="shared" si="230"/>
        <v>19</v>
      </c>
      <c r="CR247" s="3">
        <f>(ROUND((ROUND(((ET247)*AV247*1),2)*BB247),2)+ROUND((ROUND(((AE247-(EU247))*AV247*1),2)*BS247),2))</f>
        <v>0</v>
      </c>
      <c r="CS247" s="3">
        <f>(ROUND((ROUND(((EU247)*AV247*1),2)*BS247),2)+ROUND((ROUND(((AE247-(EU247))*AV247*1),2)*BS247),2))</f>
        <v>0</v>
      </c>
      <c r="CT247" s="3">
        <f t="shared" si="231"/>
        <v>0</v>
      </c>
      <c r="CU247" s="3">
        <f t="shared" si="232"/>
        <v>0</v>
      </c>
      <c r="CV247" s="3">
        <f t="shared" si="233"/>
        <v>0</v>
      </c>
      <c r="CW247" s="3">
        <f t="shared" si="234"/>
        <v>0</v>
      </c>
      <c r="CX247" s="3">
        <f t="shared" si="235"/>
        <v>0</v>
      </c>
      <c r="CY247" s="3">
        <f>(ROUND((((S247+ROUND((ROUND(((EU247)*AV247*1),2)*BS247),2))*AT247)/100),2)+ROUND(((ROUND((ROUND(((AE247-(EU247))*AV247*1),2)*BS247),2)*AT247)/100),2))</f>
        <v>0</v>
      </c>
      <c r="CZ247" s="3">
        <f>(ROUND((((S247+ROUND((ROUND(((EU247)*AV247*1),2)*BS247),2))*AU247)/100),2)+ROUND(((ROUND((ROUND(((AE247-(EU247))*AV247*1),2)*BS247),2)*AU247)/100),2))</f>
        <v>0</v>
      </c>
      <c r="DC247" s="3" t="s">
        <v>3</v>
      </c>
      <c r="DD247" s="3" t="s">
        <v>3</v>
      </c>
      <c r="DE247" s="3" t="s">
        <v>3</v>
      </c>
      <c r="DF247" s="3" t="s">
        <v>3</v>
      </c>
      <c r="DG247" s="3" t="s">
        <v>3</v>
      </c>
      <c r="DH247" s="3" t="s">
        <v>3</v>
      </c>
      <c r="DI247" s="3" t="s">
        <v>3</v>
      </c>
      <c r="DJ247" s="3" t="s">
        <v>3</v>
      </c>
      <c r="DK247" s="3" t="s">
        <v>3</v>
      </c>
      <c r="DL247" s="3" t="s">
        <v>3</v>
      </c>
      <c r="DM247" s="3" t="s">
        <v>3</v>
      </c>
      <c r="DN247" s="3">
        <v>0</v>
      </c>
      <c r="DO247" s="3">
        <v>0</v>
      </c>
      <c r="DP247" s="3">
        <v>1</v>
      </c>
      <c r="DQ247" s="3">
        <v>1</v>
      </c>
      <c r="DU247" s="3">
        <v>1003</v>
      </c>
      <c r="DV247" s="3" t="s">
        <v>341</v>
      </c>
      <c r="DW247" s="3" t="s">
        <v>341</v>
      </c>
      <c r="DX247" s="3">
        <v>1</v>
      </c>
      <c r="DZ247" s="3" t="s">
        <v>3</v>
      </c>
      <c r="EA247" s="3" t="s">
        <v>3</v>
      </c>
      <c r="EB247" s="3" t="s">
        <v>3</v>
      </c>
      <c r="EC247" s="3" t="s">
        <v>3</v>
      </c>
      <c r="EE247" s="3">
        <v>57248651</v>
      </c>
      <c r="EF247" s="3">
        <v>40</v>
      </c>
      <c r="EG247" s="3" t="s">
        <v>33</v>
      </c>
      <c r="EH247" s="3">
        <v>0</v>
      </c>
      <c r="EI247" s="3" t="s">
        <v>3</v>
      </c>
      <c r="EJ247" s="3">
        <v>2</v>
      </c>
      <c r="EK247" s="3">
        <v>67</v>
      </c>
      <c r="EL247" s="3" t="s">
        <v>69</v>
      </c>
      <c r="EM247" s="3" t="s">
        <v>70</v>
      </c>
      <c r="EO247" s="3" t="s">
        <v>124</v>
      </c>
      <c r="EQ247" s="3">
        <v>1024</v>
      </c>
      <c r="ER247" s="3">
        <v>5.19</v>
      </c>
      <c r="ES247" s="3">
        <v>5.19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FQ247" s="3">
        <v>0</v>
      </c>
      <c r="FR247" s="3">
        <v>0</v>
      </c>
      <c r="FS247" s="3">
        <v>0</v>
      </c>
      <c r="FX247" s="3">
        <v>97</v>
      </c>
      <c r="FY247" s="3">
        <v>51</v>
      </c>
      <c r="GA247" s="3" t="s">
        <v>3</v>
      </c>
      <c r="GD247" s="3">
        <v>1</v>
      </c>
      <c r="GF247" s="3">
        <v>-2061112428</v>
      </c>
      <c r="GG247" s="3">
        <v>2</v>
      </c>
      <c r="GH247" s="3">
        <v>1</v>
      </c>
      <c r="GI247" s="3">
        <v>2</v>
      </c>
      <c r="GJ247" s="3">
        <v>0</v>
      </c>
      <c r="GK247" s="3">
        <v>0</v>
      </c>
      <c r="GL247" s="3">
        <f t="shared" si="236"/>
        <v>0</v>
      </c>
      <c r="GM247" s="3">
        <f t="shared" si="237"/>
        <v>2906.3</v>
      </c>
      <c r="GN247" s="3">
        <f t="shared" si="238"/>
        <v>0</v>
      </c>
      <c r="GO247" s="3">
        <f t="shared" si="239"/>
        <v>2906.3</v>
      </c>
      <c r="GP247" s="3">
        <f t="shared" si="240"/>
        <v>0</v>
      </c>
      <c r="GR247" s="3">
        <v>0</v>
      </c>
      <c r="GS247" s="3">
        <v>3</v>
      </c>
      <c r="GT247" s="3">
        <v>0</v>
      </c>
      <c r="GU247" s="3" t="s">
        <v>3</v>
      </c>
      <c r="GV247" s="3">
        <f t="shared" si="241"/>
        <v>0</v>
      </c>
      <c r="GW247" s="3">
        <v>1</v>
      </c>
      <c r="GX247" s="3">
        <f t="shared" si="242"/>
        <v>0</v>
      </c>
      <c r="HA247" s="3">
        <v>0</v>
      </c>
      <c r="HB247" s="3">
        <v>0</v>
      </c>
      <c r="HC247" s="3">
        <f t="shared" si="243"/>
        <v>0</v>
      </c>
      <c r="HE247" s="3" t="s">
        <v>3</v>
      </c>
      <c r="HF247" s="3" t="s">
        <v>3</v>
      </c>
      <c r="HM247" s="3" t="s">
        <v>119</v>
      </c>
      <c r="HN247" s="3" t="s">
        <v>3</v>
      </c>
      <c r="HO247" s="3" t="s">
        <v>3</v>
      </c>
      <c r="HP247" s="3" t="s">
        <v>3</v>
      </c>
      <c r="HQ247" s="3" t="s">
        <v>3</v>
      </c>
      <c r="HS247" s="3">
        <v>0</v>
      </c>
      <c r="IK247" s="3">
        <v>0</v>
      </c>
    </row>
    <row r="248" spans="1:255" x14ac:dyDescent="0.2">
      <c r="A248" s="2">
        <v>18</v>
      </c>
      <c r="B248" s="2">
        <v>1</v>
      </c>
      <c r="C248" s="2">
        <v>295</v>
      </c>
      <c r="D248" s="2"/>
      <c r="E248" s="2" t="s">
        <v>3</v>
      </c>
      <c r="F248" s="2" t="s">
        <v>382</v>
      </c>
      <c r="G248" s="2" t="s">
        <v>383</v>
      </c>
      <c r="H248" s="2" t="s">
        <v>348</v>
      </c>
      <c r="I248" s="2">
        <f>I244*J248</f>
        <v>0.5</v>
      </c>
      <c r="J248" s="2">
        <v>0.33333333333333331</v>
      </c>
      <c r="K248" s="2">
        <v>0.33333299999999999</v>
      </c>
      <c r="L248" s="2"/>
      <c r="M248" s="2"/>
      <c r="N248" s="2"/>
      <c r="O248" s="2">
        <f t="shared" ref="O248:O279" si="274">ROUND(CP248,2)</f>
        <v>297.17</v>
      </c>
      <c r="P248" s="2">
        <f t="shared" ref="P248:P279" si="275">ROUND((ROUND((AC248*AW248*I248),2)*BC248),2)</f>
        <v>297.17</v>
      </c>
      <c r="Q248" s="2">
        <f>(ROUND((ROUND(((ET248)*AV248*I248),2)*BB248),2)+ROUND((ROUND(((AE248-(EU248))*AV248*I248),2)*BS248),2))</f>
        <v>0</v>
      </c>
      <c r="R248" s="2">
        <f>(ROUND((ROUND(((EU248)*AV248*I248),2)*BS248),2)+ROUND((ROUND(((AE248-(EU248))*AV248*I248),2)*BS248),2))</f>
        <v>0</v>
      </c>
      <c r="S248" s="2">
        <f t="shared" ref="S248:S279" si="276">ROUND((ROUND((AF248*AV248*I248),2)*BA248),2)</f>
        <v>0</v>
      </c>
      <c r="T248" s="2">
        <f t="shared" ref="T248:T279" si="277">ROUND(CU248*I248,2)</f>
        <v>0</v>
      </c>
      <c r="U248" s="2">
        <f t="shared" ref="U248:U279" si="278">CV248*I248</f>
        <v>0</v>
      </c>
      <c r="V248" s="2">
        <f t="shared" ref="V248:V279" si="279">CW248*I248</f>
        <v>0</v>
      </c>
      <c r="W248" s="2">
        <f t="shared" ref="W248:W279" si="280">ROUND(CX248*I248,2)</f>
        <v>0</v>
      </c>
      <c r="X248" s="2">
        <f>(ROUND((((S248+ROUND((ROUND(((EU248)*AV248*I248),2)*BS248),2))*AT248)/100),2)+ROUND(((ROUND((ROUND(((AE248-(EU248))*AV248*I248),2)*BS248),2)*AT248)/100),2))</f>
        <v>0</v>
      </c>
      <c r="Y248" s="2">
        <f>(ROUND((((S248+ROUND((ROUND(((EU248)*AV248*I248),2)*BS248),2))*AU248)/100),2)+ROUND(((ROUND((ROUND(((AE248-(EU248))*AV248*I248),2)*BS248),2)*AU248)/100),2))</f>
        <v>0</v>
      </c>
      <c r="Z248" s="2"/>
      <c r="AA248" s="2">
        <v>-1</v>
      </c>
      <c r="AB248" s="2">
        <f t="shared" ref="AB248:AB279" si="281">ROUND((AC248+AD248+AF248),6)</f>
        <v>594.33000000000004</v>
      </c>
      <c r="AC248" s="2">
        <f>ROUND((ES248),6)</f>
        <v>594.33000000000004</v>
      </c>
      <c r="AD248" s="2">
        <f>ROUND((((ET248)-(EU248))+AE248),6)</f>
        <v>0</v>
      </c>
      <c r="AE248" s="2">
        <f t="shared" si="272"/>
        <v>0</v>
      </c>
      <c r="AF248" s="2">
        <f t="shared" si="272"/>
        <v>0</v>
      </c>
      <c r="AG248" s="2">
        <f t="shared" ref="AG248:AG279" si="282">ROUND((AP248),6)</f>
        <v>0</v>
      </c>
      <c r="AH248" s="2">
        <f t="shared" si="273"/>
        <v>0</v>
      </c>
      <c r="AI248" s="2">
        <f t="shared" si="273"/>
        <v>0</v>
      </c>
      <c r="AJ248" s="2">
        <f t="shared" ref="AJ248:AJ279" si="283">(AS248)</f>
        <v>0</v>
      </c>
      <c r="AK248" s="2">
        <v>594.33000000000004</v>
      </c>
      <c r="AL248" s="2">
        <v>594.33000000000004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97</v>
      </c>
      <c r="AU248" s="2">
        <v>51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2</v>
      </c>
      <c r="BJ248" s="2" t="s">
        <v>384</v>
      </c>
      <c r="BK248" s="2"/>
      <c r="BL248" s="2"/>
      <c r="BM248" s="2">
        <v>67</v>
      </c>
      <c r="BN248" s="2">
        <v>0</v>
      </c>
      <c r="BO248" s="2" t="s">
        <v>3</v>
      </c>
      <c r="BP248" s="2">
        <v>0</v>
      </c>
      <c r="BQ248" s="2">
        <v>40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97</v>
      </c>
      <c r="CA248" s="2">
        <v>51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821</v>
      </c>
      <c r="CO248" s="2">
        <v>0</v>
      </c>
      <c r="CP248" s="2">
        <f t="shared" ref="CP248:CP279" si="284">(P248+Q248+S248)</f>
        <v>297.17</v>
      </c>
      <c r="CQ248" s="2">
        <f t="shared" ref="CQ248:CQ279" si="285">ROUND((ROUND((AC248*AW248*1),2)*BC248),2)</f>
        <v>594.33000000000004</v>
      </c>
      <c r="CR248" s="2">
        <f>(ROUND((ROUND(((ET248)*AV248*1),2)*BB248),2)+ROUND((ROUND(((AE248-(EU248))*AV248*1),2)*BS248),2))</f>
        <v>0</v>
      </c>
      <c r="CS248" s="2">
        <f>(ROUND((ROUND(((EU248)*AV248*1),2)*BS248),2)+ROUND((ROUND(((AE248-(EU248))*AV248*1),2)*BS248),2))</f>
        <v>0</v>
      </c>
      <c r="CT248" s="2">
        <f t="shared" ref="CT248:CT279" si="286">ROUND((ROUND((AF248*AV248*1),2)*BA248),2)</f>
        <v>0</v>
      </c>
      <c r="CU248" s="2">
        <f t="shared" ref="CU248:CU279" si="287">AG248</f>
        <v>0</v>
      </c>
      <c r="CV248" s="2">
        <f t="shared" ref="CV248:CV279" si="288">(AH248*AV248)</f>
        <v>0</v>
      </c>
      <c r="CW248" s="2">
        <f t="shared" ref="CW248:CW279" si="289">AI248</f>
        <v>0</v>
      </c>
      <c r="CX248" s="2">
        <f t="shared" ref="CX248:CX279" si="290">AJ248</f>
        <v>0</v>
      </c>
      <c r="CY248" s="2">
        <f>(ROUND((((S248+ROUND((ROUND(((EU248)*AV248*1),2)*BS248),2))*AT248)/100),2)+ROUND(((ROUND((ROUND(((AE248-(EU248))*AV248*1),2)*BS248),2)*AT248)/100),2))</f>
        <v>0</v>
      </c>
      <c r="CZ248" s="2">
        <f>(ROUND((((S248+ROUND((ROUND(((EU248)*AV248*1),2)*BS248),2))*AU248)/100),2)+ROUND(((ROUND((ROUND(((AE248-(EU248))*AV248*1),2)*BS248),2)*AU248)/100),2))</f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348</v>
      </c>
      <c r="DW248" s="2" t="s">
        <v>348</v>
      </c>
      <c r="DX248" s="2">
        <v>1000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57248651</v>
      </c>
      <c r="EF248" s="2">
        <v>40</v>
      </c>
      <c r="EG248" s="2" t="s">
        <v>33</v>
      </c>
      <c r="EH248" s="2">
        <v>0</v>
      </c>
      <c r="EI248" s="2" t="s">
        <v>3</v>
      </c>
      <c r="EJ248" s="2">
        <v>2</v>
      </c>
      <c r="EK248" s="2">
        <v>67</v>
      </c>
      <c r="EL248" s="2" t="s">
        <v>69</v>
      </c>
      <c r="EM248" s="2" t="s">
        <v>70</v>
      </c>
      <c r="EN248" s="2"/>
      <c r="EO248" s="2" t="s">
        <v>124</v>
      </c>
      <c r="EP248" s="2"/>
      <c r="EQ248" s="2">
        <v>1024</v>
      </c>
      <c r="ER248" s="2">
        <v>594.33000000000004</v>
      </c>
      <c r="ES248" s="2">
        <v>594.33000000000004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97</v>
      </c>
      <c r="FY248" s="2">
        <v>51</v>
      </c>
      <c r="FZ248" s="2"/>
      <c r="GA248" s="2" t="s">
        <v>3</v>
      </c>
      <c r="GB248" s="2"/>
      <c r="GC248" s="2"/>
      <c r="GD248" s="2">
        <v>1</v>
      </c>
      <c r="GE248" s="2"/>
      <c r="GF248" s="2">
        <v>-1804137467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ref="GL248:GL279" si="291">ROUND(IF(AND(BH248=3,BI248=3,FS248&lt;&gt;0),P248,0),2)</f>
        <v>0</v>
      </c>
      <c r="GM248" s="2">
        <f t="shared" ref="GM248:GM279" si="292">ROUND(O248+X248+Y248,2)+GX248</f>
        <v>297.17</v>
      </c>
      <c r="GN248" s="2">
        <f t="shared" ref="GN248:GN279" si="293">IF(OR(BI248=0,BI248=1),GM248-GX248,0)</f>
        <v>0</v>
      </c>
      <c r="GO248" s="2">
        <f t="shared" ref="GO248:GO279" si="294">IF(BI248=2,GM248-GX248,0)</f>
        <v>297.17</v>
      </c>
      <c r="GP248" s="2">
        <f t="shared" ref="GP248:GP279" si="295">IF(BI248=4,GM248-GX248,0)</f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ref="GV248:GV279" si="296">ROUND((GT248),6)</f>
        <v>0</v>
      </c>
      <c r="GW248" s="2">
        <v>1</v>
      </c>
      <c r="GX248" s="2">
        <f t="shared" ref="GX248:GX279" si="297">ROUND(HC248*I248,2)</f>
        <v>0</v>
      </c>
      <c r="GY248" s="2"/>
      <c r="GZ248" s="2"/>
      <c r="HA248" s="2">
        <v>0</v>
      </c>
      <c r="HB248" s="2">
        <v>0</v>
      </c>
      <c r="HC248" s="2">
        <f t="shared" ref="HC248:HC279" si="298">GV248*GW248</f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3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3">
        <v>18</v>
      </c>
      <c r="B249" s="3">
        <v>1</v>
      </c>
      <c r="C249" s="3">
        <v>298</v>
      </c>
      <c r="E249" s="3" t="s">
        <v>3</v>
      </c>
      <c r="F249" s="3" t="s">
        <v>382</v>
      </c>
      <c r="G249" s="3" t="s">
        <v>383</v>
      </c>
      <c r="H249" s="3" t="s">
        <v>348</v>
      </c>
      <c r="I249" s="3">
        <f>I245*J249</f>
        <v>0.5</v>
      </c>
      <c r="J249" s="3">
        <v>0.33333333333333331</v>
      </c>
      <c r="K249" s="3">
        <v>0.33333299999999999</v>
      </c>
      <c r="O249" s="3">
        <f t="shared" si="274"/>
        <v>796.42</v>
      </c>
      <c r="P249" s="3">
        <f t="shared" si="275"/>
        <v>796.42</v>
      </c>
      <c r="Q249" s="3">
        <f>(ROUND((ROUND(((ET249)*AV249*I249),2)*BB249),2)+ROUND((ROUND(((AE249-(EU249))*AV249*I249),2)*BS249),2))</f>
        <v>0</v>
      </c>
      <c r="R249" s="3">
        <f>(ROUND((ROUND(((EU249)*AV249*I249),2)*BS249),2)+ROUND((ROUND(((AE249-(EU249))*AV249*I249),2)*BS249),2))</f>
        <v>0</v>
      </c>
      <c r="S249" s="3">
        <f t="shared" si="276"/>
        <v>0</v>
      </c>
      <c r="T249" s="3">
        <f t="shared" si="277"/>
        <v>0</v>
      </c>
      <c r="U249" s="3">
        <f t="shared" si="278"/>
        <v>0</v>
      </c>
      <c r="V249" s="3">
        <f t="shared" si="279"/>
        <v>0</v>
      </c>
      <c r="W249" s="3">
        <f t="shared" si="280"/>
        <v>0</v>
      </c>
      <c r="X249" s="3">
        <f>(ROUND((((S249+ROUND((ROUND(((EU249)*AV249*I249),2)*BS249),2))*AT249)/100),2)+ROUND(((ROUND((ROUND(((AE249-(EU249))*AV249*I249),2)*BS249),2)*AT249)/100),2))</f>
        <v>0</v>
      </c>
      <c r="Y249" s="3">
        <f>(ROUND((((S249+ROUND((ROUND(((EU249)*AV249*I249),2)*BS249),2))*AU249)/100),2)+ROUND(((ROUND((ROUND(((AE249-(EU249))*AV249*I249),2)*BS249),2)*AU249)/100),2))</f>
        <v>0</v>
      </c>
      <c r="AA249" s="3">
        <v>-1</v>
      </c>
      <c r="AB249" s="3">
        <f t="shared" si="281"/>
        <v>594.33000000000004</v>
      </c>
      <c r="AC249" s="3">
        <f>ROUND((ES249),6)</f>
        <v>594.33000000000004</v>
      </c>
      <c r="AD249" s="3">
        <f>ROUND((((ET249)-(EU249))+AE249),6)</f>
        <v>0</v>
      </c>
      <c r="AE249" s="3">
        <f t="shared" si="272"/>
        <v>0</v>
      </c>
      <c r="AF249" s="3">
        <f t="shared" si="272"/>
        <v>0</v>
      </c>
      <c r="AG249" s="3">
        <f t="shared" si="282"/>
        <v>0</v>
      </c>
      <c r="AH249" s="3">
        <f t="shared" si="273"/>
        <v>0</v>
      </c>
      <c r="AI249" s="3">
        <f t="shared" si="273"/>
        <v>0</v>
      </c>
      <c r="AJ249" s="3">
        <f t="shared" si="283"/>
        <v>0</v>
      </c>
      <c r="AK249" s="3">
        <v>594.33000000000004</v>
      </c>
      <c r="AL249" s="3">
        <v>594.33000000000004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97</v>
      </c>
      <c r="AU249" s="3">
        <v>51</v>
      </c>
      <c r="AV249" s="3">
        <v>1</v>
      </c>
      <c r="AW249" s="3">
        <v>1</v>
      </c>
      <c r="AZ249" s="3">
        <v>1</v>
      </c>
      <c r="BA249" s="3">
        <v>1</v>
      </c>
      <c r="BB249" s="3">
        <v>1</v>
      </c>
      <c r="BC249" s="3">
        <v>2.68</v>
      </c>
      <c r="BD249" s="3" t="s">
        <v>3</v>
      </c>
      <c r="BE249" s="3" t="s">
        <v>3</v>
      </c>
      <c r="BF249" s="3" t="s">
        <v>3</v>
      </c>
      <c r="BG249" s="3" t="s">
        <v>3</v>
      </c>
      <c r="BH249" s="3">
        <v>3</v>
      </c>
      <c r="BI249" s="3">
        <v>2</v>
      </c>
      <c r="BJ249" s="3" t="s">
        <v>384</v>
      </c>
      <c r="BM249" s="3">
        <v>67</v>
      </c>
      <c r="BN249" s="3">
        <v>0</v>
      </c>
      <c r="BO249" s="3" t="s">
        <v>382</v>
      </c>
      <c r="BP249" s="3">
        <v>1</v>
      </c>
      <c r="BQ249" s="3">
        <v>40</v>
      </c>
      <c r="BR249" s="3">
        <v>0</v>
      </c>
      <c r="BS249" s="3">
        <v>1</v>
      </c>
      <c r="BT249" s="3">
        <v>1</v>
      </c>
      <c r="BU249" s="3">
        <v>1</v>
      </c>
      <c r="BV249" s="3">
        <v>1</v>
      </c>
      <c r="BW249" s="3">
        <v>1</v>
      </c>
      <c r="BX249" s="3">
        <v>1</v>
      </c>
      <c r="BY249" s="3" t="s">
        <v>3</v>
      </c>
      <c r="BZ249" s="3">
        <v>97</v>
      </c>
      <c r="CA249" s="3">
        <v>51</v>
      </c>
      <c r="CB249" s="3" t="s">
        <v>3</v>
      </c>
      <c r="CE249" s="3">
        <v>1566</v>
      </c>
      <c r="CF249" s="3">
        <v>0</v>
      </c>
      <c r="CG249" s="3">
        <v>0</v>
      </c>
      <c r="CM249" s="3">
        <v>0</v>
      </c>
      <c r="CN249" s="3" t="s">
        <v>821</v>
      </c>
      <c r="CO249" s="3">
        <v>0</v>
      </c>
      <c r="CP249" s="3">
        <f t="shared" si="284"/>
        <v>796.42</v>
      </c>
      <c r="CQ249" s="3">
        <f t="shared" si="285"/>
        <v>1592.8</v>
      </c>
      <c r="CR249" s="3">
        <f>(ROUND((ROUND(((ET249)*AV249*1),2)*BB249),2)+ROUND((ROUND(((AE249-(EU249))*AV249*1),2)*BS249),2))</f>
        <v>0</v>
      </c>
      <c r="CS249" s="3">
        <f>(ROUND((ROUND(((EU249)*AV249*1),2)*BS249),2)+ROUND((ROUND(((AE249-(EU249))*AV249*1),2)*BS249),2))</f>
        <v>0</v>
      </c>
      <c r="CT249" s="3">
        <f t="shared" si="286"/>
        <v>0</v>
      </c>
      <c r="CU249" s="3">
        <f t="shared" si="287"/>
        <v>0</v>
      </c>
      <c r="CV249" s="3">
        <f t="shared" si="288"/>
        <v>0</v>
      </c>
      <c r="CW249" s="3">
        <f t="shared" si="289"/>
        <v>0</v>
      </c>
      <c r="CX249" s="3">
        <f t="shared" si="290"/>
        <v>0</v>
      </c>
      <c r="CY249" s="3">
        <f>(ROUND((((S249+ROUND((ROUND(((EU249)*AV249*1),2)*BS249),2))*AT249)/100),2)+ROUND(((ROUND((ROUND(((AE249-(EU249))*AV249*1),2)*BS249),2)*AT249)/100),2))</f>
        <v>0</v>
      </c>
      <c r="CZ249" s="3">
        <f>(ROUND((((S249+ROUND((ROUND(((EU249)*AV249*1),2)*BS249),2))*AU249)/100),2)+ROUND(((ROUND((ROUND(((AE249-(EU249))*AV249*1),2)*BS249),2)*AU249)/100),2))</f>
        <v>0</v>
      </c>
      <c r="DC249" s="3" t="s">
        <v>3</v>
      </c>
      <c r="DD249" s="3" t="s">
        <v>3</v>
      </c>
      <c r="DE249" s="3" t="s">
        <v>3</v>
      </c>
      <c r="DF249" s="3" t="s">
        <v>3</v>
      </c>
      <c r="DG249" s="3" t="s">
        <v>3</v>
      </c>
      <c r="DH249" s="3" t="s">
        <v>3</v>
      </c>
      <c r="DI249" s="3" t="s">
        <v>3</v>
      </c>
      <c r="DJ249" s="3" t="s">
        <v>3</v>
      </c>
      <c r="DK249" s="3" t="s">
        <v>3</v>
      </c>
      <c r="DL249" s="3" t="s">
        <v>3</v>
      </c>
      <c r="DM249" s="3" t="s">
        <v>3</v>
      </c>
      <c r="DN249" s="3">
        <v>0</v>
      </c>
      <c r="DO249" s="3">
        <v>0</v>
      </c>
      <c r="DP249" s="3">
        <v>1</v>
      </c>
      <c r="DQ249" s="3">
        <v>1</v>
      </c>
      <c r="DU249" s="3">
        <v>1010</v>
      </c>
      <c r="DV249" s="3" t="s">
        <v>348</v>
      </c>
      <c r="DW249" s="3" t="s">
        <v>348</v>
      </c>
      <c r="DX249" s="3">
        <v>1000</v>
      </c>
      <c r="DZ249" s="3" t="s">
        <v>3</v>
      </c>
      <c r="EA249" s="3" t="s">
        <v>3</v>
      </c>
      <c r="EB249" s="3" t="s">
        <v>3</v>
      </c>
      <c r="EC249" s="3" t="s">
        <v>3</v>
      </c>
      <c r="EE249" s="3">
        <v>57248651</v>
      </c>
      <c r="EF249" s="3">
        <v>40</v>
      </c>
      <c r="EG249" s="3" t="s">
        <v>33</v>
      </c>
      <c r="EH249" s="3">
        <v>0</v>
      </c>
      <c r="EI249" s="3" t="s">
        <v>3</v>
      </c>
      <c r="EJ249" s="3">
        <v>2</v>
      </c>
      <c r="EK249" s="3">
        <v>67</v>
      </c>
      <c r="EL249" s="3" t="s">
        <v>69</v>
      </c>
      <c r="EM249" s="3" t="s">
        <v>70</v>
      </c>
      <c r="EO249" s="3" t="s">
        <v>124</v>
      </c>
      <c r="EQ249" s="3">
        <v>1024</v>
      </c>
      <c r="ER249" s="3">
        <v>594.33000000000004</v>
      </c>
      <c r="ES249" s="3">
        <v>594.33000000000004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FQ249" s="3">
        <v>0</v>
      </c>
      <c r="FR249" s="3">
        <v>0</v>
      </c>
      <c r="FS249" s="3">
        <v>0</v>
      </c>
      <c r="FX249" s="3">
        <v>97</v>
      </c>
      <c r="FY249" s="3">
        <v>51</v>
      </c>
      <c r="GA249" s="3" t="s">
        <v>3</v>
      </c>
      <c r="GD249" s="3">
        <v>1</v>
      </c>
      <c r="GF249" s="3">
        <v>-1804137467</v>
      </c>
      <c r="GG249" s="3">
        <v>2</v>
      </c>
      <c r="GH249" s="3">
        <v>1</v>
      </c>
      <c r="GI249" s="3">
        <v>2</v>
      </c>
      <c r="GJ249" s="3">
        <v>0</v>
      </c>
      <c r="GK249" s="3">
        <v>0</v>
      </c>
      <c r="GL249" s="3">
        <f t="shared" si="291"/>
        <v>0</v>
      </c>
      <c r="GM249" s="3">
        <f t="shared" si="292"/>
        <v>796.42</v>
      </c>
      <c r="GN249" s="3">
        <f t="shared" si="293"/>
        <v>0</v>
      </c>
      <c r="GO249" s="3">
        <f t="shared" si="294"/>
        <v>796.42</v>
      </c>
      <c r="GP249" s="3">
        <f t="shared" si="295"/>
        <v>0</v>
      </c>
      <c r="GR249" s="3">
        <v>0</v>
      </c>
      <c r="GS249" s="3">
        <v>3</v>
      </c>
      <c r="GT249" s="3">
        <v>0</v>
      </c>
      <c r="GU249" s="3" t="s">
        <v>3</v>
      </c>
      <c r="GV249" s="3">
        <f t="shared" si="296"/>
        <v>0</v>
      </c>
      <c r="GW249" s="3">
        <v>1</v>
      </c>
      <c r="GX249" s="3">
        <f t="shared" si="297"/>
        <v>0</v>
      </c>
      <c r="HA249" s="3">
        <v>0</v>
      </c>
      <c r="HB249" s="3">
        <v>0</v>
      </c>
      <c r="HC249" s="3">
        <f t="shared" si="298"/>
        <v>0</v>
      </c>
      <c r="HE249" s="3" t="s">
        <v>3</v>
      </c>
      <c r="HF249" s="3" t="s">
        <v>3</v>
      </c>
      <c r="HM249" s="3" t="s">
        <v>3</v>
      </c>
      <c r="HN249" s="3" t="s">
        <v>3</v>
      </c>
      <c r="HO249" s="3" t="s">
        <v>3</v>
      </c>
      <c r="HP249" s="3" t="s">
        <v>3</v>
      </c>
      <c r="HQ249" s="3" t="s">
        <v>3</v>
      </c>
      <c r="HS249" s="3">
        <v>0</v>
      </c>
      <c r="IK249" s="3">
        <v>0</v>
      </c>
    </row>
    <row r="250" spans="1:255" x14ac:dyDescent="0.2">
      <c r="A250" s="2">
        <v>17</v>
      </c>
      <c r="B250" s="2">
        <v>1</v>
      </c>
      <c r="C250" s="2">
        <f>ROW(SmtRes!A307)</f>
        <v>307</v>
      </c>
      <c r="D250" s="2">
        <f>ROW(EtalonRes!A380)</f>
        <v>380</v>
      </c>
      <c r="E250" s="2" t="s">
        <v>385</v>
      </c>
      <c r="F250" s="2" t="s">
        <v>129</v>
      </c>
      <c r="G250" s="2" t="s">
        <v>130</v>
      </c>
      <c r="H250" s="2" t="s">
        <v>117</v>
      </c>
      <c r="I250" s="2">
        <f>ROUND(150/100,9)</f>
        <v>1.5</v>
      </c>
      <c r="J250" s="2">
        <v>0</v>
      </c>
      <c r="K250" s="2">
        <f>ROUND(150/100,9)</f>
        <v>1.5</v>
      </c>
      <c r="L250" s="2"/>
      <c r="M250" s="2"/>
      <c r="N250" s="2"/>
      <c r="O250" s="2">
        <f t="shared" si="274"/>
        <v>591.23</v>
      </c>
      <c r="P250" s="2">
        <f t="shared" si="275"/>
        <v>29.13</v>
      </c>
      <c r="Q250" s="2">
        <f>(ROUND((ROUND((((ET250*1.2))*AV250*I250),2)*BB250),2)+ROUND((ROUND(((AE250-((EU250*1.2)))*AV250*I250),2)*BS250),2))</f>
        <v>7.63</v>
      </c>
      <c r="R250" s="2">
        <f>(ROUND((ROUND((((EU250*1.2))*AV250*I250),2)*BS250),2)+ROUND((ROUND(((AE250-((EU250*1.2)))*AV250*I250),2)*BS250),2))</f>
        <v>0</v>
      </c>
      <c r="S250" s="2">
        <f t="shared" si="276"/>
        <v>554.47</v>
      </c>
      <c r="T250" s="2">
        <f t="shared" si="277"/>
        <v>0</v>
      </c>
      <c r="U250" s="2">
        <f t="shared" si="278"/>
        <v>46.662695999999997</v>
      </c>
      <c r="V250" s="2">
        <f t="shared" si="279"/>
        <v>0</v>
      </c>
      <c r="W250" s="2">
        <f t="shared" si="280"/>
        <v>0</v>
      </c>
      <c r="X250" s="2">
        <f>(ROUND((((S250+ROUND((ROUND((((EU250*1.2))*AV250*I250),2)*BS250),2))*AT250)/100),2)+ROUND(((ROUND((ROUND(((AE250-((EU250*1.2)))*AV250*I250),2)*BS250),2)*AT250)/100),2))</f>
        <v>499.02</v>
      </c>
      <c r="Y250" s="2">
        <f>(ROUND((((S250+ROUND((ROUND((((EU250*1.2))*AV250*I250),2)*BS250),2))*AU250)/100),2)+ROUND(((ROUND((ROUND(((AE250-((EU250*1.2)))*AV250*I250),2)*BS250),2)*AU250)/100),2))</f>
        <v>255.06</v>
      </c>
      <c r="Z250" s="2"/>
      <c r="AA250" s="2">
        <v>57248835</v>
      </c>
      <c r="AB250" s="2">
        <f t="shared" si="281"/>
        <v>377.33199999999999</v>
      </c>
      <c r="AC250" s="2">
        <f>ROUND(((ES250*1)),6)</f>
        <v>19.420000000000002</v>
      </c>
      <c r="AD250" s="2">
        <f>ROUND(((((ET250*1.2))-((EU250*1.2)))+AE250),6)</f>
        <v>4.8600000000000003</v>
      </c>
      <c r="AE250" s="2">
        <f>ROUND(((EU250*1.2)),6)</f>
        <v>0</v>
      </c>
      <c r="AF250" s="2">
        <f>ROUND(((EV250*1.2)),6)</f>
        <v>353.05200000000002</v>
      </c>
      <c r="AG250" s="2">
        <f t="shared" si="282"/>
        <v>0</v>
      </c>
      <c r="AH250" s="2">
        <f>((EW250*1.2))</f>
        <v>29.712</v>
      </c>
      <c r="AI250" s="2">
        <f>((EX250*1.2))</f>
        <v>0</v>
      </c>
      <c r="AJ250" s="2">
        <f t="shared" si="283"/>
        <v>0</v>
      </c>
      <c r="AK250" s="2">
        <v>317.68</v>
      </c>
      <c r="AL250" s="2">
        <v>19.420000000000002</v>
      </c>
      <c r="AM250" s="2">
        <v>4.05</v>
      </c>
      <c r="AN250" s="2">
        <v>0</v>
      </c>
      <c r="AO250" s="2">
        <v>294.20999999999998</v>
      </c>
      <c r="AP250" s="2">
        <v>0</v>
      </c>
      <c r="AQ250" s="2">
        <v>24.76</v>
      </c>
      <c r="AR250" s="2">
        <v>0</v>
      </c>
      <c r="AS250" s="2">
        <v>0</v>
      </c>
      <c r="AT250" s="2">
        <v>90</v>
      </c>
      <c r="AU250" s="2">
        <v>46</v>
      </c>
      <c r="AV250" s="2">
        <v>1.0469999999999999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0</v>
      </c>
      <c r="BI250" s="2">
        <v>2</v>
      </c>
      <c r="BJ250" s="2" t="s">
        <v>131</v>
      </c>
      <c r="BK250" s="2"/>
      <c r="BL250" s="2"/>
      <c r="BM250" s="2">
        <v>68</v>
      </c>
      <c r="BN250" s="2">
        <v>0</v>
      </c>
      <c r="BO250" s="2" t="s">
        <v>129</v>
      </c>
      <c r="BP250" s="2">
        <v>1</v>
      </c>
      <c r="BQ250" s="2">
        <v>40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90</v>
      </c>
      <c r="CA250" s="2">
        <v>46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820</v>
      </c>
      <c r="CO250" s="2">
        <v>0</v>
      </c>
      <c r="CP250" s="2">
        <f t="shared" si="284"/>
        <v>591.23</v>
      </c>
      <c r="CQ250" s="2">
        <f t="shared" si="285"/>
        <v>19.420000000000002</v>
      </c>
      <c r="CR250" s="2">
        <f>(ROUND((ROUND((((ET250*1.2))*AV250*1),2)*BB250),2)+ROUND((ROUND(((AE250-((EU250*1.2)))*AV250*1),2)*BS250),2))</f>
        <v>5.09</v>
      </c>
      <c r="CS250" s="2">
        <f>(ROUND((ROUND((((EU250*1.2))*AV250*1),2)*BS250),2)+ROUND((ROUND(((AE250-((EU250*1.2)))*AV250*1),2)*BS250),2))</f>
        <v>0</v>
      </c>
      <c r="CT250" s="2">
        <f t="shared" si="286"/>
        <v>369.65</v>
      </c>
      <c r="CU250" s="2">
        <f t="shared" si="287"/>
        <v>0</v>
      </c>
      <c r="CV250" s="2">
        <f t="shared" si="288"/>
        <v>31.108463999999998</v>
      </c>
      <c r="CW250" s="2">
        <f t="shared" si="289"/>
        <v>0</v>
      </c>
      <c r="CX250" s="2">
        <f t="shared" si="290"/>
        <v>0</v>
      </c>
      <c r="CY250" s="2">
        <f>(ROUND((((S250+ROUND((ROUND((((EU250*1.2))*AV250*1),2)*BS250),2))*AT250)/100),2)+ROUND(((ROUND((ROUND(((AE250-((EU250*1.2)))*AV250*1),2)*BS250),2)*AT250)/100),2))</f>
        <v>499.02</v>
      </c>
      <c r="CZ250" s="2">
        <f>(ROUND((((S250+ROUND((ROUND((((EU250*1.2))*AV250*1),2)*BS250),2))*AU250)/100),2)+ROUND(((ROUND((ROUND(((AE250-((EU250*1.2)))*AV250*1),2)*BS250),2)*AU250)/100),2))</f>
        <v>255.06</v>
      </c>
      <c r="DA250" s="2"/>
      <c r="DB250" s="2">
        <v>113</v>
      </c>
      <c r="DC250" s="2" t="s">
        <v>3</v>
      </c>
      <c r="DD250" s="2" t="s">
        <v>119</v>
      </c>
      <c r="DE250" s="2" t="s">
        <v>120</v>
      </c>
      <c r="DF250" s="2" t="s">
        <v>120</v>
      </c>
      <c r="DG250" s="2" t="s">
        <v>120</v>
      </c>
      <c r="DH250" s="2" t="s">
        <v>3</v>
      </c>
      <c r="DI250" s="2" t="s">
        <v>120</v>
      </c>
      <c r="DJ250" s="2" t="s">
        <v>120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117</v>
      </c>
      <c r="DW250" s="2" t="s">
        <v>117</v>
      </c>
      <c r="DX250" s="2">
        <v>100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57248652</v>
      </c>
      <c r="EF250" s="2">
        <v>40</v>
      </c>
      <c r="EG250" s="2" t="s">
        <v>33</v>
      </c>
      <c r="EH250" s="2">
        <v>0</v>
      </c>
      <c r="EI250" s="2" t="s">
        <v>3</v>
      </c>
      <c r="EJ250" s="2">
        <v>2</v>
      </c>
      <c r="EK250" s="2">
        <v>68</v>
      </c>
      <c r="EL250" s="2" t="s">
        <v>34</v>
      </c>
      <c r="EM250" s="2" t="s">
        <v>35</v>
      </c>
      <c r="EN250" s="2"/>
      <c r="EO250" s="2" t="s">
        <v>124</v>
      </c>
      <c r="EP250" s="2"/>
      <c r="EQ250" s="2">
        <v>0</v>
      </c>
      <c r="ER250" s="2">
        <v>317.68</v>
      </c>
      <c r="ES250" s="2">
        <v>19.420000000000002</v>
      </c>
      <c r="ET250" s="2">
        <v>4.05</v>
      </c>
      <c r="EU250" s="2">
        <v>0</v>
      </c>
      <c r="EV250" s="2">
        <v>294.20999999999998</v>
      </c>
      <c r="EW250" s="2">
        <v>24.76</v>
      </c>
      <c r="EX250" s="2">
        <v>0</v>
      </c>
      <c r="EY250" s="2">
        <v>0</v>
      </c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90</v>
      </c>
      <c r="FY250" s="2">
        <v>46</v>
      </c>
      <c r="FZ250" s="2"/>
      <c r="GA250" s="2" t="s">
        <v>3</v>
      </c>
      <c r="GB250" s="2"/>
      <c r="GC250" s="2"/>
      <c r="GD250" s="2">
        <v>1</v>
      </c>
      <c r="GE250" s="2"/>
      <c r="GF250" s="2">
        <v>905116027</v>
      </c>
      <c r="GG250" s="2">
        <v>2</v>
      </c>
      <c r="GH250" s="2">
        <v>1</v>
      </c>
      <c r="GI250" s="2">
        <v>2</v>
      </c>
      <c r="GJ250" s="2">
        <v>0</v>
      </c>
      <c r="GK250" s="2">
        <v>0</v>
      </c>
      <c r="GL250" s="2">
        <f t="shared" si="291"/>
        <v>0</v>
      </c>
      <c r="GM250" s="2">
        <f t="shared" si="292"/>
        <v>1345.31</v>
      </c>
      <c r="GN250" s="2">
        <f t="shared" si="293"/>
        <v>0</v>
      </c>
      <c r="GO250" s="2">
        <f t="shared" si="294"/>
        <v>1345.31</v>
      </c>
      <c r="GP250" s="2">
        <f t="shared" si="295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296"/>
        <v>0</v>
      </c>
      <c r="GW250" s="2">
        <v>1</v>
      </c>
      <c r="GX250" s="2">
        <f t="shared" si="297"/>
        <v>0</v>
      </c>
      <c r="GY250" s="2"/>
      <c r="GZ250" s="2"/>
      <c r="HA250" s="2">
        <v>0</v>
      </c>
      <c r="HB250" s="2">
        <v>0</v>
      </c>
      <c r="HC250" s="2">
        <f t="shared" si="298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3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3">
        <v>17</v>
      </c>
      <c r="B251" s="3">
        <v>1</v>
      </c>
      <c r="C251" s="3">
        <f>ROW(SmtRes!A316)</f>
        <v>316</v>
      </c>
      <c r="D251" s="3">
        <f>ROW(EtalonRes!A390)</f>
        <v>390</v>
      </c>
      <c r="E251" s="3" t="s">
        <v>385</v>
      </c>
      <c r="F251" s="3" t="s">
        <v>129</v>
      </c>
      <c r="G251" s="3" t="s">
        <v>130</v>
      </c>
      <c r="H251" s="3" t="s">
        <v>117</v>
      </c>
      <c r="I251" s="3">
        <f>ROUND(150/100,9)</f>
        <v>1.5</v>
      </c>
      <c r="J251" s="3">
        <v>0</v>
      </c>
      <c r="K251" s="3">
        <f>ROUND(150/100,9)</f>
        <v>1.5</v>
      </c>
      <c r="O251" s="3">
        <f t="shared" si="274"/>
        <v>31508.29</v>
      </c>
      <c r="P251" s="3">
        <f t="shared" si="275"/>
        <v>190.51</v>
      </c>
      <c r="Q251" s="3">
        <f>(ROUND((ROUND((((ET251*1.2))*AV251*I251),2)*BB251),2)+ROUND((ROUND(((AE251-((EU251*1.2)))*AV251*I251),2)*BS251),2))</f>
        <v>73.400000000000006</v>
      </c>
      <c r="R251" s="3">
        <f>(ROUND((ROUND((((EU251*1.2))*AV251*I251),2)*BS251),2)+ROUND((ROUND(((AE251-((EU251*1.2)))*AV251*I251),2)*BS251),2))</f>
        <v>0</v>
      </c>
      <c r="S251" s="3">
        <f t="shared" si="276"/>
        <v>31244.38</v>
      </c>
      <c r="T251" s="3">
        <f t="shared" si="277"/>
        <v>0</v>
      </c>
      <c r="U251" s="3">
        <f t="shared" si="278"/>
        <v>46.662695999999997</v>
      </c>
      <c r="V251" s="3">
        <f t="shared" si="279"/>
        <v>0</v>
      </c>
      <c r="W251" s="3">
        <f t="shared" si="280"/>
        <v>0</v>
      </c>
      <c r="X251" s="3">
        <f>(ROUND((((S251+ROUND((ROUND((((EU251*1.2))*AV251*I251),2)*BS251),2))*AT251)/100),2)+ROUND(((ROUND((ROUND(((AE251-((EU251*1.2)))*AV251*I251),2)*BS251),2)*AT251)/100),2))</f>
        <v>28119.94</v>
      </c>
      <c r="Y251" s="3">
        <f>(ROUND((((S251+ROUND((ROUND((((EU251*1.2))*AV251*I251),2)*BS251),2))*AU251)/100),2)+ROUND(((ROUND((ROUND(((AE251-((EU251*1.2)))*AV251*I251),2)*BS251),2)*AU251)/100),2))</f>
        <v>14372.41</v>
      </c>
      <c r="AA251" s="3">
        <v>57248837</v>
      </c>
      <c r="AB251" s="3">
        <f t="shared" si="281"/>
        <v>377.33199999999999</v>
      </c>
      <c r="AC251" s="3">
        <f>ROUND(((ES251*1)),6)</f>
        <v>19.420000000000002</v>
      </c>
      <c r="AD251" s="3">
        <f>ROUND(((((ET251*1.2))-((EU251*1.2)))+AE251),6)</f>
        <v>4.8600000000000003</v>
      </c>
      <c r="AE251" s="3">
        <f>ROUND(((EU251*1.2)),6)</f>
        <v>0</v>
      </c>
      <c r="AF251" s="3">
        <f>ROUND(((EV251*1.2)),6)</f>
        <v>353.05200000000002</v>
      </c>
      <c r="AG251" s="3">
        <f t="shared" si="282"/>
        <v>0</v>
      </c>
      <c r="AH251" s="3">
        <f>((EW251*1.2))</f>
        <v>29.712</v>
      </c>
      <c r="AI251" s="3">
        <f>((EX251*1.2))</f>
        <v>0</v>
      </c>
      <c r="AJ251" s="3">
        <f t="shared" si="283"/>
        <v>0</v>
      </c>
      <c r="AK251" s="3">
        <v>317.68</v>
      </c>
      <c r="AL251" s="3">
        <v>19.420000000000002</v>
      </c>
      <c r="AM251" s="3">
        <v>4.05</v>
      </c>
      <c r="AN251" s="3">
        <v>0</v>
      </c>
      <c r="AO251" s="3">
        <v>294.20999999999998</v>
      </c>
      <c r="AP251" s="3">
        <v>0</v>
      </c>
      <c r="AQ251" s="3">
        <v>24.76</v>
      </c>
      <c r="AR251" s="3">
        <v>0</v>
      </c>
      <c r="AS251" s="3">
        <v>0</v>
      </c>
      <c r="AT251" s="3">
        <v>90</v>
      </c>
      <c r="AU251" s="3">
        <v>46</v>
      </c>
      <c r="AV251" s="3">
        <v>1.0469999999999999</v>
      </c>
      <c r="AW251" s="3">
        <v>1</v>
      </c>
      <c r="AZ251" s="3">
        <v>1</v>
      </c>
      <c r="BA251" s="3">
        <v>56.35</v>
      </c>
      <c r="BB251" s="3">
        <v>9.6199999999999992</v>
      </c>
      <c r="BC251" s="3">
        <v>6.54</v>
      </c>
      <c r="BD251" s="3" t="s">
        <v>3</v>
      </c>
      <c r="BE251" s="3" t="s">
        <v>3</v>
      </c>
      <c r="BF251" s="3" t="s">
        <v>3</v>
      </c>
      <c r="BG251" s="3" t="s">
        <v>3</v>
      </c>
      <c r="BH251" s="3">
        <v>0</v>
      </c>
      <c r="BI251" s="3">
        <v>2</v>
      </c>
      <c r="BJ251" s="3" t="s">
        <v>131</v>
      </c>
      <c r="BM251" s="3">
        <v>68</v>
      </c>
      <c r="BN251" s="3">
        <v>0</v>
      </c>
      <c r="BO251" s="3" t="s">
        <v>129</v>
      </c>
      <c r="BP251" s="3">
        <v>1</v>
      </c>
      <c r="BQ251" s="3">
        <v>40</v>
      </c>
      <c r="BR251" s="3">
        <v>0</v>
      </c>
      <c r="BS251" s="3">
        <v>56.35</v>
      </c>
      <c r="BT251" s="3">
        <v>1</v>
      </c>
      <c r="BU251" s="3">
        <v>1</v>
      </c>
      <c r="BV251" s="3">
        <v>1</v>
      </c>
      <c r="BW251" s="3">
        <v>1</v>
      </c>
      <c r="BX251" s="3">
        <v>1</v>
      </c>
      <c r="BY251" s="3" t="s">
        <v>3</v>
      </c>
      <c r="BZ251" s="3">
        <v>90</v>
      </c>
      <c r="CA251" s="3">
        <v>46</v>
      </c>
      <c r="CB251" s="3" t="s">
        <v>3</v>
      </c>
      <c r="CE251" s="3">
        <v>1566</v>
      </c>
      <c r="CF251" s="3">
        <v>0</v>
      </c>
      <c r="CG251" s="3">
        <v>0</v>
      </c>
      <c r="CM251" s="3">
        <v>0</v>
      </c>
      <c r="CN251" s="3" t="s">
        <v>820</v>
      </c>
      <c r="CO251" s="3">
        <v>0</v>
      </c>
      <c r="CP251" s="3">
        <f t="shared" si="284"/>
        <v>31508.29</v>
      </c>
      <c r="CQ251" s="3">
        <f t="shared" si="285"/>
        <v>127.01</v>
      </c>
      <c r="CR251" s="3">
        <f>(ROUND((ROUND((((ET251*1.2))*AV251*1),2)*BB251),2)+ROUND((ROUND(((AE251-((EU251*1.2)))*AV251*1),2)*BS251),2))</f>
        <v>48.97</v>
      </c>
      <c r="CS251" s="3">
        <f>(ROUND((ROUND((((EU251*1.2))*AV251*1),2)*BS251),2)+ROUND((ROUND(((AE251-((EU251*1.2)))*AV251*1),2)*BS251),2))</f>
        <v>0</v>
      </c>
      <c r="CT251" s="3">
        <f t="shared" si="286"/>
        <v>20829.78</v>
      </c>
      <c r="CU251" s="3">
        <f t="shared" si="287"/>
        <v>0</v>
      </c>
      <c r="CV251" s="3">
        <f t="shared" si="288"/>
        <v>31.108463999999998</v>
      </c>
      <c r="CW251" s="3">
        <f t="shared" si="289"/>
        <v>0</v>
      </c>
      <c r="CX251" s="3">
        <f t="shared" si="290"/>
        <v>0</v>
      </c>
      <c r="CY251" s="3">
        <f>(ROUND((((S251+ROUND((ROUND((((EU251*1.2))*AV251*1),2)*BS251),2))*AT251)/100),2)+ROUND(((ROUND((ROUND(((AE251-((EU251*1.2)))*AV251*1),2)*BS251),2)*AT251)/100),2))</f>
        <v>28119.94</v>
      </c>
      <c r="CZ251" s="3">
        <f>(ROUND((((S251+ROUND((ROUND((((EU251*1.2))*AV251*1),2)*BS251),2))*AU251)/100),2)+ROUND(((ROUND((ROUND(((AE251-((EU251*1.2)))*AV251*1),2)*BS251),2)*AU251)/100),2))</f>
        <v>14372.41</v>
      </c>
      <c r="DB251" s="3">
        <v>114</v>
      </c>
      <c r="DC251" s="3" t="s">
        <v>3</v>
      </c>
      <c r="DD251" s="3" t="s">
        <v>119</v>
      </c>
      <c r="DE251" s="3" t="s">
        <v>120</v>
      </c>
      <c r="DF251" s="3" t="s">
        <v>120</v>
      </c>
      <c r="DG251" s="3" t="s">
        <v>120</v>
      </c>
      <c r="DH251" s="3" t="s">
        <v>3</v>
      </c>
      <c r="DI251" s="3" t="s">
        <v>120</v>
      </c>
      <c r="DJ251" s="3" t="s">
        <v>120</v>
      </c>
      <c r="DK251" s="3" t="s">
        <v>3</v>
      </c>
      <c r="DL251" s="3" t="s">
        <v>3</v>
      </c>
      <c r="DM251" s="3" t="s">
        <v>3</v>
      </c>
      <c r="DN251" s="3">
        <v>0</v>
      </c>
      <c r="DO251" s="3">
        <v>0</v>
      </c>
      <c r="DP251" s="3">
        <v>1</v>
      </c>
      <c r="DQ251" s="3">
        <v>1</v>
      </c>
      <c r="DU251" s="3">
        <v>1003</v>
      </c>
      <c r="DV251" s="3" t="s">
        <v>117</v>
      </c>
      <c r="DW251" s="3" t="s">
        <v>117</v>
      </c>
      <c r="DX251" s="3">
        <v>100</v>
      </c>
      <c r="DZ251" s="3" t="s">
        <v>3</v>
      </c>
      <c r="EA251" s="3" t="s">
        <v>3</v>
      </c>
      <c r="EB251" s="3" t="s">
        <v>3</v>
      </c>
      <c r="EC251" s="3" t="s">
        <v>3</v>
      </c>
      <c r="EE251" s="3">
        <v>57248652</v>
      </c>
      <c r="EF251" s="3">
        <v>40</v>
      </c>
      <c r="EG251" s="3" t="s">
        <v>33</v>
      </c>
      <c r="EH251" s="3">
        <v>0</v>
      </c>
      <c r="EI251" s="3" t="s">
        <v>3</v>
      </c>
      <c r="EJ251" s="3">
        <v>2</v>
      </c>
      <c r="EK251" s="3">
        <v>68</v>
      </c>
      <c r="EL251" s="3" t="s">
        <v>34</v>
      </c>
      <c r="EM251" s="3" t="s">
        <v>35</v>
      </c>
      <c r="EO251" s="3" t="s">
        <v>124</v>
      </c>
      <c r="EQ251" s="3">
        <v>0</v>
      </c>
      <c r="ER251" s="3">
        <v>317.68</v>
      </c>
      <c r="ES251" s="3">
        <v>19.420000000000002</v>
      </c>
      <c r="ET251" s="3">
        <v>4.05</v>
      </c>
      <c r="EU251" s="3">
        <v>0</v>
      </c>
      <c r="EV251" s="3">
        <v>294.20999999999998</v>
      </c>
      <c r="EW251" s="3">
        <v>24.76</v>
      </c>
      <c r="EX251" s="3">
        <v>0</v>
      </c>
      <c r="EY251" s="3">
        <v>0</v>
      </c>
      <c r="FQ251" s="3">
        <v>0</v>
      </c>
      <c r="FR251" s="3">
        <v>0</v>
      </c>
      <c r="FS251" s="3">
        <v>0</v>
      </c>
      <c r="FX251" s="3">
        <v>90</v>
      </c>
      <c r="FY251" s="3">
        <v>46</v>
      </c>
      <c r="GA251" s="3" t="s">
        <v>3</v>
      </c>
      <c r="GD251" s="3">
        <v>1</v>
      </c>
      <c r="GF251" s="3">
        <v>905116027</v>
      </c>
      <c r="GG251" s="3">
        <v>2</v>
      </c>
      <c r="GH251" s="3">
        <v>1</v>
      </c>
      <c r="GI251" s="3">
        <v>2</v>
      </c>
      <c r="GJ251" s="3">
        <v>0</v>
      </c>
      <c r="GK251" s="3">
        <v>0</v>
      </c>
      <c r="GL251" s="3">
        <f t="shared" si="291"/>
        <v>0</v>
      </c>
      <c r="GM251" s="3">
        <f t="shared" si="292"/>
        <v>74000.639999999999</v>
      </c>
      <c r="GN251" s="3">
        <f t="shared" si="293"/>
        <v>0</v>
      </c>
      <c r="GO251" s="3">
        <f t="shared" si="294"/>
        <v>74000.639999999999</v>
      </c>
      <c r="GP251" s="3">
        <f t="shared" si="295"/>
        <v>0</v>
      </c>
      <c r="GR251" s="3">
        <v>0</v>
      </c>
      <c r="GS251" s="3">
        <v>3</v>
      </c>
      <c r="GT251" s="3">
        <v>0</v>
      </c>
      <c r="GU251" s="3" t="s">
        <v>3</v>
      </c>
      <c r="GV251" s="3">
        <f t="shared" si="296"/>
        <v>0</v>
      </c>
      <c r="GW251" s="3">
        <v>1</v>
      </c>
      <c r="GX251" s="3">
        <f t="shared" si="297"/>
        <v>0</v>
      </c>
      <c r="HA251" s="3">
        <v>0</v>
      </c>
      <c r="HB251" s="3">
        <v>0</v>
      </c>
      <c r="HC251" s="3">
        <f t="shared" si="298"/>
        <v>0</v>
      </c>
      <c r="HE251" s="3" t="s">
        <v>3</v>
      </c>
      <c r="HF251" s="3" t="s">
        <v>3</v>
      </c>
      <c r="HM251" s="3" t="s">
        <v>3</v>
      </c>
      <c r="HN251" s="3" t="s">
        <v>3</v>
      </c>
      <c r="HO251" s="3" t="s">
        <v>3</v>
      </c>
      <c r="HP251" s="3" t="s">
        <v>3</v>
      </c>
      <c r="HQ251" s="3" t="s">
        <v>3</v>
      </c>
      <c r="HS251" s="3">
        <v>0</v>
      </c>
      <c r="IK251" s="3">
        <v>0</v>
      </c>
    </row>
    <row r="252" spans="1:255" x14ac:dyDescent="0.2">
      <c r="A252" s="2">
        <v>18</v>
      </c>
      <c r="B252" s="2">
        <v>1</v>
      </c>
      <c r="C252" s="2">
        <v>302</v>
      </c>
      <c r="D252" s="2"/>
      <c r="E252" s="2" t="s">
        <v>386</v>
      </c>
      <c r="F252" s="2" t="s">
        <v>379</v>
      </c>
      <c r="G252" s="2" t="s">
        <v>380</v>
      </c>
      <c r="H252" s="2" t="s">
        <v>341</v>
      </c>
      <c r="I252" s="2">
        <f>I250*J252</f>
        <v>153</v>
      </c>
      <c r="J252" s="2">
        <v>102</v>
      </c>
      <c r="K252" s="2">
        <v>102</v>
      </c>
      <c r="L252" s="2"/>
      <c r="M252" s="2"/>
      <c r="N252" s="2"/>
      <c r="O252" s="2">
        <f t="shared" si="274"/>
        <v>794.07</v>
      </c>
      <c r="P252" s="2">
        <f t="shared" si="275"/>
        <v>794.07</v>
      </c>
      <c r="Q252" s="2">
        <f t="shared" ref="Q252:Q257" si="299">(ROUND((ROUND(((ET252)*AV252*I252),2)*BB252),2)+ROUND((ROUND(((AE252-(EU252))*AV252*I252),2)*BS252),2))</f>
        <v>0</v>
      </c>
      <c r="R252" s="2">
        <f t="shared" ref="R252:R257" si="300">(ROUND((ROUND(((EU252)*AV252*I252),2)*BS252),2)+ROUND((ROUND(((AE252-(EU252))*AV252*I252),2)*BS252),2))</f>
        <v>0</v>
      </c>
      <c r="S252" s="2">
        <f t="shared" si="276"/>
        <v>0</v>
      </c>
      <c r="T252" s="2">
        <f t="shared" si="277"/>
        <v>0</v>
      </c>
      <c r="U252" s="2">
        <f t="shared" si="278"/>
        <v>0</v>
      </c>
      <c r="V252" s="2">
        <f t="shared" si="279"/>
        <v>0</v>
      </c>
      <c r="W252" s="2">
        <f t="shared" si="280"/>
        <v>0</v>
      </c>
      <c r="X252" s="2">
        <f t="shared" ref="X252:X257" si="301">(ROUND((((S252+ROUND((ROUND(((EU252)*AV252*I252),2)*BS252),2))*AT252)/100),2)+ROUND(((ROUND((ROUND(((AE252-(EU252))*AV252*I252),2)*BS252),2)*AT252)/100),2))</f>
        <v>0</v>
      </c>
      <c r="Y252" s="2">
        <f t="shared" ref="Y252:Y257" si="302">(ROUND((((S252+ROUND((ROUND(((EU252)*AV252*I252),2)*BS252),2))*AU252)/100),2)+ROUND(((ROUND((ROUND(((AE252-(EU252))*AV252*I252),2)*BS252),2)*AU252)/100),2))</f>
        <v>0</v>
      </c>
      <c r="Z252" s="2"/>
      <c r="AA252" s="2">
        <v>57248835</v>
      </c>
      <c r="AB252" s="2">
        <f t="shared" si="281"/>
        <v>5.19</v>
      </c>
      <c r="AC252" s="2">
        <f t="shared" ref="AC252:AC257" si="303">ROUND((ES252),6)</f>
        <v>5.19</v>
      </c>
      <c r="AD252" s="2">
        <f t="shared" ref="AD252:AD257" si="304">ROUND((((ET252)-(EU252))+AE252),6)</f>
        <v>0</v>
      </c>
      <c r="AE252" s="2">
        <f t="shared" ref="AE252:AF257" si="305">ROUND((EU252),6)</f>
        <v>0</v>
      </c>
      <c r="AF252" s="2">
        <f t="shared" si="305"/>
        <v>0</v>
      </c>
      <c r="AG252" s="2">
        <f t="shared" si="282"/>
        <v>0</v>
      </c>
      <c r="AH252" s="2">
        <f t="shared" ref="AH252:AI257" si="306">(EW252)</f>
        <v>0</v>
      </c>
      <c r="AI252" s="2">
        <f t="shared" si="306"/>
        <v>0</v>
      </c>
      <c r="AJ252" s="2">
        <f t="shared" si="283"/>
        <v>0</v>
      </c>
      <c r="AK252" s="2">
        <v>5.19</v>
      </c>
      <c r="AL252" s="2">
        <v>5.19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90</v>
      </c>
      <c r="AU252" s="2">
        <v>46</v>
      </c>
      <c r="AV252" s="2">
        <v>1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3</v>
      </c>
      <c r="BI252" s="2">
        <v>2</v>
      </c>
      <c r="BJ252" s="2" t="s">
        <v>381</v>
      </c>
      <c r="BK252" s="2"/>
      <c r="BL252" s="2"/>
      <c r="BM252" s="2">
        <v>68</v>
      </c>
      <c r="BN252" s="2">
        <v>0</v>
      </c>
      <c r="BO252" s="2" t="s">
        <v>3</v>
      </c>
      <c r="BP252" s="2">
        <v>0</v>
      </c>
      <c r="BQ252" s="2">
        <v>40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90</v>
      </c>
      <c r="CA252" s="2">
        <v>46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821</v>
      </c>
      <c r="CO252" s="2">
        <v>0</v>
      </c>
      <c r="CP252" s="2">
        <f t="shared" si="284"/>
        <v>794.07</v>
      </c>
      <c r="CQ252" s="2">
        <f t="shared" si="285"/>
        <v>5.19</v>
      </c>
      <c r="CR252" s="2">
        <f t="shared" ref="CR252:CR257" si="307">(ROUND((ROUND(((ET252)*AV252*1),2)*BB252),2)+ROUND((ROUND(((AE252-(EU252))*AV252*1),2)*BS252),2))</f>
        <v>0</v>
      </c>
      <c r="CS252" s="2">
        <f t="shared" ref="CS252:CS257" si="308">(ROUND((ROUND(((EU252)*AV252*1),2)*BS252),2)+ROUND((ROUND(((AE252-(EU252))*AV252*1),2)*BS252),2))</f>
        <v>0</v>
      </c>
      <c r="CT252" s="2">
        <f t="shared" si="286"/>
        <v>0</v>
      </c>
      <c r="CU252" s="2">
        <f t="shared" si="287"/>
        <v>0</v>
      </c>
      <c r="CV252" s="2">
        <f t="shared" si="288"/>
        <v>0</v>
      </c>
      <c r="CW252" s="2">
        <f t="shared" si="289"/>
        <v>0</v>
      </c>
      <c r="CX252" s="2">
        <f t="shared" si="290"/>
        <v>0</v>
      </c>
      <c r="CY252" s="2">
        <f t="shared" ref="CY252:CY257" si="309">(ROUND((((S252+ROUND((ROUND(((EU252)*AV252*1),2)*BS252),2))*AT252)/100),2)+ROUND(((ROUND((ROUND(((AE252-(EU252))*AV252*1),2)*BS252),2)*AT252)/100),2))</f>
        <v>0</v>
      </c>
      <c r="CZ252" s="2">
        <f t="shared" ref="CZ252:CZ257" si="310">(ROUND((((S252+ROUND((ROUND(((EU252)*AV252*1),2)*BS252),2))*AU252)/100),2)+ROUND(((ROUND((ROUND(((AE252-(EU252))*AV252*1),2)*BS252),2)*AU252)/100),2))</f>
        <v>0</v>
      </c>
      <c r="DA252" s="2"/>
      <c r="DB252" s="2"/>
      <c r="DC252" s="2" t="s">
        <v>3</v>
      </c>
      <c r="DD252" s="2" t="s">
        <v>3</v>
      </c>
      <c r="DE252" s="2" t="s">
        <v>3</v>
      </c>
      <c r="DF252" s="2" t="s">
        <v>3</v>
      </c>
      <c r="DG252" s="2" t="s">
        <v>3</v>
      </c>
      <c r="DH252" s="2" t="s">
        <v>3</v>
      </c>
      <c r="DI252" s="2" t="s">
        <v>3</v>
      </c>
      <c r="DJ252" s="2" t="s">
        <v>3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1003</v>
      </c>
      <c r="DV252" s="2" t="s">
        <v>341</v>
      </c>
      <c r="DW252" s="2" t="s">
        <v>341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57248652</v>
      </c>
      <c r="EF252" s="2">
        <v>40</v>
      </c>
      <c r="EG252" s="2" t="s">
        <v>33</v>
      </c>
      <c r="EH252" s="2">
        <v>0</v>
      </c>
      <c r="EI252" s="2" t="s">
        <v>3</v>
      </c>
      <c r="EJ252" s="2">
        <v>2</v>
      </c>
      <c r="EK252" s="2">
        <v>68</v>
      </c>
      <c r="EL252" s="2" t="s">
        <v>34</v>
      </c>
      <c r="EM252" s="2" t="s">
        <v>35</v>
      </c>
      <c r="EN252" s="2"/>
      <c r="EO252" s="2" t="s">
        <v>124</v>
      </c>
      <c r="EP252" s="2"/>
      <c r="EQ252" s="2">
        <v>0</v>
      </c>
      <c r="ER252" s="2">
        <v>5.19</v>
      </c>
      <c r="ES252" s="2">
        <v>5.19</v>
      </c>
      <c r="ET252" s="2">
        <v>0</v>
      </c>
      <c r="EU252" s="2">
        <v>0</v>
      </c>
      <c r="EV252" s="2">
        <v>0</v>
      </c>
      <c r="EW252" s="2">
        <v>0</v>
      </c>
      <c r="EX252" s="2">
        <v>0</v>
      </c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90</v>
      </c>
      <c r="FY252" s="2">
        <v>46</v>
      </c>
      <c r="FZ252" s="2"/>
      <c r="GA252" s="2" t="s">
        <v>3</v>
      </c>
      <c r="GB252" s="2"/>
      <c r="GC252" s="2"/>
      <c r="GD252" s="2">
        <v>1</v>
      </c>
      <c r="GE252" s="2"/>
      <c r="GF252" s="2">
        <v>-2061112428</v>
      </c>
      <c r="GG252" s="2">
        <v>2</v>
      </c>
      <c r="GH252" s="2">
        <v>1</v>
      </c>
      <c r="GI252" s="2">
        <v>-2</v>
      </c>
      <c r="GJ252" s="2">
        <v>0</v>
      </c>
      <c r="GK252" s="2">
        <v>0</v>
      </c>
      <c r="GL252" s="2">
        <f t="shared" si="291"/>
        <v>0</v>
      </c>
      <c r="GM252" s="2">
        <f t="shared" si="292"/>
        <v>794.07</v>
      </c>
      <c r="GN252" s="2">
        <f t="shared" si="293"/>
        <v>0</v>
      </c>
      <c r="GO252" s="2">
        <f t="shared" si="294"/>
        <v>794.07</v>
      </c>
      <c r="GP252" s="2">
        <f t="shared" si="295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296"/>
        <v>0</v>
      </c>
      <c r="GW252" s="2">
        <v>1</v>
      </c>
      <c r="GX252" s="2">
        <f t="shared" si="297"/>
        <v>0</v>
      </c>
      <c r="GY252" s="2"/>
      <c r="GZ252" s="2"/>
      <c r="HA252" s="2">
        <v>0</v>
      </c>
      <c r="HB252" s="2">
        <v>0</v>
      </c>
      <c r="HC252" s="2">
        <f t="shared" si="298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119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3">
        <v>18</v>
      </c>
      <c r="B253" s="3">
        <v>1</v>
      </c>
      <c r="C253" s="3">
        <v>311</v>
      </c>
      <c r="E253" s="3" t="s">
        <v>386</v>
      </c>
      <c r="F253" s="3" t="s">
        <v>379</v>
      </c>
      <c r="G253" s="3" t="s">
        <v>380</v>
      </c>
      <c r="H253" s="3" t="s">
        <v>341</v>
      </c>
      <c r="I253" s="3">
        <f>I251*J253</f>
        <v>153</v>
      </c>
      <c r="J253" s="3">
        <v>102</v>
      </c>
      <c r="K253" s="3">
        <v>102</v>
      </c>
      <c r="O253" s="3">
        <f t="shared" si="274"/>
        <v>2906.3</v>
      </c>
      <c r="P253" s="3">
        <f t="shared" si="275"/>
        <v>2906.3</v>
      </c>
      <c r="Q253" s="3">
        <f t="shared" si="299"/>
        <v>0</v>
      </c>
      <c r="R253" s="3">
        <f t="shared" si="300"/>
        <v>0</v>
      </c>
      <c r="S253" s="3">
        <f t="shared" si="276"/>
        <v>0</v>
      </c>
      <c r="T253" s="3">
        <f t="shared" si="277"/>
        <v>0</v>
      </c>
      <c r="U253" s="3">
        <f t="shared" si="278"/>
        <v>0</v>
      </c>
      <c r="V253" s="3">
        <f t="shared" si="279"/>
        <v>0</v>
      </c>
      <c r="W253" s="3">
        <f t="shared" si="280"/>
        <v>0</v>
      </c>
      <c r="X253" s="3">
        <f t="shared" si="301"/>
        <v>0</v>
      </c>
      <c r="Y253" s="3">
        <f t="shared" si="302"/>
        <v>0</v>
      </c>
      <c r="AA253" s="3">
        <v>57248837</v>
      </c>
      <c r="AB253" s="3">
        <f t="shared" si="281"/>
        <v>5.19</v>
      </c>
      <c r="AC253" s="3">
        <f t="shared" si="303"/>
        <v>5.19</v>
      </c>
      <c r="AD253" s="3">
        <f t="shared" si="304"/>
        <v>0</v>
      </c>
      <c r="AE253" s="3">
        <f t="shared" si="305"/>
        <v>0</v>
      </c>
      <c r="AF253" s="3">
        <f t="shared" si="305"/>
        <v>0</v>
      </c>
      <c r="AG253" s="3">
        <f t="shared" si="282"/>
        <v>0</v>
      </c>
      <c r="AH253" s="3">
        <f t="shared" si="306"/>
        <v>0</v>
      </c>
      <c r="AI253" s="3">
        <f t="shared" si="306"/>
        <v>0</v>
      </c>
      <c r="AJ253" s="3">
        <f t="shared" si="283"/>
        <v>0</v>
      </c>
      <c r="AK253" s="3">
        <v>5.19</v>
      </c>
      <c r="AL253" s="3">
        <v>5.19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90</v>
      </c>
      <c r="AU253" s="3">
        <v>46</v>
      </c>
      <c r="AV253" s="3">
        <v>1</v>
      </c>
      <c r="AW253" s="3">
        <v>1</v>
      </c>
      <c r="AZ253" s="3">
        <v>1</v>
      </c>
      <c r="BA253" s="3">
        <v>1</v>
      </c>
      <c r="BB253" s="3">
        <v>1</v>
      </c>
      <c r="BC253" s="3">
        <v>3.66</v>
      </c>
      <c r="BD253" s="3" t="s">
        <v>3</v>
      </c>
      <c r="BE253" s="3" t="s">
        <v>3</v>
      </c>
      <c r="BF253" s="3" t="s">
        <v>3</v>
      </c>
      <c r="BG253" s="3" t="s">
        <v>3</v>
      </c>
      <c r="BH253" s="3">
        <v>3</v>
      </c>
      <c r="BI253" s="3">
        <v>2</v>
      </c>
      <c r="BJ253" s="3" t="s">
        <v>381</v>
      </c>
      <c r="BM253" s="3">
        <v>68</v>
      </c>
      <c r="BN253" s="3">
        <v>0</v>
      </c>
      <c r="BO253" s="3" t="s">
        <v>379</v>
      </c>
      <c r="BP253" s="3">
        <v>1</v>
      </c>
      <c r="BQ253" s="3">
        <v>40</v>
      </c>
      <c r="BR253" s="3">
        <v>0</v>
      </c>
      <c r="BS253" s="3">
        <v>1</v>
      </c>
      <c r="BT253" s="3">
        <v>1</v>
      </c>
      <c r="BU253" s="3">
        <v>1</v>
      </c>
      <c r="BV253" s="3">
        <v>1</v>
      </c>
      <c r="BW253" s="3">
        <v>1</v>
      </c>
      <c r="BX253" s="3">
        <v>1</v>
      </c>
      <c r="BY253" s="3" t="s">
        <v>3</v>
      </c>
      <c r="BZ253" s="3">
        <v>90</v>
      </c>
      <c r="CA253" s="3">
        <v>46</v>
      </c>
      <c r="CB253" s="3" t="s">
        <v>3</v>
      </c>
      <c r="CE253" s="3">
        <v>1566</v>
      </c>
      <c r="CF253" s="3">
        <v>0</v>
      </c>
      <c r="CG253" s="3">
        <v>0</v>
      </c>
      <c r="CM253" s="3">
        <v>0</v>
      </c>
      <c r="CN253" s="3" t="s">
        <v>821</v>
      </c>
      <c r="CO253" s="3">
        <v>0</v>
      </c>
      <c r="CP253" s="3">
        <f t="shared" si="284"/>
        <v>2906.3</v>
      </c>
      <c r="CQ253" s="3">
        <f t="shared" si="285"/>
        <v>19</v>
      </c>
      <c r="CR253" s="3">
        <f t="shared" si="307"/>
        <v>0</v>
      </c>
      <c r="CS253" s="3">
        <f t="shared" si="308"/>
        <v>0</v>
      </c>
      <c r="CT253" s="3">
        <f t="shared" si="286"/>
        <v>0</v>
      </c>
      <c r="CU253" s="3">
        <f t="shared" si="287"/>
        <v>0</v>
      </c>
      <c r="CV253" s="3">
        <f t="shared" si="288"/>
        <v>0</v>
      </c>
      <c r="CW253" s="3">
        <f t="shared" si="289"/>
        <v>0</v>
      </c>
      <c r="CX253" s="3">
        <f t="shared" si="290"/>
        <v>0</v>
      </c>
      <c r="CY253" s="3">
        <f t="shared" si="309"/>
        <v>0</v>
      </c>
      <c r="CZ253" s="3">
        <f t="shared" si="310"/>
        <v>0</v>
      </c>
      <c r="DC253" s="3" t="s">
        <v>3</v>
      </c>
      <c r="DD253" s="3" t="s">
        <v>3</v>
      </c>
      <c r="DE253" s="3" t="s">
        <v>3</v>
      </c>
      <c r="DF253" s="3" t="s">
        <v>3</v>
      </c>
      <c r="DG253" s="3" t="s">
        <v>3</v>
      </c>
      <c r="DH253" s="3" t="s">
        <v>3</v>
      </c>
      <c r="DI253" s="3" t="s">
        <v>3</v>
      </c>
      <c r="DJ253" s="3" t="s">
        <v>3</v>
      </c>
      <c r="DK253" s="3" t="s">
        <v>3</v>
      </c>
      <c r="DL253" s="3" t="s">
        <v>3</v>
      </c>
      <c r="DM253" s="3" t="s">
        <v>3</v>
      </c>
      <c r="DN253" s="3">
        <v>0</v>
      </c>
      <c r="DO253" s="3">
        <v>0</v>
      </c>
      <c r="DP253" s="3">
        <v>1</v>
      </c>
      <c r="DQ253" s="3">
        <v>1</v>
      </c>
      <c r="DU253" s="3">
        <v>1003</v>
      </c>
      <c r="DV253" s="3" t="s">
        <v>341</v>
      </c>
      <c r="DW253" s="3" t="s">
        <v>341</v>
      </c>
      <c r="DX253" s="3">
        <v>1</v>
      </c>
      <c r="DZ253" s="3" t="s">
        <v>3</v>
      </c>
      <c r="EA253" s="3" t="s">
        <v>3</v>
      </c>
      <c r="EB253" s="3" t="s">
        <v>3</v>
      </c>
      <c r="EC253" s="3" t="s">
        <v>3</v>
      </c>
      <c r="EE253" s="3">
        <v>57248652</v>
      </c>
      <c r="EF253" s="3">
        <v>40</v>
      </c>
      <c r="EG253" s="3" t="s">
        <v>33</v>
      </c>
      <c r="EH253" s="3">
        <v>0</v>
      </c>
      <c r="EI253" s="3" t="s">
        <v>3</v>
      </c>
      <c r="EJ253" s="3">
        <v>2</v>
      </c>
      <c r="EK253" s="3">
        <v>68</v>
      </c>
      <c r="EL253" s="3" t="s">
        <v>34</v>
      </c>
      <c r="EM253" s="3" t="s">
        <v>35</v>
      </c>
      <c r="EO253" s="3" t="s">
        <v>124</v>
      </c>
      <c r="EQ253" s="3">
        <v>0</v>
      </c>
      <c r="ER253" s="3">
        <v>5.19</v>
      </c>
      <c r="ES253" s="3">
        <v>5.19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FQ253" s="3">
        <v>0</v>
      </c>
      <c r="FR253" s="3">
        <v>0</v>
      </c>
      <c r="FS253" s="3">
        <v>0</v>
      </c>
      <c r="FX253" s="3">
        <v>90</v>
      </c>
      <c r="FY253" s="3">
        <v>46</v>
      </c>
      <c r="GA253" s="3" t="s">
        <v>3</v>
      </c>
      <c r="GD253" s="3">
        <v>1</v>
      </c>
      <c r="GF253" s="3">
        <v>-2061112428</v>
      </c>
      <c r="GG253" s="3">
        <v>2</v>
      </c>
      <c r="GH253" s="3">
        <v>1</v>
      </c>
      <c r="GI253" s="3">
        <v>2</v>
      </c>
      <c r="GJ253" s="3">
        <v>0</v>
      </c>
      <c r="GK253" s="3">
        <v>0</v>
      </c>
      <c r="GL253" s="3">
        <f t="shared" si="291"/>
        <v>0</v>
      </c>
      <c r="GM253" s="3">
        <f t="shared" si="292"/>
        <v>2906.3</v>
      </c>
      <c r="GN253" s="3">
        <f t="shared" si="293"/>
        <v>0</v>
      </c>
      <c r="GO253" s="3">
        <f t="shared" si="294"/>
        <v>2906.3</v>
      </c>
      <c r="GP253" s="3">
        <f t="shared" si="295"/>
        <v>0</v>
      </c>
      <c r="GR253" s="3">
        <v>0</v>
      </c>
      <c r="GS253" s="3">
        <v>3</v>
      </c>
      <c r="GT253" s="3">
        <v>0</v>
      </c>
      <c r="GU253" s="3" t="s">
        <v>3</v>
      </c>
      <c r="GV253" s="3">
        <f t="shared" si="296"/>
        <v>0</v>
      </c>
      <c r="GW253" s="3">
        <v>1</v>
      </c>
      <c r="GX253" s="3">
        <f t="shared" si="297"/>
        <v>0</v>
      </c>
      <c r="HA253" s="3">
        <v>0</v>
      </c>
      <c r="HB253" s="3">
        <v>0</v>
      </c>
      <c r="HC253" s="3">
        <f t="shared" si="298"/>
        <v>0</v>
      </c>
      <c r="HE253" s="3" t="s">
        <v>3</v>
      </c>
      <c r="HF253" s="3" t="s">
        <v>3</v>
      </c>
      <c r="HM253" s="3" t="s">
        <v>119</v>
      </c>
      <c r="HN253" s="3" t="s">
        <v>3</v>
      </c>
      <c r="HO253" s="3" t="s">
        <v>3</v>
      </c>
      <c r="HP253" s="3" t="s">
        <v>3</v>
      </c>
      <c r="HQ253" s="3" t="s">
        <v>3</v>
      </c>
      <c r="HS253" s="3">
        <v>0</v>
      </c>
      <c r="IK253" s="3">
        <v>0</v>
      </c>
    </row>
    <row r="254" spans="1:255" x14ac:dyDescent="0.2">
      <c r="A254" s="2">
        <v>18</v>
      </c>
      <c r="B254" s="2">
        <v>1</v>
      </c>
      <c r="C254" s="2">
        <v>304</v>
      </c>
      <c r="D254" s="2"/>
      <c r="E254" s="2" t="s">
        <v>387</v>
      </c>
      <c r="F254" s="2" t="s">
        <v>382</v>
      </c>
      <c r="G254" s="2" t="s">
        <v>383</v>
      </c>
      <c r="H254" s="2" t="s">
        <v>348</v>
      </c>
      <c r="I254" s="2">
        <f>I250*J254</f>
        <v>0.5</v>
      </c>
      <c r="J254" s="2">
        <v>0.33333333333333331</v>
      </c>
      <c r="K254" s="2">
        <v>0.33333299999999999</v>
      </c>
      <c r="L254" s="2"/>
      <c r="M254" s="2"/>
      <c r="N254" s="2"/>
      <c r="O254" s="2">
        <f t="shared" si="274"/>
        <v>297.17</v>
      </c>
      <c r="P254" s="2">
        <f t="shared" si="275"/>
        <v>297.17</v>
      </c>
      <c r="Q254" s="2">
        <f t="shared" si="299"/>
        <v>0</v>
      </c>
      <c r="R254" s="2">
        <f t="shared" si="300"/>
        <v>0</v>
      </c>
      <c r="S254" s="2">
        <f t="shared" si="276"/>
        <v>0</v>
      </c>
      <c r="T254" s="2">
        <f t="shared" si="277"/>
        <v>0</v>
      </c>
      <c r="U254" s="2">
        <f t="shared" si="278"/>
        <v>0</v>
      </c>
      <c r="V254" s="2">
        <f t="shared" si="279"/>
        <v>0</v>
      </c>
      <c r="W254" s="2">
        <f t="shared" si="280"/>
        <v>0</v>
      </c>
      <c r="X254" s="2">
        <f t="shared" si="301"/>
        <v>0</v>
      </c>
      <c r="Y254" s="2">
        <f t="shared" si="302"/>
        <v>0</v>
      </c>
      <c r="Z254" s="2"/>
      <c r="AA254" s="2">
        <v>57248835</v>
      </c>
      <c r="AB254" s="2">
        <f t="shared" si="281"/>
        <v>594.33000000000004</v>
      </c>
      <c r="AC254" s="2">
        <f t="shared" si="303"/>
        <v>594.33000000000004</v>
      </c>
      <c r="AD254" s="2">
        <f t="shared" si="304"/>
        <v>0</v>
      </c>
      <c r="AE254" s="2">
        <f t="shared" si="305"/>
        <v>0</v>
      </c>
      <c r="AF254" s="2">
        <f t="shared" si="305"/>
        <v>0</v>
      </c>
      <c r="AG254" s="2">
        <f t="shared" si="282"/>
        <v>0</v>
      </c>
      <c r="AH254" s="2">
        <f t="shared" si="306"/>
        <v>0</v>
      </c>
      <c r="AI254" s="2">
        <f t="shared" si="306"/>
        <v>0</v>
      </c>
      <c r="AJ254" s="2">
        <f t="shared" si="283"/>
        <v>0</v>
      </c>
      <c r="AK254" s="2">
        <v>594.33000000000004</v>
      </c>
      <c r="AL254" s="2">
        <v>594.33000000000004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90</v>
      </c>
      <c r="AU254" s="2">
        <v>46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2</v>
      </c>
      <c r="BJ254" s="2" t="s">
        <v>384</v>
      </c>
      <c r="BK254" s="2"/>
      <c r="BL254" s="2"/>
      <c r="BM254" s="2">
        <v>68</v>
      </c>
      <c r="BN254" s="2">
        <v>0</v>
      </c>
      <c r="BO254" s="2" t="s">
        <v>3</v>
      </c>
      <c r="BP254" s="2">
        <v>0</v>
      </c>
      <c r="BQ254" s="2">
        <v>40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90</v>
      </c>
      <c r="CA254" s="2">
        <v>46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821</v>
      </c>
      <c r="CO254" s="2">
        <v>0</v>
      </c>
      <c r="CP254" s="2">
        <f t="shared" si="284"/>
        <v>297.17</v>
      </c>
      <c r="CQ254" s="2">
        <f t="shared" si="285"/>
        <v>594.33000000000004</v>
      </c>
      <c r="CR254" s="2">
        <f t="shared" si="307"/>
        <v>0</v>
      </c>
      <c r="CS254" s="2">
        <f t="shared" si="308"/>
        <v>0</v>
      </c>
      <c r="CT254" s="2">
        <f t="shared" si="286"/>
        <v>0</v>
      </c>
      <c r="CU254" s="2">
        <f t="shared" si="287"/>
        <v>0</v>
      </c>
      <c r="CV254" s="2">
        <f t="shared" si="288"/>
        <v>0</v>
      </c>
      <c r="CW254" s="2">
        <f t="shared" si="289"/>
        <v>0</v>
      </c>
      <c r="CX254" s="2">
        <f t="shared" si="290"/>
        <v>0</v>
      </c>
      <c r="CY254" s="2">
        <f t="shared" si="309"/>
        <v>0</v>
      </c>
      <c r="CZ254" s="2">
        <f t="shared" si="310"/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348</v>
      </c>
      <c r="DW254" s="2" t="s">
        <v>348</v>
      </c>
      <c r="DX254" s="2">
        <v>1000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57248652</v>
      </c>
      <c r="EF254" s="2">
        <v>40</v>
      </c>
      <c r="EG254" s="2" t="s">
        <v>33</v>
      </c>
      <c r="EH254" s="2">
        <v>0</v>
      </c>
      <c r="EI254" s="2" t="s">
        <v>3</v>
      </c>
      <c r="EJ254" s="2">
        <v>2</v>
      </c>
      <c r="EK254" s="2">
        <v>68</v>
      </c>
      <c r="EL254" s="2" t="s">
        <v>34</v>
      </c>
      <c r="EM254" s="2" t="s">
        <v>35</v>
      </c>
      <c r="EN254" s="2"/>
      <c r="EO254" s="2" t="s">
        <v>124</v>
      </c>
      <c r="EP254" s="2"/>
      <c r="EQ254" s="2">
        <v>0</v>
      </c>
      <c r="ER254" s="2">
        <v>594.33000000000004</v>
      </c>
      <c r="ES254" s="2">
        <v>594.33000000000004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90</v>
      </c>
      <c r="FY254" s="2">
        <v>46</v>
      </c>
      <c r="FZ254" s="2"/>
      <c r="GA254" s="2" t="s">
        <v>3</v>
      </c>
      <c r="GB254" s="2"/>
      <c r="GC254" s="2"/>
      <c r="GD254" s="2">
        <v>1</v>
      </c>
      <c r="GE254" s="2"/>
      <c r="GF254" s="2">
        <v>-1804137467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291"/>
        <v>0</v>
      </c>
      <c r="GM254" s="2">
        <f t="shared" si="292"/>
        <v>297.17</v>
      </c>
      <c r="GN254" s="2">
        <f t="shared" si="293"/>
        <v>0</v>
      </c>
      <c r="GO254" s="2">
        <f t="shared" si="294"/>
        <v>297.17</v>
      </c>
      <c r="GP254" s="2">
        <f t="shared" si="295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296"/>
        <v>0</v>
      </c>
      <c r="GW254" s="2">
        <v>1</v>
      </c>
      <c r="GX254" s="2">
        <f t="shared" si="297"/>
        <v>0</v>
      </c>
      <c r="GY254" s="2"/>
      <c r="GZ254" s="2"/>
      <c r="HA254" s="2">
        <v>0</v>
      </c>
      <c r="HB254" s="2">
        <v>0</v>
      </c>
      <c r="HC254" s="2">
        <f t="shared" si="298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119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3">
        <v>18</v>
      </c>
      <c r="B255" s="3">
        <v>1</v>
      </c>
      <c r="C255" s="3">
        <v>313</v>
      </c>
      <c r="E255" s="3" t="s">
        <v>387</v>
      </c>
      <c r="F255" s="3" t="s">
        <v>382</v>
      </c>
      <c r="G255" s="3" t="s">
        <v>383</v>
      </c>
      <c r="H255" s="3" t="s">
        <v>348</v>
      </c>
      <c r="I255" s="3">
        <f>I251*J255</f>
        <v>0.5</v>
      </c>
      <c r="J255" s="3">
        <v>0.33333333333333331</v>
      </c>
      <c r="K255" s="3">
        <v>0.33333299999999999</v>
      </c>
      <c r="O255" s="3">
        <f t="shared" si="274"/>
        <v>796.42</v>
      </c>
      <c r="P255" s="3">
        <f t="shared" si="275"/>
        <v>796.42</v>
      </c>
      <c r="Q255" s="3">
        <f t="shared" si="299"/>
        <v>0</v>
      </c>
      <c r="R255" s="3">
        <f t="shared" si="300"/>
        <v>0</v>
      </c>
      <c r="S255" s="3">
        <f t="shared" si="276"/>
        <v>0</v>
      </c>
      <c r="T255" s="3">
        <f t="shared" si="277"/>
        <v>0</v>
      </c>
      <c r="U255" s="3">
        <f t="shared" si="278"/>
        <v>0</v>
      </c>
      <c r="V255" s="3">
        <f t="shared" si="279"/>
        <v>0</v>
      </c>
      <c r="W255" s="3">
        <f t="shared" si="280"/>
        <v>0</v>
      </c>
      <c r="X255" s="3">
        <f t="shared" si="301"/>
        <v>0</v>
      </c>
      <c r="Y255" s="3">
        <f t="shared" si="302"/>
        <v>0</v>
      </c>
      <c r="AA255" s="3">
        <v>57248837</v>
      </c>
      <c r="AB255" s="3">
        <f t="shared" si="281"/>
        <v>594.33000000000004</v>
      </c>
      <c r="AC255" s="3">
        <f t="shared" si="303"/>
        <v>594.33000000000004</v>
      </c>
      <c r="AD255" s="3">
        <f t="shared" si="304"/>
        <v>0</v>
      </c>
      <c r="AE255" s="3">
        <f t="shared" si="305"/>
        <v>0</v>
      </c>
      <c r="AF255" s="3">
        <f t="shared" si="305"/>
        <v>0</v>
      </c>
      <c r="AG255" s="3">
        <f t="shared" si="282"/>
        <v>0</v>
      </c>
      <c r="AH255" s="3">
        <f t="shared" si="306"/>
        <v>0</v>
      </c>
      <c r="AI255" s="3">
        <f t="shared" si="306"/>
        <v>0</v>
      </c>
      <c r="AJ255" s="3">
        <f t="shared" si="283"/>
        <v>0</v>
      </c>
      <c r="AK255" s="3">
        <v>594.33000000000004</v>
      </c>
      <c r="AL255" s="3">
        <v>594.33000000000004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90</v>
      </c>
      <c r="AU255" s="3">
        <v>46</v>
      </c>
      <c r="AV255" s="3">
        <v>1</v>
      </c>
      <c r="AW255" s="3">
        <v>1</v>
      </c>
      <c r="AZ255" s="3">
        <v>1</v>
      </c>
      <c r="BA255" s="3">
        <v>1</v>
      </c>
      <c r="BB255" s="3">
        <v>1</v>
      </c>
      <c r="BC255" s="3">
        <v>2.68</v>
      </c>
      <c r="BD255" s="3" t="s">
        <v>3</v>
      </c>
      <c r="BE255" s="3" t="s">
        <v>3</v>
      </c>
      <c r="BF255" s="3" t="s">
        <v>3</v>
      </c>
      <c r="BG255" s="3" t="s">
        <v>3</v>
      </c>
      <c r="BH255" s="3">
        <v>3</v>
      </c>
      <c r="BI255" s="3">
        <v>2</v>
      </c>
      <c r="BJ255" s="3" t="s">
        <v>384</v>
      </c>
      <c r="BM255" s="3">
        <v>68</v>
      </c>
      <c r="BN255" s="3">
        <v>0</v>
      </c>
      <c r="BO255" s="3" t="s">
        <v>382</v>
      </c>
      <c r="BP255" s="3">
        <v>1</v>
      </c>
      <c r="BQ255" s="3">
        <v>40</v>
      </c>
      <c r="BR255" s="3">
        <v>0</v>
      </c>
      <c r="BS255" s="3">
        <v>1</v>
      </c>
      <c r="BT255" s="3">
        <v>1</v>
      </c>
      <c r="BU255" s="3">
        <v>1</v>
      </c>
      <c r="BV255" s="3">
        <v>1</v>
      </c>
      <c r="BW255" s="3">
        <v>1</v>
      </c>
      <c r="BX255" s="3">
        <v>1</v>
      </c>
      <c r="BY255" s="3" t="s">
        <v>3</v>
      </c>
      <c r="BZ255" s="3">
        <v>90</v>
      </c>
      <c r="CA255" s="3">
        <v>46</v>
      </c>
      <c r="CB255" s="3" t="s">
        <v>3</v>
      </c>
      <c r="CE255" s="3">
        <v>1566</v>
      </c>
      <c r="CF255" s="3">
        <v>0</v>
      </c>
      <c r="CG255" s="3">
        <v>0</v>
      </c>
      <c r="CM255" s="3">
        <v>0</v>
      </c>
      <c r="CN255" s="3" t="s">
        <v>821</v>
      </c>
      <c r="CO255" s="3">
        <v>0</v>
      </c>
      <c r="CP255" s="3">
        <f t="shared" si="284"/>
        <v>796.42</v>
      </c>
      <c r="CQ255" s="3">
        <f t="shared" si="285"/>
        <v>1592.8</v>
      </c>
      <c r="CR255" s="3">
        <f t="shared" si="307"/>
        <v>0</v>
      </c>
      <c r="CS255" s="3">
        <f t="shared" si="308"/>
        <v>0</v>
      </c>
      <c r="CT255" s="3">
        <f t="shared" si="286"/>
        <v>0</v>
      </c>
      <c r="CU255" s="3">
        <f t="shared" si="287"/>
        <v>0</v>
      </c>
      <c r="CV255" s="3">
        <f t="shared" si="288"/>
        <v>0</v>
      </c>
      <c r="CW255" s="3">
        <f t="shared" si="289"/>
        <v>0</v>
      </c>
      <c r="CX255" s="3">
        <f t="shared" si="290"/>
        <v>0</v>
      </c>
      <c r="CY255" s="3">
        <f t="shared" si="309"/>
        <v>0</v>
      </c>
      <c r="CZ255" s="3">
        <f t="shared" si="310"/>
        <v>0</v>
      </c>
      <c r="DC255" s="3" t="s">
        <v>3</v>
      </c>
      <c r="DD255" s="3" t="s">
        <v>3</v>
      </c>
      <c r="DE255" s="3" t="s">
        <v>3</v>
      </c>
      <c r="DF255" s="3" t="s">
        <v>3</v>
      </c>
      <c r="DG255" s="3" t="s">
        <v>3</v>
      </c>
      <c r="DH255" s="3" t="s">
        <v>3</v>
      </c>
      <c r="DI255" s="3" t="s">
        <v>3</v>
      </c>
      <c r="DJ255" s="3" t="s">
        <v>3</v>
      </c>
      <c r="DK255" s="3" t="s">
        <v>3</v>
      </c>
      <c r="DL255" s="3" t="s">
        <v>3</v>
      </c>
      <c r="DM255" s="3" t="s">
        <v>3</v>
      </c>
      <c r="DN255" s="3">
        <v>0</v>
      </c>
      <c r="DO255" s="3">
        <v>0</v>
      </c>
      <c r="DP255" s="3">
        <v>1</v>
      </c>
      <c r="DQ255" s="3">
        <v>1</v>
      </c>
      <c r="DU255" s="3">
        <v>1010</v>
      </c>
      <c r="DV255" s="3" t="s">
        <v>348</v>
      </c>
      <c r="DW255" s="3" t="s">
        <v>348</v>
      </c>
      <c r="DX255" s="3">
        <v>1000</v>
      </c>
      <c r="DZ255" s="3" t="s">
        <v>3</v>
      </c>
      <c r="EA255" s="3" t="s">
        <v>3</v>
      </c>
      <c r="EB255" s="3" t="s">
        <v>3</v>
      </c>
      <c r="EC255" s="3" t="s">
        <v>3</v>
      </c>
      <c r="EE255" s="3">
        <v>57248652</v>
      </c>
      <c r="EF255" s="3">
        <v>40</v>
      </c>
      <c r="EG255" s="3" t="s">
        <v>33</v>
      </c>
      <c r="EH255" s="3">
        <v>0</v>
      </c>
      <c r="EI255" s="3" t="s">
        <v>3</v>
      </c>
      <c r="EJ255" s="3">
        <v>2</v>
      </c>
      <c r="EK255" s="3">
        <v>68</v>
      </c>
      <c r="EL255" s="3" t="s">
        <v>34</v>
      </c>
      <c r="EM255" s="3" t="s">
        <v>35</v>
      </c>
      <c r="EO255" s="3" t="s">
        <v>124</v>
      </c>
      <c r="EQ255" s="3">
        <v>0</v>
      </c>
      <c r="ER255" s="3">
        <v>594.33000000000004</v>
      </c>
      <c r="ES255" s="3">
        <v>594.33000000000004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FQ255" s="3">
        <v>0</v>
      </c>
      <c r="FR255" s="3">
        <v>0</v>
      </c>
      <c r="FS255" s="3">
        <v>0</v>
      </c>
      <c r="FX255" s="3">
        <v>90</v>
      </c>
      <c r="FY255" s="3">
        <v>46</v>
      </c>
      <c r="GA255" s="3" t="s">
        <v>3</v>
      </c>
      <c r="GD255" s="3">
        <v>1</v>
      </c>
      <c r="GF255" s="3">
        <v>-1804137467</v>
      </c>
      <c r="GG255" s="3">
        <v>2</v>
      </c>
      <c r="GH255" s="3">
        <v>1</v>
      </c>
      <c r="GI255" s="3">
        <v>2</v>
      </c>
      <c r="GJ255" s="3">
        <v>0</v>
      </c>
      <c r="GK255" s="3">
        <v>0</v>
      </c>
      <c r="GL255" s="3">
        <f t="shared" si="291"/>
        <v>0</v>
      </c>
      <c r="GM255" s="3">
        <f t="shared" si="292"/>
        <v>796.42</v>
      </c>
      <c r="GN255" s="3">
        <f t="shared" si="293"/>
        <v>0</v>
      </c>
      <c r="GO255" s="3">
        <f t="shared" si="294"/>
        <v>796.42</v>
      </c>
      <c r="GP255" s="3">
        <f t="shared" si="295"/>
        <v>0</v>
      </c>
      <c r="GR255" s="3">
        <v>0</v>
      </c>
      <c r="GS255" s="3">
        <v>3</v>
      </c>
      <c r="GT255" s="3">
        <v>0</v>
      </c>
      <c r="GU255" s="3" t="s">
        <v>3</v>
      </c>
      <c r="GV255" s="3">
        <f t="shared" si="296"/>
        <v>0</v>
      </c>
      <c r="GW255" s="3">
        <v>1</v>
      </c>
      <c r="GX255" s="3">
        <f t="shared" si="297"/>
        <v>0</v>
      </c>
      <c r="HA255" s="3">
        <v>0</v>
      </c>
      <c r="HB255" s="3">
        <v>0</v>
      </c>
      <c r="HC255" s="3">
        <f t="shared" si="298"/>
        <v>0</v>
      </c>
      <c r="HE255" s="3" t="s">
        <v>3</v>
      </c>
      <c r="HF255" s="3" t="s">
        <v>3</v>
      </c>
      <c r="HM255" s="3" t="s">
        <v>119</v>
      </c>
      <c r="HN255" s="3" t="s">
        <v>3</v>
      </c>
      <c r="HO255" s="3" t="s">
        <v>3</v>
      </c>
      <c r="HP255" s="3" t="s">
        <v>3</v>
      </c>
      <c r="HQ255" s="3" t="s">
        <v>3</v>
      </c>
      <c r="HS255" s="3">
        <v>0</v>
      </c>
      <c r="IK255" s="3">
        <v>0</v>
      </c>
    </row>
    <row r="256" spans="1:255" x14ac:dyDescent="0.2">
      <c r="A256" s="2">
        <v>18</v>
      </c>
      <c r="B256" s="2">
        <v>1</v>
      </c>
      <c r="C256" s="2">
        <v>306</v>
      </c>
      <c r="D256" s="2"/>
      <c r="E256" s="2" t="s">
        <v>388</v>
      </c>
      <c r="F256" s="2" t="s">
        <v>389</v>
      </c>
      <c r="G256" s="2" t="s">
        <v>826</v>
      </c>
      <c r="H256" s="2" t="s">
        <v>390</v>
      </c>
      <c r="I256" s="2">
        <f>I250*J256</f>
        <v>0.153</v>
      </c>
      <c r="J256" s="2">
        <v>0.10199999999999999</v>
      </c>
      <c r="K256" s="2">
        <v>0.10199999999999999</v>
      </c>
      <c r="L256" s="2"/>
      <c r="M256" s="2"/>
      <c r="N256" s="2"/>
      <c r="O256" s="2">
        <f t="shared" si="274"/>
        <v>3016.76</v>
      </c>
      <c r="P256" s="2">
        <f t="shared" si="275"/>
        <v>3016.76</v>
      </c>
      <c r="Q256" s="2">
        <f t="shared" si="299"/>
        <v>0</v>
      </c>
      <c r="R256" s="2">
        <f t="shared" si="300"/>
        <v>0</v>
      </c>
      <c r="S256" s="2">
        <f t="shared" si="276"/>
        <v>0</v>
      </c>
      <c r="T256" s="2">
        <f t="shared" si="277"/>
        <v>0</v>
      </c>
      <c r="U256" s="2">
        <f t="shared" si="278"/>
        <v>0</v>
      </c>
      <c r="V256" s="2">
        <f t="shared" si="279"/>
        <v>0</v>
      </c>
      <c r="W256" s="2">
        <f t="shared" si="280"/>
        <v>0</v>
      </c>
      <c r="X256" s="2">
        <f t="shared" si="301"/>
        <v>0</v>
      </c>
      <c r="Y256" s="2">
        <f t="shared" si="302"/>
        <v>0</v>
      </c>
      <c r="Z256" s="2"/>
      <c r="AA256" s="2">
        <v>57248835</v>
      </c>
      <c r="AB256" s="2">
        <f t="shared" si="281"/>
        <v>19717.37</v>
      </c>
      <c r="AC256" s="2">
        <f t="shared" si="303"/>
        <v>19717.37</v>
      </c>
      <c r="AD256" s="2">
        <f t="shared" si="304"/>
        <v>0</v>
      </c>
      <c r="AE256" s="2">
        <f t="shared" si="305"/>
        <v>0</v>
      </c>
      <c r="AF256" s="2">
        <f t="shared" si="305"/>
        <v>0</v>
      </c>
      <c r="AG256" s="2">
        <f t="shared" si="282"/>
        <v>0</v>
      </c>
      <c r="AH256" s="2">
        <f t="shared" si="306"/>
        <v>0</v>
      </c>
      <c r="AI256" s="2">
        <f t="shared" si="306"/>
        <v>0</v>
      </c>
      <c r="AJ256" s="2">
        <f t="shared" si="283"/>
        <v>0</v>
      </c>
      <c r="AK256" s="2">
        <v>19717.37</v>
      </c>
      <c r="AL256" s="2">
        <v>19717.37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90</v>
      </c>
      <c r="AU256" s="2">
        <v>46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2</v>
      </c>
      <c r="BJ256" s="2" t="s">
        <v>391</v>
      </c>
      <c r="BK256" s="2"/>
      <c r="BL256" s="2"/>
      <c r="BM256" s="2">
        <v>68</v>
      </c>
      <c r="BN256" s="2">
        <v>0</v>
      </c>
      <c r="BO256" s="2" t="s">
        <v>3</v>
      </c>
      <c r="BP256" s="2">
        <v>0</v>
      </c>
      <c r="BQ256" s="2">
        <v>40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90</v>
      </c>
      <c r="CA256" s="2">
        <v>46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821</v>
      </c>
      <c r="CO256" s="2">
        <v>0</v>
      </c>
      <c r="CP256" s="2">
        <f t="shared" si="284"/>
        <v>3016.76</v>
      </c>
      <c r="CQ256" s="2">
        <f t="shared" si="285"/>
        <v>19717.37</v>
      </c>
      <c r="CR256" s="2">
        <f t="shared" si="307"/>
        <v>0</v>
      </c>
      <c r="CS256" s="2">
        <f t="shared" si="308"/>
        <v>0</v>
      </c>
      <c r="CT256" s="2">
        <f t="shared" si="286"/>
        <v>0</v>
      </c>
      <c r="CU256" s="2">
        <f t="shared" si="287"/>
        <v>0</v>
      </c>
      <c r="CV256" s="2">
        <f t="shared" si="288"/>
        <v>0</v>
      </c>
      <c r="CW256" s="2">
        <f t="shared" si="289"/>
        <v>0</v>
      </c>
      <c r="CX256" s="2">
        <f t="shared" si="290"/>
        <v>0</v>
      </c>
      <c r="CY256" s="2">
        <f t="shared" si="309"/>
        <v>0</v>
      </c>
      <c r="CZ256" s="2">
        <f t="shared" si="310"/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390</v>
      </c>
      <c r="DW256" s="2" t="s">
        <v>390</v>
      </c>
      <c r="DX256" s="2">
        <v>1000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57248652</v>
      </c>
      <c r="EF256" s="2">
        <v>40</v>
      </c>
      <c r="EG256" s="2" t="s">
        <v>33</v>
      </c>
      <c r="EH256" s="2">
        <v>0</v>
      </c>
      <c r="EI256" s="2" t="s">
        <v>3</v>
      </c>
      <c r="EJ256" s="2">
        <v>2</v>
      </c>
      <c r="EK256" s="2">
        <v>68</v>
      </c>
      <c r="EL256" s="2" t="s">
        <v>34</v>
      </c>
      <c r="EM256" s="2" t="s">
        <v>35</v>
      </c>
      <c r="EN256" s="2"/>
      <c r="EO256" s="2" t="s">
        <v>124</v>
      </c>
      <c r="EP256" s="2"/>
      <c r="EQ256" s="2">
        <v>0</v>
      </c>
      <c r="ER256" s="2">
        <v>19717.37</v>
      </c>
      <c r="ES256" s="2">
        <v>19717.37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90</v>
      </c>
      <c r="FY256" s="2">
        <v>46</v>
      </c>
      <c r="FZ256" s="2"/>
      <c r="GA256" s="2" t="s">
        <v>3</v>
      </c>
      <c r="GB256" s="2"/>
      <c r="GC256" s="2"/>
      <c r="GD256" s="2">
        <v>1</v>
      </c>
      <c r="GE256" s="2"/>
      <c r="GF256" s="2">
        <v>-2093195521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291"/>
        <v>0</v>
      </c>
      <c r="GM256" s="2">
        <f t="shared" si="292"/>
        <v>3016.76</v>
      </c>
      <c r="GN256" s="2">
        <f t="shared" si="293"/>
        <v>0</v>
      </c>
      <c r="GO256" s="2">
        <f t="shared" si="294"/>
        <v>3016.76</v>
      </c>
      <c r="GP256" s="2">
        <f t="shared" si="295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296"/>
        <v>0</v>
      </c>
      <c r="GW256" s="2">
        <v>1</v>
      </c>
      <c r="GX256" s="2">
        <f t="shared" si="297"/>
        <v>0</v>
      </c>
      <c r="GY256" s="2"/>
      <c r="GZ256" s="2"/>
      <c r="HA256" s="2">
        <v>0</v>
      </c>
      <c r="HB256" s="2">
        <v>0</v>
      </c>
      <c r="HC256" s="2">
        <f t="shared" si="298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3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3">
        <v>18</v>
      </c>
      <c r="B257" s="3">
        <v>1</v>
      </c>
      <c r="C257" s="3">
        <v>315</v>
      </c>
      <c r="E257" s="3" t="s">
        <v>388</v>
      </c>
      <c r="F257" s="3" t="s">
        <v>389</v>
      </c>
      <c r="G257" s="3" t="s">
        <v>826</v>
      </c>
      <c r="H257" s="3" t="s">
        <v>390</v>
      </c>
      <c r="I257" s="3">
        <f>I251*J257</f>
        <v>0.153</v>
      </c>
      <c r="J257" s="3">
        <v>0.10199999999999999</v>
      </c>
      <c r="K257" s="3">
        <v>0.10199999999999999</v>
      </c>
      <c r="O257" s="3">
        <f t="shared" si="274"/>
        <v>9804.4699999999993</v>
      </c>
      <c r="P257" s="3">
        <f t="shared" si="275"/>
        <v>9804.4699999999993</v>
      </c>
      <c r="Q257" s="3">
        <f t="shared" si="299"/>
        <v>0</v>
      </c>
      <c r="R257" s="3">
        <f t="shared" si="300"/>
        <v>0</v>
      </c>
      <c r="S257" s="3">
        <f t="shared" si="276"/>
        <v>0</v>
      </c>
      <c r="T257" s="3">
        <f t="shared" si="277"/>
        <v>0</v>
      </c>
      <c r="U257" s="3">
        <f t="shared" si="278"/>
        <v>0</v>
      </c>
      <c r="V257" s="3">
        <f t="shared" si="279"/>
        <v>0</v>
      </c>
      <c r="W257" s="3">
        <f t="shared" si="280"/>
        <v>0</v>
      </c>
      <c r="X257" s="3">
        <f t="shared" si="301"/>
        <v>0</v>
      </c>
      <c r="Y257" s="3">
        <f t="shared" si="302"/>
        <v>0</v>
      </c>
      <c r="AA257" s="3">
        <v>57248837</v>
      </c>
      <c r="AB257" s="3">
        <f t="shared" si="281"/>
        <v>19717.37</v>
      </c>
      <c r="AC257" s="3">
        <f t="shared" si="303"/>
        <v>19717.37</v>
      </c>
      <c r="AD257" s="3">
        <f t="shared" si="304"/>
        <v>0</v>
      </c>
      <c r="AE257" s="3">
        <f t="shared" si="305"/>
        <v>0</v>
      </c>
      <c r="AF257" s="3">
        <f t="shared" si="305"/>
        <v>0</v>
      </c>
      <c r="AG257" s="3">
        <f t="shared" si="282"/>
        <v>0</v>
      </c>
      <c r="AH257" s="3">
        <f t="shared" si="306"/>
        <v>0</v>
      </c>
      <c r="AI257" s="3">
        <f t="shared" si="306"/>
        <v>0</v>
      </c>
      <c r="AJ257" s="3">
        <f t="shared" si="283"/>
        <v>0</v>
      </c>
      <c r="AK257" s="3">
        <v>19717.37</v>
      </c>
      <c r="AL257" s="3">
        <v>19717.37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90</v>
      </c>
      <c r="AU257" s="3">
        <v>46</v>
      </c>
      <c r="AV257" s="3">
        <v>1</v>
      </c>
      <c r="AW257" s="3">
        <v>1</v>
      </c>
      <c r="AZ257" s="3">
        <v>1</v>
      </c>
      <c r="BA257" s="3">
        <v>1</v>
      </c>
      <c r="BB257" s="3">
        <v>1</v>
      </c>
      <c r="BC257" s="3">
        <v>3.25</v>
      </c>
      <c r="BD257" s="3" t="s">
        <v>3</v>
      </c>
      <c r="BE257" s="3" t="s">
        <v>3</v>
      </c>
      <c r="BF257" s="3" t="s">
        <v>3</v>
      </c>
      <c r="BG257" s="3" t="s">
        <v>3</v>
      </c>
      <c r="BH257" s="3">
        <v>3</v>
      </c>
      <c r="BI257" s="3">
        <v>2</v>
      </c>
      <c r="BJ257" s="3" t="s">
        <v>391</v>
      </c>
      <c r="BM257" s="3">
        <v>68</v>
      </c>
      <c r="BN257" s="3">
        <v>0</v>
      </c>
      <c r="BO257" s="3" t="s">
        <v>389</v>
      </c>
      <c r="BP257" s="3">
        <v>1</v>
      </c>
      <c r="BQ257" s="3">
        <v>40</v>
      </c>
      <c r="BR257" s="3">
        <v>0</v>
      </c>
      <c r="BS257" s="3">
        <v>1</v>
      </c>
      <c r="BT257" s="3">
        <v>1</v>
      </c>
      <c r="BU257" s="3">
        <v>1</v>
      </c>
      <c r="BV257" s="3">
        <v>1</v>
      </c>
      <c r="BW257" s="3">
        <v>1</v>
      </c>
      <c r="BX257" s="3">
        <v>1</v>
      </c>
      <c r="BY257" s="3" t="s">
        <v>3</v>
      </c>
      <c r="BZ257" s="3">
        <v>90</v>
      </c>
      <c r="CA257" s="3">
        <v>46</v>
      </c>
      <c r="CB257" s="3" t="s">
        <v>3</v>
      </c>
      <c r="CE257" s="3">
        <v>1566</v>
      </c>
      <c r="CF257" s="3">
        <v>0</v>
      </c>
      <c r="CG257" s="3">
        <v>0</v>
      </c>
      <c r="CM257" s="3">
        <v>0</v>
      </c>
      <c r="CN257" s="3" t="s">
        <v>821</v>
      </c>
      <c r="CO257" s="3">
        <v>0</v>
      </c>
      <c r="CP257" s="3">
        <f t="shared" si="284"/>
        <v>9804.4699999999993</v>
      </c>
      <c r="CQ257" s="3">
        <f t="shared" si="285"/>
        <v>64081.45</v>
      </c>
      <c r="CR257" s="3">
        <f t="shared" si="307"/>
        <v>0</v>
      </c>
      <c r="CS257" s="3">
        <f t="shared" si="308"/>
        <v>0</v>
      </c>
      <c r="CT257" s="3">
        <f t="shared" si="286"/>
        <v>0</v>
      </c>
      <c r="CU257" s="3">
        <f t="shared" si="287"/>
        <v>0</v>
      </c>
      <c r="CV257" s="3">
        <f t="shared" si="288"/>
        <v>0</v>
      </c>
      <c r="CW257" s="3">
        <f t="shared" si="289"/>
        <v>0</v>
      </c>
      <c r="CX257" s="3">
        <f t="shared" si="290"/>
        <v>0</v>
      </c>
      <c r="CY257" s="3">
        <f t="shared" si="309"/>
        <v>0</v>
      </c>
      <c r="CZ257" s="3">
        <f t="shared" si="310"/>
        <v>0</v>
      </c>
      <c r="DC257" s="3" t="s">
        <v>3</v>
      </c>
      <c r="DD257" s="3" t="s">
        <v>3</v>
      </c>
      <c r="DE257" s="3" t="s">
        <v>3</v>
      </c>
      <c r="DF257" s="3" t="s">
        <v>3</v>
      </c>
      <c r="DG257" s="3" t="s">
        <v>3</v>
      </c>
      <c r="DH257" s="3" t="s">
        <v>3</v>
      </c>
      <c r="DI257" s="3" t="s">
        <v>3</v>
      </c>
      <c r="DJ257" s="3" t="s">
        <v>3</v>
      </c>
      <c r="DK257" s="3" t="s">
        <v>3</v>
      </c>
      <c r="DL257" s="3" t="s">
        <v>3</v>
      </c>
      <c r="DM257" s="3" t="s">
        <v>3</v>
      </c>
      <c r="DN257" s="3">
        <v>0</v>
      </c>
      <c r="DO257" s="3">
        <v>0</v>
      </c>
      <c r="DP257" s="3">
        <v>1</v>
      </c>
      <c r="DQ257" s="3">
        <v>1</v>
      </c>
      <c r="DU257" s="3">
        <v>1003</v>
      </c>
      <c r="DV257" s="3" t="s">
        <v>390</v>
      </c>
      <c r="DW257" s="3" t="s">
        <v>390</v>
      </c>
      <c r="DX257" s="3">
        <v>1000</v>
      </c>
      <c r="DZ257" s="3" t="s">
        <v>3</v>
      </c>
      <c r="EA257" s="3" t="s">
        <v>3</v>
      </c>
      <c r="EB257" s="3" t="s">
        <v>3</v>
      </c>
      <c r="EC257" s="3" t="s">
        <v>3</v>
      </c>
      <c r="EE257" s="3">
        <v>57248652</v>
      </c>
      <c r="EF257" s="3">
        <v>40</v>
      </c>
      <c r="EG257" s="3" t="s">
        <v>33</v>
      </c>
      <c r="EH257" s="3">
        <v>0</v>
      </c>
      <c r="EI257" s="3" t="s">
        <v>3</v>
      </c>
      <c r="EJ257" s="3">
        <v>2</v>
      </c>
      <c r="EK257" s="3">
        <v>68</v>
      </c>
      <c r="EL257" s="3" t="s">
        <v>34</v>
      </c>
      <c r="EM257" s="3" t="s">
        <v>35</v>
      </c>
      <c r="EO257" s="3" t="s">
        <v>124</v>
      </c>
      <c r="EQ257" s="3">
        <v>0</v>
      </c>
      <c r="ER257" s="3">
        <v>19717.37</v>
      </c>
      <c r="ES257" s="3">
        <v>19717.37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FQ257" s="3">
        <v>0</v>
      </c>
      <c r="FR257" s="3">
        <v>0</v>
      </c>
      <c r="FS257" s="3">
        <v>0</v>
      </c>
      <c r="FX257" s="3">
        <v>90</v>
      </c>
      <c r="FY257" s="3">
        <v>46</v>
      </c>
      <c r="GA257" s="3" t="s">
        <v>3</v>
      </c>
      <c r="GD257" s="3">
        <v>1</v>
      </c>
      <c r="GF257" s="3">
        <v>-2093195521</v>
      </c>
      <c r="GG257" s="3">
        <v>2</v>
      </c>
      <c r="GH257" s="3">
        <v>1</v>
      </c>
      <c r="GI257" s="3">
        <v>2</v>
      </c>
      <c r="GJ257" s="3">
        <v>0</v>
      </c>
      <c r="GK257" s="3">
        <v>0</v>
      </c>
      <c r="GL257" s="3">
        <f t="shared" si="291"/>
        <v>0</v>
      </c>
      <c r="GM257" s="3">
        <f t="shared" si="292"/>
        <v>9804.4699999999993</v>
      </c>
      <c r="GN257" s="3">
        <f t="shared" si="293"/>
        <v>0</v>
      </c>
      <c r="GO257" s="3">
        <f t="shared" si="294"/>
        <v>9804.4699999999993</v>
      </c>
      <c r="GP257" s="3">
        <f t="shared" si="295"/>
        <v>0</v>
      </c>
      <c r="GR257" s="3">
        <v>0</v>
      </c>
      <c r="GS257" s="3">
        <v>3</v>
      </c>
      <c r="GT257" s="3">
        <v>0</v>
      </c>
      <c r="GU257" s="3" t="s">
        <v>3</v>
      </c>
      <c r="GV257" s="3">
        <f t="shared" si="296"/>
        <v>0</v>
      </c>
      <c r="GW257" s="3">
        <v>1</v>
      </c>
      <c r="GX257" s="3">
        <f t="shared" si="297"/>
        <v>0</v>
      </c>
      <c r="HA257" s="3">
        <v>0</v>
      </c>
      <c r="HB257" s="3">
        <v>0</v>
      </c>
      <c r="HC257" s="3">
        <f t="shared" si="298"/>
        <v>0</v>
      </c>
      <c r="HE257" s="3" t="s">
        <v>3</v>
      </c>
      <c r="HF257" s="3" t="s">
        <v>3</v>
      </c>
      <c r="HM257" s="3" t="s">
        <v>3</v>
      </c>
      <c r="HN257" s="3" t="s">
        <v>3</v>
      </c>
      <c r="HO257" s="3" t="s">
        <v>3</v>
      </c>
      <c r="HP257" s="3" t="s">
        <v>3</v>
      </c>
      <c r="HQ257" s="3" t="s">
        <v>3</v>
      </c>
      <c r="HS257" s="3">
        <v>0</v>
      </c>
      <c r="IK257" s="3">
        <v>0</v>
      </c>
    </row>
    <row r="258" spans="1:255" x14ac:dyDescent="0.2">
      <c r="A258" s="2">
        <v>17</v>
      </c>
      <c r="B258" s="2">
        <v>1</v>
      </c>
      <c r="C258" s="2">
        <f>ROW(SmtRes!A321)</f>
        <v>321</v>
      </c>
      <c r="D258" s="2">
        <f>ROW(EtalonRes!A396)</f>
        <v>396</v>
      </c>
      <c r="E258" s="2" t="s">
        <v>392</v>
      </c>
      <c r="F258" s="2" t="s">
        <v>393</v>
      </c>
      <c r="G258" s="2" t="s">
        <v>394</v>
      </c>
      <c r="H258" s="2" t="s">
        <v>117</v>
      </c>
      <c r="I258" s="2">
        <f>ROUND(4/100,9)</f>
        <v>0.04</v>
      </c>
      <c r="J258" s="2">
        <v>0</v>
      </c>
      <c r="K258" s="2">
        <f>ROUND(4/100,9)</f>
        <v>0.04</v>
      </c>
      <c r="L258" s="2"/>
      <c r="M258" s="2"/>
      <c r="N258" s="2"/>
      <c r="O258" s="2">
        <f t="shared" si="274"/>
        <v>8.4600000000000009</v>
      </c>
      <c r="P258" s="2">
        <f t="shared" si="275"/>
        <v>5.03</v>
      </c>
      <c r="Q258" s="2">
        <f>(ROUND((ROUND((((ET258*1.2))*AV258*I258),2)*BB258),2)+ROUND((ROUND(((AE258-((EU258*1.2)))*AV258*I258),2)*BS258),2))</f>
        <v>0.13</v>
      </c>
      <c r="R258" s="2">
        <f>(ROUND((ROUND((((EU258*1.2))*AV258*I258),2)*BS258),2)+ROUND((ROUND(((AE258-((EU258*1.2)))*AV258*I258),2)*BS258),2))</f>
        <v>0.02</v>
      </c>
      <c r="S258" s="2">
        <f t="shared" si="276"/>
        <v>3.3</v>
      </c>
      <c r="T258" s="2">
        <f t="shared" si="277"/>
        <v>0</v>
      </c>
      <c r="U258" s="2">
        <f t="shared" si="278"/>
        <v>0.26585423999999996</v>
      </c>
      <c r="V258" s="2">
        <f t="shared" si="279"/>
        <v>0</v>
      </c>
      <c r="W258" s="2">
        <f t="shared" si="280"/>
        <v>0</v>
      </c>
      <c r="X258" s="2">
        <f>(ROUND((((S258+ROUND((ROUND((((EU258*1.2))*AV258*I258),2)*BS258),2))*AT258)/100),2)+ROUND(((ROUND((ROUND(((AE258-((EU258*1.2)))*AV258*I258),2)*BS258),2)*AT258)/100),2))</f>
        <v>3.22</v>
      </c>
      <c r="Y258" s="2">
        <f>(ROUND((((S258+ROUND((ROUND((((EU258*1.2))*AV258*I258),2)*BS258),2))*AU258)/100),2)+ROUND(((ROUND((ROUND(((AE258-((EU258*1.2)))*AV258*I258),2)*BS258),2)*AU258)/100),2))</f>
        <v>1.69</v>
      </c>
      <c r="Z258" s="2"/>
      <c r="AA258" s="2">
        <v>57248835</v>
      </c>
      <c r="AB258" s="2">
        <f t="shared" si="281"/>
        <v>207.69399999999999</v>
      </c>
      <c r="AC258" s="2">
        <f>ROUND(((ES258*1)),6)</f>
        <v>125.83</v>
      </c>
      <c r="AD258" s="2">
        <f>ROUND(((((ET258*1.2))-((EU258*1.2)))+AE258),6)</f>
        <v>3.1440000000000001</v>
      </c>
      <c r="AE258" s="2">
        <f>ROUND(((EU258*1.2)),6)</f>
        <v>0.36</v>
      </c>
      <c r="AF258" s="2">
        <f>ROUND(((EV258*1.2)),6)</f>
        <v>78.72</v>
      </c>
      <c r="AG258" s="2">
        <f t="shared" si="282"/>
        <v>0</v>
      </c>
      <c r="AH258" s="2">
        <f>((EW258*1.2))</f>
        <v>6.3479999999999999</v>
      </c>
      <c r="AI258" s="2">
        <f>((EX258*1.2))</f>
        <v>0</v>
      </c>
      <c r="AJ258" s="2">
        <f t="shared" si="283"/>
        <v>0</v>
      </c>
      <c r="AK258" s="2">
        <v>194.05</v>
      </c>
      <c r="AL258" s="2">
        <v>125.83</v>
      </c>
      <c r="AM258" s="2">
        <v>2.62</v>
      </c>
      <c r="AN258" s="2">
        <v>0.3</v>
      </c>
      <c r="AO258" s="2">
        <v>65.599999999999994</v>
      </c>
      <c r="AP258" s="2">
        <v>0</v>
      </c>
      <c r="AQ258" s="2">
        <v>5.29</v>
      </c>
      <c r="AR258" s="2">
        <v>0</v>
      </c>
      <c r="AS258" s="2">
        <v>0</v>
      </c>
      <c r="AT258" s="2">
        <v>97</v>
      </c>
      <c r="AU258" s="2">
        <v>51</v>
      </c>
      <c r="AV258" s="2">
        <v>1.0469999999999999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0</v>
      </c>
      <c r="BI258" s="2">
        <v>2</v>
      </c>
      <c r="BJ258" s="2" t="s">
        <v>395</v>
      </c>
      <c r="BK258" s="2"/>
      <c r="BL258" s="2"/>
      <c r="BM258" s="2">
        <v>67</v>
      </c>
      <c r="BN258" s="2">
        <v>0</v>
      </c>
      <c r="BO258" s="2" t="s">
        <v>393</v>
      </c>
      <c r="BP258" s="2">
        <v>1</v>
      </c>
      <c r="BQ258" s="2">
        <v>40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97</v>
      </c>
      <c r="CA258" s="2">
        <v>51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820</v>
      </c>
      <c r="CO258" s="2">
        <v>0</v>
      </c>
      <c r="CP258" s="2">
        <f t="shared" si="284"/>
        <v>8.4600000000000009</v>
      </c>
      <c r="CQ258" s="2">
        <f t="shared" si="285"/>
        <v>125.83</v>
      </c>
      <c r="CR258" s="2">
        <f>(ROUND((ROUND((((ET258*1.2))*AV258*1),2)*BB258),2)+ROUND((ROUND(((AE258-((EU258*1.2)))*AV258*1),2)*BS258),2))</f>
        <v>3.29</v>
      </c>
      <c r="CS258" s="2">
        <f>(ROUND((ROUND((((EU258*1.2))*AV258*1),2)*BS258),2)+ROUND((ROUND(((AE258-((EU258*1.2)))*AV258*1),2)*BS258),2))</f>
        <v>0.38</v>
      </c>
      <c r="CT258" s="2">
        <f t="shared" si="286"/>
        <v>82.42</v>
      </c>
      <c r="CU258" s="2">
        <f t="shared" si="287"/>
        <v>0</v>
      </c>
      <c r="CV258" s="2">
        <f t="shared" si="288"/>
        <v>6.646355999999999</v>
      </c>
      <c r="CW258" s="2">
        <f t="shared" si="289"/>
        <v>0</v>
      </c>
      <c r="CX258" s="2">
        <f t="shared" si="290"/>
        <v>0</v>
      </c>
      <c r="CY258" s="2">
        <f>(ROUND((((S258+ROUND((ROUND((((EU258*1.2))*AV258*1),2)*BS258),2))*AT258)/100),2)+ROUND(((ROUND((ROUND(((AE258-((EU258*1.2)))*AV258*1),2)*BS258),2)*AT258)/100),2))</f>
        <v>3.57</v>
      </c>
      <c r="CZ258" s="2">
        <f>(ROUND((((S258+ROUND((ROUND((((EU258*1.2))*AV258*1),2)*BS258),2))*AU258)/100),2)+ROUND(((ROUND((ROUND(((AE258-((EU258*1.2)))*AV258*1),2)*BS258),2)*AU258)/100),2))</f>
        <v>1.88</v>
      </c>
      <c r="DA258" s="2"/>
      <c r="DB258" s="2">
        <v>115</v>
      </c>
      <c r="DC258" s="2" t="s">
        <v>3</v>
      </c>
      <c r="DD258" s="2" t="s">
        <v>119</v>
      </c>
      <c r="DE258" s="2" t="s">
        <v>120</v>
      </c>
      <c r="DF258" s="2" t="s">
        <v>120</v>
      </c>
      <c r="DG258" s="2" t="s">
        <v>120</v>
      </c>
      <c r="DH258" s="2" t="s">
        <v>3</v>
      </c>
      <c r="DI258" s="2" t="s">
        <v>120</v>
      </c>
      <c r="DJ258" s="2" t="s">
        <v>120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1003</v>
      </c>
      <c r="DV258" s="2" t="s">
        <v>117</v>
      </c>
      <c r="DW258" s="2" t="s">
        <v>117</v>
      </c>
      <c r="DX258" s="2">
        <v>100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57248651</v>
      </c>
      <c r="EF258" s="2">
        <v>40</v>
      </c>
      <c r="EG258" s="2" t="s">
        <v>33</v>
      </c>
      <c r="EH258" s="2">
        <v>0</v>
      </c>
      <c r="EI258" s="2" t="s">
        <v>3</v>
      </c>
      <c r="EJ258" s="2">
        <v>2</v>
      </c>
      <c r="EK258" s="2">
        <v>67</v>
      </c>
      <c r="EL258" s="2" t="s">
        <v>69</v>
      </c>
      <c r="EM258" s="2" t="s">
        <v>70</v>
      </c>
      <c r="EN258" s="2"/>
      <c r="EO258" s="2" t="s">
        <v>124</v>
      </c>
      <c r="EP258" s="2"/>
      <c r="EQ258" s="2">
        <v>0</v>
      </c>
      <c r="ER258" s="2">
        <v>194.05</v>
      </c>
      <c r="ES258" s="2">
        <v>125.83</v>
      </c>
      <c r="ET258" s="2">
        <v>2.62</v>
      </c>
      <c r="EU258" s="2">
        <v>0.3</v>
      </c>
      <c r="EV258" s="2">
        <v>65.599999999999994</v>
      </c>
      <c r="EW258" s="2">
        <v>5.29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97</v>
      </c>
      <c r="FY258" s="2">
        <v>51</v>
      </c>
      <c r="FZ258" s="2"/>
      <c r="GA258" s="2" t="s">
        <v>3</v>
      </c>
      <c r="GB258" s="2"/>
      <c r="GC258" s="2"/>
      <c r="GD258" s="2">
        <v>1</v>
      </c>
      <c r="GE258" s="2"/>
      <c r="GF258" s="2">
        <v>669823142</v>
      </c>
      <c r="GG258" s="2">
        <v>2</v>
      </c>
      <c r="GH258" s="2">
        <v>1</v>
      </c>
      <c r="GI258" s="2">
        <v>2</v>
      </c>
      <c r="GJ258" s="2">
        <v>0</v>
      </c>
      <c r="GK258" s="2">
        <v>0</v>
      </c>
      <c r="GL258" s="2">
        <f t="shared" si="291"/>
        <v>0</v>
      </c>
      <c r="GM258" s="2">
        <f t="shared" si="292"/>
        <v>13.37</v>
      </c>
      <c r="GN258" s="2">
        <f t="shared" si="293"/>
        <v>0</v>
      </c>
      <c r="GO258" s="2">
        <f t="shared" si="294"/>
        <v>13.37</v>
      </c>
      <c r="GP258" s="2">
        <f t="shared" si="295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296"/>
        <v>0</v>
      </c>
      <c r="GW258" s="2">
        <v>1</v>
      </c>
      <c r="GX258" s="2">
        <f t="shared" si="297"/>
        <v>0</v>
      </c>
      <c r="GY258" s="2"/>
      <c r="GZ258" s="2"/>
      <c r="HA258" s="2">
        <v>0</v>
      </c>
      <c r="HB258" s="2">
        <v>0</v>
      </c>
      <c r="HC258" s="2">
        <f t="shared" si="298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3">
        <v>17</v>
      </c>
      <c r="B259" s="3">
        <v>1</v>
      </c>
      <c r="C259" s="3">
        <f>ROW(SmtRes!A326)</f>
        <v>326</v>
      </c>
      <c r="D259" s="3">
        <f>ROW(EtalonRes!A402)</f>
        <v>402</v>
      </c>
      <c r="E259" s="3" t="s">
        <v>392</v>
      </c>
      <c r="F259" s="3" t="s">
        <v>393</v>
      </c>
      <c r="G259" s="3" t="s">
        <v>394</v>
      </c>
      <c r="H259" s="3" t="s">
        <v>117</v>
      </c>
      <c r="I259" s="3">
        <f>ROUND(4/100,9)</f>
        <v>0.04</v>
      </c>
      <c r="J259" s="3">
        <v>0</v>
      </c>
      <c r="K259" s="3">
        <f>ROUND(4/100,9)</f>
        <v>0.04</v>
      </c>
      <c r="O259" s="3">
        <f t="shared" si="274"/>
        <v>206.96</v>
      </c>
      <c r="P259" s="3">
        <f t="shared" si="275"/>
        <v>19.010000000000002</v>
      </c>
      <c r="Q259" s="3">
        <f>(ROUND((ROUND((((ET259*1.2))*AV259*I259),2)*BB259),2)+ROUND((ROUND(((AE259-((EU259*1.2)))*AV259*I259),2)*BS259),2))</f>
        <v>1.99</v>
      </c>
      <c r="R259" s="3">
        <f>(ROUND((ROUND((((EU259*1.2))*AV259*I259),2)*BS259),2)+ROUND((ROUND(((AE259-((EU259*1.2)))*AV259*I259),2)*BS259),2))</f>
        <v>1.1299999999999999</v>
      </c>
      <c r="S259" s="3">
        <f t="shared" si="276"/>
        <v>185.96</v>
      </c>
      <c r="T259" s="3">
        <f t="shared" si="277"/>
        <v>0</v>
      </c>
      <c r="U259" s="3">
        <f t="shared" si="278"/>
        <v>0.26585423999999996</v>
      </c>
      <c r="V259" s="3">
        <f t="shared" si="279"/>
        <v>0</v>
      </c>
      <c r="W259" s="3">
        <f t="shared" si="280"/>
        <v>0</v>
      </c>
      <c r="X259" s="3">
        <f>(ROUND((((S259+ROUND((ROUND((((EU259*1.2))*AV259*I259),2)*BS259),2))*AT259)/100),2)+ROUND(((ROUND((ROUND(((AE259-((EU259*1.2)))*AV259*I259),2)*BS259),2)*AT259)/100),2))</f>
        <v>181.48</v>
      </c>
      <c r="Y259" s="3">
        <f>(ROUND((((S259+ROUND((ROUND((((EU259*1.2))*AV259*I259),2)*BS259),2))*AU259)/100),2)+ROUND(((ROUND((ROUND(((AE259-((EU259*1.2)))*AV259*I259),2)*BS259),2)*AU259)/100),2))</f>
        <v>95.42</v>
      </c>
      <c r="AA259" s="3">
        <v>57248837</v>
      </c>
      <c r="AB259" s="3">
        <f t="shared" si="281"/>
        <v>207.69399999999999</v>
      </c>
      <c r="AC259" s="3">
        <f>ROUND(((ES259*1)),6)</f>
        <v>125.83</v>
      </c>
      <c r="AD259" s="3">
        <f>ROUND(((((ET259*1.2))-((EU259*1.2)))+AE259),6)</f>
        <v>3.1440000000000001</v>
      </c>
      <c r="AE259" s="3">
        <f>ROUND(((EU259*1.2)),6)</f>
        <v>0.36</v>
      </c>
      <c r="AF259" s="3">
        <f>ROUND(((EV259*1.2)),6)</f>
        <v>78.72</v>
      </c>
      <c r="AG259" s="3">
        <f t="shared" si="282"/>
        <v>0</v>
      </c>
      <c r="AH259" s="3">
        <f>((EW259*1.2))</f>
        <v>6.3479999999999999</v>
      </c>
      <c r="AI259" s="3">
        <f>((EX259*1.2))</f>
        <v>0</v>
      </c>
      <c r="AJ259" s="3">
        <f t="shared" si="283"/>
        <v>0</v>
      </c>
      <c r="AK259" s="3">
        <v>194.05</v>
      </c>
      <c r="AL259" s="3">
        <v>125.83</v>
      </c>
      <c r="AM259" s="3">
        <v>2.62</v>
      </c>
      <c r="AN259" s="3">
        <v>0.3</v>
      </c>
      <c r="AO259" s="3">
        <v>65.599999999999994</v>
      </c>
      <c r="AP259" s="3">
        <v>0</v>
      </c>
      <c r="AQ259" s="3">
        <v>5.29</v>
      </c>
      <c r="AR259" s="3">
        <v>0</v>
      </c>
      <c r="AS259" s="3">
        <v>0</v>
      </c>
      <c r="AT259" s="3">
        <v>97</v>
      </c>
      <c r="AU259" s="3">
        <v>51</v>
      </c>
      <c r="AV259" s="3">
        <v>1.0469999999999999</v>
      </c>
      <c r="AW259" s="3">
        <v>1</v>
      </c>
      <c r="AZ259" s="3">
        <v>1</v>
      </c>
      <c r="BA259" s="3">
        <v>56.35</v>
      </c>
      <c r="BB259" s="3">
        <v>15.28</v>
      </c>
      <c r="BC259" s="3">
        <v>3.78</v>
      </c>
      <c r="BD259" s="3" t="s">
        <v>3</v>
      </c>
      <c r="BE259" s="3" t="s">
        <v>3</v>
      </c>
      <c r="BF259" s="3" t="s">
        <v>3</v>
      </c>
      <c r="BG259" s="3" t="s">
        <v>3</v>
      </c>
      <c r="BH259" s="3">
        <v>0</v>
      </c>
      <c r="BI259" s="3">
        <v>2</v>
      </c>
      <c r="BJ259" s="3" t="s">
        <v>395</v>
      </c>
      <c r="BM259" s="3">
        <v>67</v>
      </c>
      <c r="BN259" s="3">
        <v>0</v>
      </c>
      <c r="BO259" s="3" t="s">
        <v>393</v>
      </c>
      <c r="BP259" s="3">
        <v>1</v>
      </c>
      <c r="BQ259" s="3">
        <v>40</v>
      </c>
      <c r="BR259" s="3">
        <v>0</v>
      </c>
      <c r="BS259" s="3">
        <v>56.35</v>
      </c>
      <c r="BT259" s="3">
        <v>1</v>
      </c>
      <c r="BU259" s="3">
        <v>1</v>
      </c>
      <c r="BV259" s="3">
        <v>1</v>
      </c>
      <c r="BW259" s="3">
        <v>1</v>
      </c>
      <c r="BX259" s="3">
        <v>1</v>
      </c>
      <c r="BY259" s="3" t="s">
        <v>3</v>
      </c>
      <c r="BZ259" s="3">
        <v>97</v>
      </c>
      <c r="CA259" s="3">
        <v>51</v>
      </c>
      <c r="CB259" s="3" t="s">
        <v>3</v>
      </c>
      <c r="CE259" s="3">
        <v>1566</v>
      </c>
      <c r="CF259" s="3">
        <v>0</v>
      </c>
      <c r="CG259" s="3">
        <v>0</v>
      </c>
      <c r="CM259" s="3">
        <v>0</v>
      </c>
      <c r="CN259" s="3" t="s">
        <v>820</v>
      </c>
      <c r="CO259" s="3">
        <v>0</v>
      </c>
      <c r="CP259" s="3">
        <f t="shared" si="284"/>
        <v>206.96</v>
      </c>
      <c r="CQ259" s="3">
        <f t="shared" si="285"/>
        <v>475.64</v>
      </c>
      <c r="CR259" s="3">
        <f>(ROUND((ROUND((((ET259*1.2))*AV259*1),2)*BB259),2)+ROUND((ROUND(((AE259-((EU259*1.2)))*AV259*1),2)*BS259),2))</f>
        <v>50.27</v>
      </c>
      <c r="CS259" s="3">
        <f>(ROUND((ROUND((((EU259*1.2))*AV259*1),2)*BS259),2)+ROUND((ROUND(((AE259-((EU259*1.2)))*AV259*1),2)*BS259),2))</f>
        <v>21.41</v>
      </c>
      <c r="CT259" s="3">
        <f t="shared" si="286"/>
        <v>4644.37</v>
      </c>
      <c r="CU259" s="3">
        <f t="shared" si="287"/>
        <v>0</v>
      </c>
      <c r="CV259" s="3">
        <f t="shared" si="288"/>
        <v>6.646355999999999</v>
      </c>
      <c r="CW259" s="3">
        <f t="shared" si="289"/>
        <v>0</v>
      </c>
      <c r="CX259" s="3">
        <f t="shared" si="290"/>
        <v>0</v>
      </c>
      <c r="CY259" s="3">
        <f>(ROUND((((S259+ROUND((ROUND((((EU259*1.2))*AV259*1),2)*BS259),2))*AT259)/100),2)+ROUND(((ROUND((ROUND(((AE259-((EU259*1.2)))*AV259*1),2)*BS259),2)*AT259)/100),2))</f>
        <v>201.15</v>
      </c>
      <c r="CZ259" s="3">
        <f>(ROUND((((S259+ROUND((ROUND((((EU259*1.2))*AV259*1),2)*BS259),2))*AU259)/100),2)+ROUND(((ROUND((ROUND(((AE259-((EU259*1.2)))*AV259*1),2)*BS259),2)*AU259)/100),2))</f>
        <v>105.76</v>
      </c>
      <c r="DB259" s="3">
        <v>116</v>
      </c>
      <c r="DC259" s="3" t="s">
        <v>3</v>
      </c>
      <c r="DD259" s="3" t="s">
        <v>119</v>
      </c>
      <c r="DE259" s="3" t="s">
        <v>120</v>
      </c>
      <c r="DF259" s="3" t="s">
        <v>120</v>
      </c>
      <c r="DG259" s="3" t="s">
        <v>120</v>
      </c>
      <c r="DH259" s="3" t="s">
        <v>3</v>
      </c>
      <c r="DI259" s="3" t="s">
        <v>120</v>
      </c>
      <c r="DJ259" s="3" t="s">
        <v>120</v>
      </c>
      <c r="DK259" s="3" t="s">
        <v>3</v>
      </c>
      <c r="DL259" s="3" t="s">
        <v>3</v>
      </c>
      <c r="DM259" s="3" t="s">
        <v>3</v>
      </c>
      <c r="DN259" s="3">
        <v>0</v>
      </c>
      <c r="DO259" s="3">
        <v>0</v>
      </c>
      <c r="DP259" s="3">
        <v>1</v>
      </c>
      <c r="DQ259" s="3">
        <v>1</v>
      </c>
      <c r="DU259" s="3">
        <v>1003</v>
      </c>
      <c r="DV259" s="3" t="s">
        <v>117</v>
      </c>
      <c r="DW259" s="3" t="s">
        <v>117</v>
      </c>
      <c r="DX259" s="3">
        <v>100</v>
      </c>
      <c r="DZ259" s="3" t="s">
        <v>3</v>
      </c>
      <c r="EA259" s="3" t="s">
        <v>3</v>
      </c>
      <c r="EB259" s="3" t="s">
        <v>3</v>
      </c>
      <c r="EC259" s="3" t="s">
        <v>3</v>
      </c>
      <c r="EE259" s="3">
        <v>57248651</v>
      </c>
      <c r="EF259" s="3">
        <v>40</v>
      </c>
      <c r="EG259" s="3" t="s">
        <v>33</v>
      </c>
      <c r="EH259" s="3">
        <v>0</v>
      </c>
      <c r="EI259" s="3" t="s">
        <v>3</v>
      </c>
      <c r="EJ259" s="3">
        <v>2</v>
      </c>
      <c r="EK259" s="3">
        <v>67</v>
      </c>
      <c r="EL259" s="3" t="s">
        <v>69</v>
      </c>
      <c r="EM259" s="3" t="s">
        <v>70</v>
      </c>
      <c r="EO259" s="3" t="s">
        <v>124</v>
      </c>
      <c r="EQ259" s="3">
        <v>0</v>
      </c>
      <c r="ER259" s="3">
        <v>194.05</v>
      </c>
      <c r="ES259" s="3">
        <v>125.83</v>
      </c>
      <c r="ET259" s="3">
        <v>2.62</v>
      </c>
      <c r="EU259" s="3">
        <v>0.3</v>
      </c>
      <c r="EV259" s="3">
        <v>65.599999999999994</v>
      </c>
      <c r="EW259" s="3">
        <v>5.29</v>
      </c>
      <c r="EX259" s="3">
        <v>0</v>
      </c>
      <c r="EY259" s="3">
        <v>0</v>
      </c>
      <c r="FQ259" s="3">
        <v>0</v>
      </c>
      <c r="FR259" s="3">
        <v>0</v>
      </c>
      <c r="FS259" s="3">
        <v>0</v>
      </c>
      <c r="FX259" s="3">
        <v>97</v>
      </c>
      <c r="FY259" s="3">
        <v>51</v>
      </c>
      <c r="GA259" s="3" t="s">
        <v>3</v>
      </c>
      <c r="GD259" s="3">
        <v>1</v>
      </c>
      <c r="GF259" s="3">
        <v>669823142</v>
      </c>
      <c r="GG259" s="3">
        <v>2</v>
      </c>
      <c r="GH259" s="3">
        <v>1</v>
      </c>
      <c r="GI259" s="3">
        <v>2</v>
      </c>
      <c r="GJ259" s="3">
        <v>0</v>
      </c>
      <c r="GK259" s="3">
        <v>0</v>
      </c>
      <c r="GL259" s="3">
        <f t="shared" si="291"/>
        <v>0</v>
      </c>
      <c r="GM259" s="3">
        <f t="shared" si="292"/>
        <v>483.86</v>
      </c>
      <c r="GN259" s="3">
        <f t="shared" si="293"/>
        <v>0</v>
      </c>
      <c r="GO259" s="3">
        <f t="shared" si="294"/>
        <v>483.86</v>
      </c>
      <c r="GP259" s="3">
        <f t="shared" si="295"/>
        <v>0</v>
      </c>
      <c r="GR259" s="3">
        <v>0</v>
      </c>
      <c r="GS259" s="3">
        <v>3</v>
      </c>
      <c r="GT259" s="3">
        <v>0</v>
      </c>
      <c r="GU259" s="3" t="s">
        <v>3</v>
      </c>
      <c r="GV259" s="3">
        <f t="shared" si="296"/>
        <v>0</v>
      </c>
      <c r="GW259" s="3">
        <v>1</v>
      </c>
      <c r="GX259" s="3">
        <f t="shared" si="297"/>
        <v>0</v>
      </c>
      <c r="HA259" s="3">
        <v>0</v>
      </c>
      <c r="HB259" s="3">
        <v>0</v>
      </c>
      <c r="HC259" s="3">
        <f t="shared" si="298"/>
        <v>0</v>
      </c>
      <c r="HE259" s="3" t="s">
        <v>3</v>
      </c>
      <c r="HF259" s="3" t="s">
        <v>3</v>
      </c>
      <c r="HM259" s="3" t="s">
        <v>3</v>
      </c>
      <c r="HN259" s="3" t="s">
        <v>3</v>
      </c>
      <c r="HO259" s="3" t="s">
        <v>3</v>
      </c>
      <c r="HP259" s="3" t="s">
        <v>3</v>
      </c>
      <c r="HQ259" s="3" t="s">
        <v>3</v>
      </c>
      <c r="HS259" s="3">
        <v>0</v>
      </c>
      <c r="IK259" s="3">
        <v>0</v>
      </c>
    </row>
    <row r="260" spans="1:255" x14ac:dyDescent="0.2">
      <c r="A260" s="2">
        <v>17</v>
      </c>
      <c r="B260" s="2">
        <v>1</v>
      </c>
      <c r="C260" s="2"/>
      <c r="D260" s="2"/>
      <c r="E260" s="2" t="s">
        <v>396</v>
      </c>
      <c r="F260" s="2" t="s">
        <v>397</v>
      </c>
      <c r="G260" s="2" t="s">
        <v>398</v>
      </c>
      <c r="H260" s="2" t="s">
        <v>341</v>
      </c>
      <c r="I260" s="2">
        <v>4.08</v>
      </c>
      <c r="J260" s="2">
        <v>0</v>
      </c>
      <c r="K260" s="2">
        <v>4.08</v>
      </c>
      <c r="L260" s="2"/>
      <c r="M260" s="2"/>
      <c r="N260" s="2"/>
      <c r="O260" s="2">
        <f t="shared" si="274"/>
        <v>47.49</v>
      </c>
      <c r="P260" s="2">
        <f t="shared" si="275"/>
        <v>47.49</v>
      </c>
      <c r="Q260" s="2">
        <f>(ROUND((ROUND(((ET260)*AV260*I260),2)*BB260),2)+ROUND((ROUND(((AE260-(EU260))*AV260*I260),2)*BS260),2))</f>
        <v>0</v>
      </c>
      <c r="R260" s="2">
        <f>(ROUND((ROUND(((EU260)*AV260*I260),2)*BS260),2)+ROUND((ROUND(((AE260-(EU260))*AV260*I260),2)*BS260),2))</f>
        <v>0</v>
      </c>
      <c r="S260" s="2">
        <f t="shared" si="276"/>
        <v>0</v>
      </c>
      <c r="T260" s="2">
        <f t="shared" si="277"/>
        <v>0</v>
      </c>
      <c r="U260" s="2">
        <f t="shared" si="278"/>
        <v>0</v>
      </c>
      <c r="V260" s="2">
        <f t="shared" si="279"/>
        <v>0</v>
      </c>
      <c r="W260" s="2">
        <f t="shared" si="280"/>
        <v>0</v>
      </c>
      <c r="X260" s="2">
        <f>(ROUND((((S260+ROUND((ROUND(((EU260)*AV260*I260),2)*BS260),2))*AT260)/100),2)+ROUND(((ROUND((ROUND(((AE260-(EU260))*AV260*I260),2)*BS260),2)*AT260)/100),2))</f>
        <v>0</v>
      </c>
      <c r="Y260" s="2">
        <f>(ROUND((((S260+ROUND((ROUND(((EU260)*AV260*I260),2)*BS260),2))*AU260)/100),2)+ROUND(((ROUND((ROUND(((AE260-(EU260))*AV260*I260),2)*BS260),2)*AU260)/100),2))</f>
        <v>0</v>
      </c>
      <c r="Z260" s="2"/>
      <c r="AA260" s="2">
        <v>57248835</v>
      </c>
      <c r="AB260" s="2">
        <f t="shared" si="281"/>
        <v>11.64</v>
      </c>
      <c r="AC260" s="2">
        <f>ROUND((ES260),6)</f>
        <v>11.64</v>
      </c>
      <c r="AD260" s="2">
        <f>ROUND((((ET260)-(EU260))+AE260),6)</f>
        <v>0</v>
      </c>
      <c r="AE260" s="2">
        <f>ROUND((EU260),6)</f>
        <v>0</v>
      </c>
      <c r="AF260" s="2">
        <f>ROUND((EV260),6)</f>
        <v>0</v>
      </c>
      <c r="AG260" s="2">
        <f t="shared" si="282"/>
        <v>0</v>
      </c>
      <c r="AH260" s="2">
        <f>(EW260)</f>
        <v>0</v>
      </c>
      <c r="AI260" s="2">
        <f>(EX260)</f>
        <v>0</v>
      </c>
      <c r="AJ260" s="2">
        <f t="shared" si="283"/>
        <v>0</v>
      </c>
      <c r="AK260" s="2">
        <v>11.64</v>
      </c>
      <c r="AL260" s="2">
        <v>11.64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2</v>
      </c>
      <c r="BJ260" s="2" t="s">
        <v>397</v>
      </c>
      <c r="BK260" s="2"/>
      <c r="BL260" s="2"/>
      <c r="BM260" s="2">
        <v>400006</v>
      </c>
      <c r="BN260" s="2">
        <v>0</v>
      </c>
      <c r="BO260" s="2" t="s">
        <v>3</v>
      </c>
      <c r="BP260" s="2">
        <v>0</v>
      </c>
      <c r="BQ260" s="2">
        <v>215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0</v>
      </c>
      <c r="CA260" s="2">
        <v>0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3</v>
      </c>
      <c r="CO260" s="2">
        <v>0</v>
      </c>
      <c r="CP260" s="2">
        <f t="shared" si="284"/>
        <v>47.49</v>
      </c>
      <c r="CQ260" s="2">
        <f t="shared" si="285"/>
        <v>11.64</v>
      </c>
      <c r="CR260" s="2">
        <f>(ROUND((ROUND(((ET260)*AV260*1),2)*BB260),2)+ROUND((ROUND(((AE260-(EU260))*AV260*1),2)*BS260),2))</f>
        <v>0</v>
      </c>
      <c r="CS260" s="2">
        <f>(ROUND((ROUND(((EU260)*AV260*1),2)*BS260),2)+ROUND((ROUND(((AE260-(EU260))*AV260*1),2)*BS260),2))</f>
        <v>0</v>
      </c>
      <c r="CT260" s="2">
        <f t="shared" si="286"/>
        <v>0</v>
      </c>
      <c r="CU260" s="2">
        <f t="shared" si="287"/>
        <v>0</v>
      </c>
      <c r="CV260" s="2">
        <f t="shared" si="288"/>
        <v>0</v>
      </c>
      <c r="CW260" s="2">
        <f t="shared" si="289"/>
        <v>0</v>
      </c>
      <c r="CX260" s="2">
        <f t="shared" si="290"/>
        <v>0</v>
      </c>
      <c r="CY260" s="2">
        <f>(ROUND((((S260+ROUND((ROUND(((EU260)*AV260*1),2)*BS260),2))*AT260)/100),2)+ROUND(((ROUND((ROUND(((AE260-(EU260))*AV260*1),2)*BS260),2)*AT260)/100),2))</f>
        <v>0</v>
      </c>
      <c r="CZ260" s="2">
        <f>(ROUND((((S260+ROUND((ROUND(((EU260)*AV260*1),2)*BS260),2))*AU260)/100),2)+ROUND(((ROUND((ROUND(((AE260-(EU260))*AV260*1),2)*BS260),2)*AU260)/100),2))</f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341</v>
      </c>
      <c r="DW260" s="2" t="s">
        <v>341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57248791</v>
      </c>
      <c r="EF260" s="2">
        <v>215</v>
      </c>
      <c r="EG260" s="2" t="s">
        <v>368</v>
      </c>
      <c r="EH260" s="2">
        <v>0</v>
      </c>
      <c r="EI260" s="2" t="s">
        <v>3</v>
      </c>
      <c r="EJ260" s="2">
        <v>2</v>
      </c>
      <c r="EK260" s="2">
        <v>400006</v>
      </c>
      <c r="EL260" s="2" t="s">
        <v>368</v>
      </c>
      <c r="EM260" s="2" t="s">
        <v>369</v>
      </c>
      <c r="EN260" s="2"/>
      <c r="EO260" s="2" t="s">
        <v>3</v>
      </c>
      <c r="EP260" s="2"/>
      <c r="EQ260" s="2">
        <v>16</v>
      </c>
      <c r="ER260" s="2">
        <v>0</v>
      </c>
      <c r="ES260" s="2">
        <v>11.64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>
        <v>0</v>
      </c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0</v>
      </c>
      <c r="FY260" s="2">
        <v>0</v>
      </c>
      <c r="FZ260" s="2"/>
      <c r="GA260" s="2" t="s">
        <v>399</v>
      </c>
      <c r="GB260" s="2"/>
      <c r="GC260" s="2"/>
      <c r="GD260" s="2">
        <v>1</v>
      </c>
      <c r="GE260" s="2"/>
      <c r="GF260" s="2">
        <v>1773367642</v>
      </c>
      <c r="GG260" s="2">
        <v>2</v>
      </c>
      <c r="GH260" s="2">
        <v>4</v>
      </c>
      <c r="GI260" s="2">
        <v>-2</v>
      </c>
      <c r="GJ260" s="2">
        <v>0</v>
      </c>
      <c r="GK260" s="2">
        <v>0</v>
      </c>
      <c r="GL260" s="2">
        <f t="shared" si="291"/>
        <v>0</v>
      </c>
      <c r="GM260" s="2">
        <f t="shared" si="292"/>
        <v>47.49</v>
      </c>
      <c r="GN260" s="2">
        <f t="shared" si="293"/>
        <v>0</v>
      </c>
      <c r="GO260" s="2">
        <f t="shared" si="294"/>
        <v>47.49</v>
      </c>
      <c r="GP260" s="2">
        <f t="shared" si="295"/>
        <v>0</v>
      </c>
      <c r="GQ260" s="2"/>
      <c r="GR260" s="2">
        <v>1</v>
      </c>
      <c r="GS260" s="2">
        <v>2</v>
      </c>
      <c r="GT260" s="2">
        <v>0</v>
      </c>
      <c r="GU260" s="2" t="s">
        <v>3</v>
      </c>
      <c r="GV260" s="2">
        <f t="shared" si="296"/>
        <v>0</v>
      </c>
      <c r="GW260" s="2">
        <v>1</v>
      </c>
      <c r="GX260" s="2">
        <f t="shared" si="297"/>
        <v>0</v>
      </c>
      <c r="GY260" s="2"/>
      <c r="GZ260" s="2"/>
      <c r="HA260" s="2">
        <v>0</v>
      </c>
      <c r="HB260" s="2">
        <v>0</v>
      </c>
      <c r="HC260" s="2">
        <f t="shared" si="298"/>
        <v>0</v>
      </c>
      <c r="HD260" s="2"/>
      <c r="HE260" s="2" t="s">
        <v>334</v>
      </c>
      <c r="HF260" s="2" t="s">
        <v>37</v>
      </c>
      <c r="HG260" s="2"/>
      <c r="HH260" s="2"/>
      <c r="HI260" s="2"/>
      <c r="HJ260" s="2"/>
      <c r="HK260" s="2"/>
      <c r="HL260" s="2"/>
      <c r="HM260" s="2" t="s">
        <v>3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3">
        <v>17</v>
      </c>
      <c r="B261" s="3">
        <v>1</v>
      </c>
      <c r="E261" s="3" t="s">
        <v>396</v>
      </c>
      <c r="F261" s="3" t="s">
        <v>397</v>
      </c>
      <c r="G261" s="3" t="s">
        <v>398</v>
      </c>
      <c r="H261" s="3" t="s">
        <v>341</v>
      </c>
      <c r="I261" s="3">
        <v>4.08</v>
      </c>
      <c r="J261" s="3">
        <v>0</v>
      </c>
      <c r="K261" s="3">
        <v>4.08</v>
      </c>
      <c r="O261" s="3">
        <f t="shared" si="274"/>
        <v>467.3</v>
      </c>
      <c r="P261" s="3">
        <f t="shared" si="275"/>
        <v>467.3</v>
      </c>
      <c r="Q261" s="3">
        <f>(ROUND((ROUND(((ET261)*AV261*I261),2)*BB261),2)+ROUND((ROUND(((AE261-(EU261))*AV261*I261),2)*BS261),2))</f>
        <v>0</v>
      </c>
      <c r="R261" s="3">
        <f>(ROUND((ROUND(((EU261)*AV261*I261),2)*BS261),2)+ROUND((ROUND(((AE261-(EU261))*AV261*I261),2)*BS261),2))</f>
        <v>0</v>
      </c>
      <c r="S261" s="3">
        <f t="shared" si="276"/>
        <v>0</v>
      </c>
      <c r="T261" s="3">
        <f t="shared" si="277"/>
        <v>0</v>
      </c>
      <c r="U261" s="3">
        <f t="shared" si="278"/>
        <v>0</v>
      </c>
      <c r="V261" s="3">
        <f t="shared" si="279"/>
        <v>0</v>
      </c>
      <c r="W261" s="3">
        <f t="shared" si="280"/>
        <v>0</v>
      </c>
      <c r="X261" s="3">
        <f>(ROUND((((S261+ROUND((ROUND(((EU261)*AV261*I261),2)*BS261),2))*AT261)/100),2)+ROUND(((ROUND((ROUND(((AE261-(EU261))*AV261*I261),2)*BS261),2)*AT261)/100),2))</f>
        <v>0</v>
      </c>
      <c r="Y261" s="3">
        <f>(ROUND((((S261+ROUND((ROUND(((EU261)*AV261*I261),2)*BS261),2))*AU261)/100),2)+ROUND(((ROUND((ROUND(((AE261-(EU261))*AV261*I261),2)*BS261),2)*AU261)/100),2))</f>
        <v>0</v>
      </c>
      <c r="AA261" s="3">
        <v>57248837</v>
      </c>
      <c r="AB261" s="3">
        <f t="shared" si="281"/>
        <v>11.64</v>
      </c>
      <c r="AC261" s="3">
        <f>ROUND((ES261),6)</f>
        <v>11.64</v>
      </c>
      <c r="AD261" s="3">
        <f>ROUND((((ET261)-(EU261))+AE261),6)</f>
        <v>0</v>
      </c>
      <c r="AE261" s="3">
        <f>ROUND((EU261),6)</f>
        <v>0</v>
      </c>
      <c r="AF261" s="3">
        <f>ROUND((EV261),6)</f>
        <v>0</v>
      </c>
      <c r="AG261" s="3">
        <f t="shared" si="282"/>
        <v>0</v>
      </c>
      <c r="AH261" s="3">
        <f>(EW261)</f>
        <v>0</v>
      </c>
      <c r="AI261" s="3">
        <f>(EX261)</f>
        <v>0</v>
      </c>
      <c r="AJ261" s="3">
        <f t="shared" si="283"/>
        <v>0</v>
      </c>
      <c r="AK261" s="3">
        <v>11.64</v>
      </c>
      <c r="AL261" s="3">
        <v>11.64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1</v>
      </c>
      <c r="AW261" s="3">
        <v>1</v>
      </c>
      <c r="AZ261" s="3">
        <v>1</v>
      </c>
      <c r="BA261" s="3">
        <v>1</v>
      </c>
      <c r="BB261" s="3">
        <v>1</v>
      </c>
      <c r="BC261" s="3">
        <v>9.84</v>
      </c>
      <c r="BD261" s="3" t="s">
        <v>3</v>
      </c>
      <c r="BE261" s="3" t="s">
        <v>3</v>
      </c>
      <c r="BF261" s="3" t="s">
        <v>3</v>
      </c>
      <c r="BG261" s="3" t="s">
        <v>3</v>
      </c>
      <c r="BH261" s="3">
        <v>3</v>
      </c>
      <c r="BI261" s="3">
        <v>2</v>
      </c>
      <c r="BJ261" s="3" t="s">
        <v>397</v>
      </c>
      <c r="BM261" s="3">
        <v>400006</v>
      </c>
      <c r="BN261" s="3">
        <v>0</v>
      </c>
      <c r="BO261" s="3" t="s">
        <v>3</v>
      </c>
      <c r="BP261" s="3">
        <v>0</v>
      </c>
      <c r="BQ261" s="3">
        <v>215</v>
      </c>
      <c r="BR261" s="3">
        <v>0</v>
      </c>
      <c r="BS261" s="3">
        <v>1</v>
      </c>
      <c r="BT261" s="3">
        <v>1</v>
      </c>
      <c r="BU261" s="3">
        <v>1</v>
      </c>
      <c r="BV261" s="3">
        <v>1</v>
      </c>
      <c r="BW261" s="3">
        <v>1</v>
      </c>
      <c r="BX261" s="3">
        <v>1</v>
      </c>
      <c r="BY261" s="3" t="s">
        <v>3</v>
      </c>
      <c r="BZ261" s="3">
        <v>0</v>
      </c>
      <c r="CA261" s="3">
        <v>0</v>
      </c>
      <c r="CB261" s="3" t="s">
        <v>3</v>
      </c>
      <c r="CE261" s="3">
        <v>1566</v>
      </c>
      <c r="CF261" s="3">
        <v>0</v>
      </c>
      <c r="CG261" s="3">
        <v>0</v>
      </c>
      <c r="CM261" s="3">
        <v>0</v>
      </c>
      <c r="CN261" s="3" t="s">
        <v>3</v>
      </c>
      <c r="CO261" s="3">
        <v>0</v>
      </c>
      <c r="CP261" s="3">
        <f t="shared" si="284"/>
        <v>467.3</v>
      </c>
      <c r="CQ261" s="3">
        <f t="shared" si="285"/>
        <v>114.54</v>
      </c>
      <c r="CR261" s="3">
        <f>(ROUND((ROUND(((ET261)*AV261*1),2)*BB261),2)+ROUND((ROUND(((AE261-(EU261))*AV261*1),2)*BS261),2))</f>
        <v>0</v>
      </c>
      <c r="CS261" s="3">
        <f>(ROUND((ROUND(((EU261)*AV261*1),2)*BS261),2)+ROUND((ROUND(((AE261-(EU261))*AV261*1),2)*BS261),2))</f>
        <v>0</v>
      </c>
      <c r="CT261" s="3">
        <f t="shared" si="286"/>
        <v>0</v>
      </c>
      <c r="CU261" s="3">
        <f t="shared" si="287"/>
        <v>0</v>
      </c>
      <c r="CV261" s="3">
        <f t="shared" si="288"/>
        <v>0</v>
      </c>
      <c r="CW261" s="3">
        <f t="shared" si="289"/>
        <v>0</v>
      </c>
      <c r="CX261" s="3">
        <f t="shared" si="290"/>
        <v>0</v>
      </c>
      <c r="CY261" s="3">
        <f>(ROUND((((S261+ROUND((ROUND(((EU261)*AV261*1),2)*BS261),2))*AT261)/100),2)+ROUND(((ROUND((ROUND(((AE261-(EU261))*AV261*1),2)*BS261),2)*AT261)/100),2))</f>
        <v>0</v>
      </c>
      <c r="CZ261" s="3">
        <f>(ROUND((((S261+ROUND((ROUND(((EU261)*AV261*1),2)*BS261),2))*AU261)/100),2)+ROUND(((ROUND((ROUND(((AE261-(EU261))*AV261*1),2)*BS261),2)*AU261)/100),2))</f>
        <v>0</v>
      </c>
      <c r="DC261" s="3" t="s">
        <v>3</v>
      </c>
      <c r="DD261" s="3" t="s">
        <v>3</v>
      </c>
      <c r="DE261" s="3" t="s">
        <v>3</v>
      </c>
      <c r="DF261" s="3" t="s">
        <v>3</v>
      </c>
      <c r="DG261" s="3" t="s">
        <v>3</v>
      </c>
      <c r="DH261" s="3" t="s">
        <v>3</v>
      </c>
      <c r="DI261" s="3" t="s">
        <v>3</v>
      </c>
      <c r="DJ261" s="3" t="s">
        <v>3</v>
      </c>
      <c r="DK261" s="3" t="s">
        <v>3</v>
      </c>
      <c r="DL261" s="3" t="s">
        <v>3</v>
      </c>
      <c r="DM261" s="3" t="s">
        <v>3</v>
      </c>
      <c r="DN261" s="3">
        <v>0</v>
      </c>
      <c r="DO261" s="3">
        <v>0</v>
      </c>
      <c r="DP261" s="3">
        <v>1</v>
      </c>
      <c r="DQ261" s="3">
        <v>1</v>
      </c>
      <c r="DU261" s="3">
        <v>1003</v>
      </c>
      <c r="DV261" s="3" t="s">
        <v>341</v>
      </c>
      <c r="DW261" s="3" t="s">
        <v>341</v>
      </c>
      <c r="DX261" s="3">
        <v>1</v>
      </c>
      <c r="DZ261" s="3" t="s">
        <v>3</v>
      </c>
      <c r="EA261" s="3" t="s">
        <v>3</v>
      </c>
      <c r="EB261" s="3" t="s">
        <v>3</v>
      </c>
      <c r="EC261" s="3" t="s">
        <v>3</v>
      </c>
      <c r="EE261" s="3">
        <v>57248791</v>
      </c>
      <c r="EF261" s="3">
        <v>215</v>
      </c>
      <c r="EG261" s="3" t="s">
        <v>368</v>
      </c>
      <c r="EH261" s="3">
        <v>0</v>
      </c>
      <c r="EI261" s="3" t="s">
        <v>3</v>
      </c>
      <c r="EJ261" s="3">
        <v>2</v>
      </c>
      <c r="EK261" s="3">
        <v>400006</v>
      </c>
      <c r="EL261" s="3" t="s">
        <v>368</v>
      </c>
      <c r="EM261" s="3" t="s">
        <v>369</v>
      </c>
      <c r="EO261" s="3" t="s">
        <v>3</v>
      </c>
      <c r="EQ261" s="3">
        <v>16</v>
      </c>
      <c r="ER261" s="3">
        <v>0</v>
      </c>
      <c r="ES261" s="3">
        <v>11.64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5</v>
      </c>
      <c r="FC261" s="3">
        <v>1</v>
      </c>
      <c r="FD261" s="3">
        <v>18</v>
      </c>
      <c r="FF261" s="3">
        <v>136.97</v>
      </c>
      <c r="FQ261" s="3">
        <v>0</v>
      </c>
      <c r="FR261" s="3">
        <v>0</v>
      </c>
      <c r="FS261" s="3">
        <v>0</v>
      </c>
      <c r="FX261" s="3">
        <v>0</v>
      </c>
      <c r="FY261" s="3">
        <v>0</v>
      </c>
      <c r="GA261" s="3" t="s">
        <v>399</v>
      </c>
      <c r="GD261" s="3">
        <v>1</v>
      </c>
      <c r="GF261" s="3">
        <v>1773367642</v>
      </c>
      <c r="GG261" s="3">
        <v>2</v>
      </c>
      <c r="GH261" s="3">
        <v>3</v>
      </c>
      <c r="GI261" s="3">
        <v>5</v>
      </c>
      <c r="GJ261" s="3">
        <v>0</v>
      </c>
      <c r="GK261" s="3">
        <v>0</v>
      </c>
      <c r="GL261" s="3">
        <f t="shared" si="291"/>
        <v>0</v>
      </c>
      <c r="GM261" s="3">
        <f t="shared" si="292"/>
        <v>467.3</v>
      </c>
      <c r="GN261" s="3">
        <f t="shared" si="293"/>
        <v>0</v>
      </c>
      <c r="GO261" s="3">
        <f t="shared" si="294"/>
        <v>467.3</v>
      </c>
      <c r="GP261" s="3">
        <f t="shared" si="295"/>
        <v>0</v>
      </c>
      <c r="GR261" s="3">
        <v>1</v>
      </c>
      <c r="GS261" s="3">
        <v>1</v>
      </c>
      <c r="GT261" s="3">
        <v>0</v>
      </c>
      <c r="GU261" s="3" t="s">
        <v>3</v>
      </c>
      <c r="GV261" s="3">
        <f t="shared" si="296"/>
        <v>0</v>
      </c>
      <c r="GW261" s="3">
        <v>1</v>
      </c>
      <c r="GX261" s="3">
        <f t="shared" si="297"/>
        <v>0</v>
      </c>
      <c r="HA261" s="3">
        <v>0</v>
      </c>
      <c r="HB261" s="3">
        <v>0</v>
      </c>
      <c r="HC261" s="3">
        <f t="shared" si="298"/>
        <v>0</v>
      </c>
      <c r="HE261" s="3" t="s">
        <v>334</v>
      </c>
      <c r="HF261" s="3" t="s">
        <v>37</v>
      </c>
      <c r="HM261" s="3" t="s">
        <v>3</v>
      </c>
      <c r="HN261" s="3" t="s">
        <v>3</v>
      </c>
      <c r="HO261" s="3" t="s">
        <v>3</v>
      </c>
      <c r="HP261" s="3" t="s">
        <v>3</v>
      </c>
      <c r="HQ261" s="3" t="s">
        <v>3</v>
      </c>
      <c r="HS261" s="3">
        <v>0</v>
      </c>
      <c r="IK261" s="3">
        <v>0</v>
      </c>
    </row>
    <row r="262" spans="1:255" x14ac:dyDescent="0.2">
      <c r="A262" s="2">
        <v>17</v>
      </c>
      <c r="B262" s="2">
        <v>1</v>
      </c>
      <c r="C262" s="2">
        <f>ROW(SmtRes!A338)</f>
        <v>338</v>
      </c>
      <c r="D262" s="2">
        <f>ROW(EtalonRes!A418)</f>
        <v>418</v>
      </c>
      <c r="E262" s="2" t="s">
        <v>400</v>
      </c>
      <c r="F262" s="2" t="s">
        <v>401</v>
      </c>
      <c r="G262" s="2" t="s">
        <v>402</v>
      </c>
      <c r="H262" s="2" t="s">
        <v>117</v>
      </c>
      <c r="I262" s="2">
        <f>ROUND(2/100,9)</f>
        <v>0.02</v>
      </c>
      <c r="J262" s="2">
        <v>0</v>
      </c>
      <c r="K262" s="2">
        <f>ROUND(2/100,9)</f>
        <v>0.02</v>
      </c>
      <c r="L262" s="2"/>
      <c r="M262" s="2"/>
      <c r="N262" s="2"/>
      <c r="O262" s="2">
        <f t="shared" si="274"/>
        <v>40.44</v>
      </c>
      <c r="P262" s="2">
        <f t="shared" si="275"/>
        <v>33.78</v>
      </c>
      <c r="Q262" s="2">
        <f>(ROUND((ROUND((((ET262*1.2))*AV262*I262),2)*BB262),2)+ROUND((ROUND(((AE262-((EU262*1.2)))*AV262*I262),2)*BS262),2))</f>
        <v>1.55</v>
      </c>
      <c r="R262" s="2">
        <f>(ROUND((ROUND((((EU262*1.2))*AV262*I262),2)*BS262),2)+ROUND((ROUND(((AE262-((EU262*1.2)))*AV262*I262),2)*BS262),2))</f>
        <v>0.14000000000000001</v>
      </c>
      <c r="S262" s="2">
        <f t="shared" si="276"/>
        <v>5.1100000000000003</v>
      </c>
      <c r="T262" s="2">
        <f t="shared" si="277"/>
        <v>0</v>
      </c>
      <c r="U262" s="2">
        <f t="shared" si="278"/>
        <v>0.41461199999999998</v>
      </c>
      <c r="V262" s="2">
        <f t="shared" si="279"/>
        <v>0</v>
      </c>
      <c r="W262" s="2">
        <f t="shared" si="280"/>
        <v>0</v>
      </c>
      <c r="X262" s="2">
        <f>(ROUND((((S262+ROUND((ROUND((((EU262*1.2))*AV262*I262),2)*BS262),2))*AT262)/100),2)+ROUND(((ROUND((ROUND(((AE262-((EU262*1.2)))*AV262*I262),2)*BS262),2)*AT262)/100),2))</f>
        <v>5.09</v>
      </c>
      <c r="Y262" s="2">
        <f>(ROUND((((S262+ROUND((ROUND((((EU262*1.2))*AV262*I262),2)*BS262),2))*AU262)/100),2)+ROUND(((ROUND((ROUND(((AE262-((EU262*1.2)))*AV262*I262),2)*BS262),2)*AU262)/100),2))</f>
        <v>2.68</v>
      </c>
      <c r="Z262" s="2"/>
      <c r="AA262" s="2">
        <v>57248835</v>
      </c>
      <c r="AB262" s="2">
        <f t="shared" si="281"/>
        <v>2006.8579999999999</v>
      </c>
      <c r="AC262" s="2">
        <f>ROUND(((ES262*1)),6)</f>
        <v>1688.81</v>
      </c>
      <c r="AD262" s="2">
        <f>ROUND(((((ET262*1.2))-((EU262*1.2)))+AE262),6)</f>
        <v>74.111999999999995</v>
      </c>
      <c r="AE262" s="2">
        <f>ROUND(((EU262*1.2)),6)</f>
        <v>6.516</v>
      </c>
      <c r="AF262" s="2">
        <f>ROUND(((EV262*1.2)),6)</f>
        <v>243.93600000000001</v>
      </c>
      <c r="AG262" s="2">
        <f t="shared" si="282"/>
        <v>0</v>
      </c>
      <c r="AH262" s="2">
        <f>((EW262*1.2))</f>
        <v>19.8</v>
      </c>
      <c r="AI262" s="2">
        <f>((EX262*1.2))</f>
        <v>0</v>
      </c>
      <c r="AJ262" s="2">
        <f t="shared" si="283"/>
        <v>0</v>
      </c>
      <c r="AK262" s="2">
        <v>1953.85</v>
      </c>
      <c r="AL262" s="2">
        <v>1688.81</v>
      </c>
      <c r="AM262" s="2">
        <v>61.76</v>
      </c>
      <c r="AN262" s="2">
        <v>5.43</v>
      </c>
      <c r="AO262" s="2">
        <v>203.28</v>
      </c>
      <c r="AP262" s="2">
        <v>0</v>
      </c>
      <c r="AQ262" s="2">
        <v>16.5</v>
      </c>
      <c r="AR262" s="2">
        <v>0</v>
      </c>
      <c r="AS262" s="2">
        <v>0</v>
      </c>
      <c r="AT262" s="2">
        <v>97</v>
      </c>
      <c r="AU262" s="2">
        <v>51</v>
      </c>
      <c r="AV262" s="2">
        <v>1.0469999999999999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0</v>
      </c>
      <c r="BI262" s="2">
        <v>2</v>
      </c>
      <c r="BJ262" s="2" t="s">
        <v>403</v>
      </c>
      <c r="BK262" s="2"/>
      <c r="BL262" s="2"/>
      <c r="BM262" s="2">
        <v>67</v>
      </c>
      <c r="BN262" s="2">
        <v>0</v>
      </c>
      <c r="BO262" s="2" t="s">
        <v>401</v>
      </c>
      <c r="BP262" s="2">
        <v>1</v>
      </c>
      <c r="BQ262" s="2">
        <v>40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97</v>
      </c>
      <c r="CA262" s="2">
        <v>51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820</v>
      </c>
      <c r="CO262" s="2">
        <v>0</v>
      </c>
      <c r="CP262" s="2">
        <f t="shared" si="284"/>
        <v>40.44</v>
      </c>
      <c r="CQ262" s="2">
        <f t="shared" si="285"/>
        <v>1688.81</v>
      </c>
      <c r="CR262" s="2">
        <f>(ROUND((ROUND((((ET262*1.2))*AV262*1),2)*BB262),2)+ROUND((ROUND(((AE262-((EU262*1.2)))*AV262*1),2)*BS262),2))</f>
        <v>77.599999999999994</v>
      </c>
      <c r="CS262" s="2">
        <f>(ROUND((ROUND((((EU262*1.2))*AV262*1),2)*BS262),2)+ROUND((ROUND(((AE262-((EU262*1.2)))*AV262*1),2)*BS262),2))</f>
        <v>6.82</v>
      </c>
      <c r="CT262" s="2">
        <f t="shared" si="286"/>
        <v>255.4</v>
      </c>
      <c r="CU262" s="2">
        <f t="shared" si="287"/>
        <v>0</v>
      </c>
      <c r="CV262" s="2">
        <f t="shared" si="288"/>
        <v>20.730599999999999</v>
      </c>
      <c r="CW262" s="2">
        <f t="shared" si="289"/>
        <v>0</v>
      </c>
      <c r="CX262" s="2">
        <f t="shared" si="290"/>
        <v>0</v>
      </c>
      <c r="CY262" s="2">
        <f>(ROUND((((S262+ROUND((ROUND((((EU262*1.2))*AV262*1),2)*BS262),2))*AT262)/100),2)+ROUND(((ROUND((ROUND(((AE262-((EU262*1.2)))*AV262*1),2)*BS262),2)*AT262)/100),2))</f>
        <v>11.57</v>
      </c>
      <c r="CZ262" s="2">
        <f>(ROUND((((S262+ROUND((ROUND((((EU262*1.2))*AV262*1),2)*BS262),2))*AU262)/100),2)+ROUND(((ROUND((ROUND(((AE262-((EU262*1.2)))*AV262*1),2)*BS262),2)*AU262)/100),2))</f>
        <v>6.08</v>
      </c>
      <c r="DA262" s="2"/>
      <c r="DB262" s="2">
        <v>117</v>
      </c>
      <c r="DC262" s="2" t="s">
        <v>3</v>
      </c>
      <c r="DD262" s="2" t="s">
        <v>119</v>
      </c>
      <c r="DE262" s="2" t="s">
        <v>120</v>
      </c>
      <c r="DF262" s="2" t="s">
        <v>120</v>
      </c>
      <c r="DG262" s="2" t="s">
        <v>120</v>
      </c>
      <c r="DH262" s="2" t="s">
        <v>3</v>
      </c>
      <c r="DI262" s="2" t="s">
        <v>120</v>
      </c>
      <c r="DJ262" s="2" t="s">
        <v>120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1003</v>
      </c>
      <c r="DV262" s="2" t="s">
        <v>117</v>
      </c>
      <c r="DW262" s="2" t="s">
        <v>117</v>
      </c>
      <c r="DX262" s="2">
        <v>100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57248651</v>
      </c>
      <c r="EF262" s="2">
        <v>40</v>
      </c>
      <c r="EG262" s="2" t="s">
        <v>33</v>
      </c>
      <c r="EH262" s="2">
        <v>0</v>
      </c>
      <c r="EI262" s="2" t="s">
        <v>3</v>
      </c>
      <c r="EJ262" s="2">
        <v>2</v>
      </c>
      <c r="EK262" s="2">
        <v>67</v>
      </c>
      <c r="EL262" s="2" t="s">
        <v>69</v>
      </c>
      <c r="EM262" s="2" t="s">
        <v>70</v>
      </c>
      <c r="EN262" s="2"/>
      <c r="EO262" s="2" t="s">
        <v>124</v>
      </c>
      <c r="EP262" s="2"/>
      <c r="EQ262" s="2">
        <v>131072</v>
      </c>
      <c r="ER262" s="2">
        <v>1953.85</v>
      </c>
      <c r="ES262" s="2">
        <v>1688.81</v>
      </c>
      <c r="ET262" s="2">
        <v>61.76</v>
      </c>
      <c r="EU262" s="2">
        <v>5.43</v>
      </c>
      <c r="EV262" s="2">
        <v>203.28</v>
      </c>
      <c r="EW262" s="2">
        <v>16.5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97</v>
      </c>
      <c r="FY262" s="2">
        <v>51</v>
      </c>
      <c r="FZ262" s="2"/>
      <c r="GA262" s="2" t="s">
        <v>3</v>
      </c>
      <c r="GB262" s="2"/>
      <c r="GC262" s="2"/>
      <c r="GD262" s="2">
        <v>1</v>
      </c>
      <c r="GE262" s="2"/>
      <c r="GF262" s="2">
        <v>-95014627</v>
      </c>
      <c r="GG262" s="2">
        <v>2</v>
      </c>
      <c r="GH262" s="2">
        <v>1</v>
      </c>
      <c r="GI262" s="2">
        <v>2</v>
      </c>
      <c r="GJ262" s="2">
        <v>0</v>
      </c>
      <c r="GK262" s="2">
        <v>0</v>
      </c>
      <c r="GL262" s="2">
        <f t="shared" si="291"/>
        <v>0</v>
      </c>
      <c r="GM262" s="2">
        <f t="shared" si="292"/>
        <v>48.21</v>
      </c>
      <c r="GN262" s="2">
        <f t="shared" si="293"/>
        <v>0</v>
      </c>
      <c r="GO262" s="2">
        <f t="shared" si="294"/>
        <v>48.21</v>
      </c>
      <c r="GP262" s="2">
        <f t="shared" si="295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296"/>
        <v>0</v>
      </c>
      <c r="GW262" s="2">
        <v>1</v>
      </c>
      <c r="GX262" s="2">
        <f t="shared" si="297"/>
        <v>0</v>
      </c>
      <c r="GY262" s="2"/>
      <c r="GZ262" s="2"/>
      <c r="HA262" s="2">
        <v>0</v>
      </c>
      <c r="HB262" s="2">
        <v>0</v>
      </c>
      <c r="HC262" s="2">
        <f t="shared" si="298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3">
        <v>17</v>
      </c>
      <c r="B263" s="3">
        <v>1</v>
      </c>
      <c r="C263" s="3">
        <f>ROW(SmtRes!A350)</f>
        <v>350</v>
      </c>
      <c r="D263" s="3">
        <f>ROW(EtalonRes!A434)</f>
        <v>434</v>
      </c>
      <c r="E263" s="3" t="s">
        <v>400</v>
      </c>
      <c r="F263" s="3" t="s">
        <v>401</v>
      </c>
      <c r="G263" s="3" t="s">
        <v>402</v>
      </c>
      <c r="H263" s="3" t="s">
        <v>117</v>
      </c>
      <c r="I263" s="3">
        <f>ROUND(2/100,9)</f>
        <v>0.02</v>
      </c>
      <c r="J263" s="3">
        <v>0</v>
      </c>
      <c r="K263" s="3">
        <f>ROUND(2/100,9)</f>
        <v>0.02</v>
      </c>
      <c r="O263" s="3">
        <f t="shared" si="274"/>
        <v>474.19</v>
      </c>
      <c r="P263" s="3">
        <f t="shared" si="275"/>
        <v>162.13999999999999</v>
      </c>
      <c r="Q263" s="3">
        <f>(ROUND((ROUND((((ET263*1.2))*AV263*I263),2)*BB263),2)+ROUND((ROUND(((AE263-((EU263*1.2)))*AV263*I263),2)*BS263),2))</f>
        <v>24.1</v>
      </c>
      <c r="R263" s="3">
        <f>(ROUND((ROUND((((EU263*1.2))*AV263*I263),2)*BS263),2)+ROUND((ROUND(((AE263-((EU263*1.2)))*AV263*I263),2)*BS263),2))</f>
        <v>7.89</v>
      </c>
      <c r="S263" s="3">
        <f t="shared" si="276"/>
        <v>287.95</v>
      </c>
      <c r="T263" s="3">
        <f t="shared" si="277"/>
        <v>0</v>
      </c>
      <c r="U263" s="3">
        <f t="shared" si="278"/>
        <v>0.41461199999999998</v>
      </c>
      <c r="V263" s="3">
        <f t="shared" si="279"/>
        <v>0</v>
      </c>
      <c r="W263" s="3">
        <f t="shared" si="280"/>
        <v>0</v>
      </c>
      <c r="X263" s="3">
        <f>(ROUND((((S263+ROUND((ROUND((((EU263*1.2))*AV263*I263),2)*BS263),2))*AT263)/100),2)+ROUND(((ROUND((ROUND(((AE263-((EU263*1.2)))*AV263*I263),2)*BS263),2)*AT263)/100),2))</f>
        <v>286.95999999999998</v>
      </c>
      <c r="Y263" s="3">
        <f>(ROUND((((S263+ROUND((ROUND((((EU263*1.2))*AV263*I263),2)*BS263),2))*AU263)/100),2)+ROUND(((ROUND((ROUND(((AE263-((EU263*1.2)))*AV263*I263),2)*BS263),2)*AU263)/100),2))</f>
        <v>150.88</v>
      </c>
      <c r="AA263" s="3">
        <v>57248837</v>
      </c>
      <c r="AB263" s="3">
        <f t="shared" si="281"/>
        <v>2006.8579999999999</v>
      </c>
      <c r="AC263" s="3">
        <f>ROUND(((ES263*1)),6)</f>
        <v>1688.81</v>
      </c>
      <c r="AD263" s="3">
        <f>ROUND(((((ET263*1.2))-((EU263*1.2)))+AE263),6)</f>
        <v>74.111999999999995</v>
      </c>
      <c r="AE263" s="3">
        <f>ROUND(((EU263*1.2)),6)</f>
        <v>6.516</v>
      </c>
      <c r="AF263" s="3">
        <f>ROUND(((EV263*1.2)),6)</f>
        <v>243.93600000000001</v>
      </c>
      <c r="AG263" s="3">
        <f t="shared" si="282"/>
        <v>0</v>
      </c>
      <c r="AH263" s="3">
        <f>((EW263*1.2))</f>
        <v>19.8</v>
      </c>
      <c r="AI263" s="3">
        <f>((EX263*1.2))</f>
        <v>0</v>
      </c>
      <c r="AJ263" s="3">
        <f t="shared" si="283"/>
        <v>0</v>
      </c>
      <c r="AK263" s="3">
        <v>1953.85</v>
      </c>
      <c r="AL263" s="3">
        <v>1688.81</v>
      </c>
      <c r="AM263" s="3">
        <v>61.76</v>
      </c>
      <c r="AN263" s="3">
        <v>5.43</v>
      </c>
      <c r="AO263" s="3">
        <v>203.28</v>
      </c>
      <c r="AP263" s="3">
        <v>0</v>
      </c>
      <c r="AQ263" s="3">
        <v>16.5</v>
      </c>
      <c r="AR263" s="3">
        <v>0</v>
      </c>
      <c r="AS263" s="3">
        <v>0</v>
      </c>
      <c r="AT263" s="3">
        <v>97</v>
      </c>
      <c r="AU263" s="3">
        <v>51</v>
      </c>
      <c r="AV263" s="3">
        <v>1.0469999999999999</v>
      </c>
      <c r="AW263" s="3">
        <v>1</v>
      </c>
      <c r="AZ263" s="3">
        <v>1</v>
      </c>
      <c r="BA263" s="3">
        <v>56.35</v>
      </c>
      <c r="BB263" s="3">
        <v>15.55</v>
      </c>
      <c r="BC263" s="3">
        <v>4.8</v>
      </c>
      <c r="BD263" s="3" t="s">
        <v>3</v>
      </c>
      <c r="BE263" s="3" t="s">
        <v>3</v>
      </c>
      <c r="BF263" s="3" t="s">
        <v>3</v>
      </c>
      <c r="BG263" s="3" t="s">
        <v>3</v>
      </c>
      <c r="BH263" s="3">
        <v>0</v>
      </c>
      <c r="BI263" s="3">
        <v>2</v>
      </c>
      <c r="BJ263" s="3" t="s">
        <v>403</v>
      </c>
      <c r="BM263" s="3">
        <v>67</v>
      </c>
      <c r="BN263" s="3">
        <v>0</v>
      </c>
      <c r="BO263" s="3" t="s">
        <v>401</v>
      </c>
      <c r="BP263" s="3">
        <v>1</v>
      </c>
      <c r="BQ263" s="3">
        <v>40</v>
      </c>
      <c r="BR263" s="3">
        <v>0</v>
      </c>
      <c r="BS263" s="3">
        <v>56.35</v>
      </c>
      <c r="BT263" s="3">
        <v>1</v>
      </c>
      <c r="BU263" s="3">
        <v>1</v>
      </c>
      <c r="BV263" s="3">
        <v>1</v>
      </c>
      <c r="BW263" s="3">
        <v>1</v>
      </c>
      <c r="BX263" s="3">
        <v>1</v>
      </c>
      <c r="BY263" s="3" t="s">
        <v>3</v>
      </c>
      <c r="BZ263" s="3">
        <v>97</v>
      </c>
      <c r="CA263" s="3">
        <v>51</v>
      </c>
      <c r="CB263" s="3" t="s">
        <v>3</v>
      </c>
      <c r="CE263" s="3">
        <v>1566</v>
      </c>
      <c r="CF263" s="3">
        <v>0</v>
      </c>
      <c r="CG263" s="3">
        <v>0</v>
      </c>
      <c r="CM263" s="3">
        <v>0</v>
      </c>
      <c r="CN263" s="3" t="s">
        <v>820</v>
      </c>
      <c r="CO263" s="3">
        <v>0</v>
      </c>
      <c r="CP263" s="3">
        <f t="shared" si="284"/>
        <v>474.18999999999994</v>
      </c>
      <c r="CQ263" s="3">
        <f t="shared" si="285"/>
        <v>8106.29</v>
      </c>
      <c r="CR263" s="3">
        <f>(ROUND((ROUND((((ET263*1.2))*AV263*1),2)*BB263),2)+ROUND((ROUND(((AE263-((EU263*1.2)))*AV263*1),2)*BS263),2))</f>
        <v>1206.68</v>
      </c>
      <c r="CS263" s="3">
        <f>(ROUND((ROUND((((EU263*1.2))*AV263*1),2)*BS263),2)+ROUND((ROUND(((AE263-((EU263*1.2)))*AV263*1),2)*BS263),2))</f>
        <v>384.31</v>
      </c>
      <c r="CT263" s="3">
        <f t="shared" si="286"/>
        <v>14391.79</v>
      </c>
      <c r="CU263" s="3">
        <f t="shared" si="287"/>
        <v>0</v>
      </c>
      <c r="CV263" s="3">
        <f t="shared" si="288"/>
        <v>20.730599999999999</v>
      </c>
      <c r="CW263" s="3">
        <f t="shared" si="289"/>
        <v>0</v>
      </c>
      <c r="CX263" s="3">
        <f t="shared" si="290"/>
        <v>0</v>
      </c>
      <c r="CY263" s="3">
        <f>(ROUND((((S263+ROUND((ROUND((((EU263*1.2))*AV263*1),2)*BS263),2))*AT263)/100),2)+ROUND(((ROUND((ROUND(((AE263-((EU263*1.2)))*AV263*1),2)*BS263),2)*AT263)/100),2))</f>
        <v>652.09</v>
      </c>
      <c r="CZ263" s="3">
        <f>(ROUND((((S263+ROUND((ROUND((((EU263*1.2))*AV263*1),2)*BS263),2))*AU263)/100),2)+ROUND(((ROUND((ROUND(((AE263-((EU263*1.2)))*AV263*1),2)*BS263),2)*AU263)/100),2))</f>
        <v>342.85</v>
      </c>
      <c r="DB263" s="3">
        <v>118</v>
      </c>
      <c r="DC263" s="3" t="s">
        <v>3</v>
      </c>
      <c r="DD263" s="3" t="s">
        <v>119</v>
      </c>
      <c r="DE263" s="3" t="s">
        <v>120</v>
      </c>
      <c r="DF263" s="3" t="s">
        <v>120</v>
      </c>
      <c r="DG263" s="3" t="s">
        <v>120</v>
      </c>
      <c r="DH263" s="3" t="s">
        <v>3</v>
      </c>
      <c r="DI263" s="3" t="s">
        <v>120</v>
      </c>
      <c r="DJ263" s="3" t="s">
        <v>120</v>
      </c>
      <c r="DK263" s="3" t="s">
        <v>3</v>
      </c>
      <c r="DL263" s="3" t="s">
        <v>3</v>
      </c>
      <c r="DM263" s="3" t="s">
        <v>3</v>
      </c>
      <c r="DN263" s="3">
        <v>0</v>
      </c>
      <c r="DO263" s="3">
        <v>0</v>
      </c>
      <c r="DP263" s="3">
        <v>1</v>
      </c>
      <c r="DQ263" s="3">
        <v>1</v>
      </c>
      <c r="DU263" s="3">
        <v>1003</v>
      </c>
      <c r="DV263" s="3" t="s">
        <v>117</v>
      </c>
      <c r="DW263" s="3" t="s">
        <v>117</v>
      </c>
      <c r="DX263" s="3">
        <v>100</v>
      </c>
      <c r="DZ263" s="3" t="s">
        <v>3</v>
      </c>
      <c r="EA263" s="3" t="s">
        <v>3</v>
      </c>
      <c r="EB263" s="3" t="s">
        <v>3</v>
      </c>
      <c r="EC263" s="3" t="s">
        <v>3</v>
      </c>
      <c r="EE263" s="3">
        <v>57248651</v>
      </c>
      <c r="EF263" s="3">
        <v>40</v>
      </c>
      <c r="EG263" s="3" t="s">
        <v>33</v>
      </c>
      <c r="EH263" s="3">
        <v>0</v>
      </c>
      <c r="EI263" s="3" t="s">
        <v>3</v>
      </c>
      <c r="EJ263" s="3">
        <v>2</v>
      </c>
      <c r="EK263" s="3">
        <v>67</v>
      </c>
      <c r="EL263" s="3" t="s">
        <v>69</v>
      </c>
      <c r="EM263" s="3" t="s">
        <v>70</v>
      </c>
      <c r="EO263" s="3" t="s">
        <v>124</v>
      </c>
      <c r="EQ263" s="3">
        <v>131072</v>
      </c>
      <c r="ER263" s="3">
        <v>1953.85</v>
      </c>
      <c r="ES263" s="3">
        <v>1688.81</v>
      </c>
      <c r="ET263" s="3">
        <v>61.76</v>
      </c>
      <c r="EU263" s="3">
        <v>5.43</v>
      </c>
      <c r="EV263" s="3">
        <v>203.28</v>
      </c>
      <c r="EW263" s="3">
        <v>16.5</v>
      </c>
      <c r="EX263" s="3">
        <v>0</v>
      </c>
      <c r="EY263" s="3">
        <v>0</v>
      </c>
      <c r="FQ263" s="3">
        <v>0</v>
      </c>
      <c r="FR263" s="3">
        <v>0</v>
      </c>
      <c r="FS263" s="3">
        <v>0</v>
      </c>
      <c r="FX263" s="3">
        <v>97</v>
      </c>
      <c r="FY263" s="3">
        <v>51</v>
      </c>
      <c r="GA263" s="3" t="s">
        <v>3</v>
      </c>
      <c r="GD263" s="3">
        <v>1</v>
      </c>
      <c r="GF263" s="3">
        <v>-95014627</v>
      </c>
      <c r="GG263" s="3">
        <v>2</v>
      </c>
      <c r="GH263" s="3">
        <v>1</v>
      </c>
      <c r="GI263" s="3">
        <v>2</v>
      </c>
      <c r="GJ263" s="3">
        <v>0</v>
      </c>
      <c r="GK263" s="3">
        <v>0</v>
      </c>
      <c r="GL263" s="3">
        <f t="shared" si="291"/>
        <v>0</v>
      </c>
      <c r="GM263" s="3">
        <f t="shared" si="292"/>
        <v>912.03</v>
      </c>
      <c r="GN263" s="3">
        <f t="shared" si="293"/>
        <v>0</v>
      </c>
      <c r="GO263" s="3">
        <f t="shared" si="294"/>
        <v>912.03</v>
      </c>
      <c r="GP263" s="3">
        <f t="shared" si="295"/>
        <v>0</v>
      </c>
      <c r="GR263" s="3">
        <v>0</v>
      </c>
      <c r="GS263" s="3">
        <v>3</v>
      </c>
      <c r="GT263" s="3">
        <v>0</v>
      </c>
      <c r="GU263" s="3" t="s">
        <v>3</v>
      </c>
      <c r="GV263" s="3">
        <f t="shared" si="296"/>
        <v>0</v>
      </c>
      <c r="GW263" s="3">
        <v>1</v>
      </c>
      <c r="GX263" s="3">
        <f t="shared" si="297"/>
        <v>0</v>
      </c>
      <c r="HA263" s="3">
        <v>0</v>
      </c>
      <c r="HB263" s="3">
        <v>0</v>
      </c>
      <c r="HC263" s="3">
        <f t="shared" si="298"/>
        <v>0</v>
      </c>
      <c r="HE263" s="3" t="s">
        <v>3</v>
      </c>
      <c r="HF263" s="3" t="s">
        <v>3</v>
      </c>
      <c r="HM263" s="3" t="s">
        <v>3</v>
      </c>
      <c r="HN263" s="3" t="s">
        <v>3</v>
      </c>
      <c r="HO263" s="3" t="s">
        <v>3</v>
      </c>
      <c r="HP263" s="3" t="s">
        <v>3</v>
      </c>
      <c r="HQ263" s="3" t="s">
        <v>3</v>
      </c>
      <c r="HS263" s="3">
        <v>0</v>
      </c>
      <c r="IK263" s="3">
        <v>0</v>
      </c>
    </row>
    <row r="264" spans="1:255" x14ac:dyDescent="0.2">
      <c r="A264" s="2">
        <v>18</v>
      </c>
      <c r="B264" s="2">
        <v>1</v>
      </c>
      <c r="C264" s="2">
        <v>334</v>
      </c>
      <c r="D264" s="2"/>
      <c r="E264" s="2" t="s">
        <v>404</v>
      </c>
      <c r="F264" s="2" t="s">
        <v>405</v>
      </c>
      <c r="G264" s="2" t="s">
        <v>406</v>
      </c>
      <c r="H264" s="2" t="s">
        <v>341</v>
      </c>
      <c r="I264" s="2">
        <f>I262*J264</f>
        <v>2.06</v>
      </c>
      <c r="J264" s="2">
        <v>103</v>
      </c>
      <c r="K264" s="2">
        <v>103</v>
      </c>
      <c r="L264" s="2"/>
      <c r="M264" s="2"/>
      <c r="N264" s="2"/>
      <c r="O264" s="2">
        <f t="shared" si="274"/>
        <v>67.900000000000006</v>
      </c>
      <c r="P264" s="2">
        <f t="shared" si="275"/>
        <v>67.900000000000006</v>
      </c>
      <c r="Q264" s="2">
        <f>(ROUND((ROUND(((ET264)*AV264*I264),2)*BB264),2)+ROUND((ROUND(((AE264-(EU264))*AV264*I264),2)*BS264),2))</f>
        <v>0</v>
      </c>
      <c r="R264" s="2">
        <f>(ROUND((ROUND(((EU264)*AV264*I264),2)*BS264),2)+ROUND((ROUND(((AE264-(EU264))*AV264*I264),2)*BS264),2))</f>
        <v>0</v>
      </c>
      <c r="S264" s="2">
        <f t="shared" si="276"/>
        <v>0</v>
      </c>
      <c r="T264" s="2">
        <f t="shared" si="277"/>
        <v>0</v>
      </c>
      <c r="U264" s="2">
        <f t="shared" si="278"/>
        <v>0</v>
      </c>
      <c r="V264" s="2">
        <f t="shared" si="279"/>
        <v>0</v>
      </c>
      <c r="W264" s="2">
        <f t="shared" si="280"/>
        <v>0</v>
      </c>
      <c r="X264" s="2">
        <f>(ROUND((((S264+ROUND((ROUND(((EU264)*AV264*I264),2)*BS264),2))*AT264)/100),2)+ROUND(((ROUND((ROUND(((AE264-(EU264))*AV264*I264),2)*BS264),2)*AT264)/100),2))</f>
        <v>0</v>
      </c>
      <c r="Y264" s="2">
        <f>(ROUND((((S264+ROUND((ROUND(((EU264)*AV264*I264),2)*BS264),2))*AU264)/100),2)+ROUND(((ROUND((ROUND(((AE264-(EU264))*AV264*I264),2)*BS264),2)*AU264)/100),2))</f>
        <v>0</v>
      </c>
      <c r="Z264" s="2"/>
      <c r="AA264" s="2">
        <v>57248835</v>
      </c>
      <c r="AB264" s="2">
        <f t="shared" si="281"/>
        <v>32.96</v>
      </c>
      <c r="AC264" s="2">
        <f>ROUND((ES264),6)</f>
        <v>32.96</v>
      </c>
      <c r="AD264" s="2">
        <f>ROUND((((ET264)-(EU264))+AE264),6)</f>
        <v>0</v>
      </c>
      <c r="AE264" s="2">
        <f>ROUND((EU264),6)</f>
        <v>0</v>
      </c>
      <c r="AF264" s="2">
        <f>ROUND((EV264),6)</f>
        <v>0</v>
      </c>
      <c r="AG264" s="2">
        <f t="shared" si="282"/>
        <v>0</v>
      </c>
      <c r="AH264" s="2">
        <f>(EW264)</f>
        <v>0</v>
      </c>
      <c r="AI264" s="2">
        <f>(EX264)</f>
        <v>0</v>
      </c>
      <c r="AJ264" s="2">
        <f t="shared" si="283"/>
        <v>0</v>
      </c>
      <c r="AK264" s="2">
        <v>32.96</v>
      </c>
      <c r="AL264" s="2">
        <v>32.96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97</v>
      </c>
      <c r="AU264" s="2">
        <v>51</v>
      </c>
      <c r="AV264" s="2">
        <v>1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3</v>
      </c>
      <c r="BI264" s="2">
        <v>2</v>
      </c>
      <c r="BJ264" s="2" t="s">
        <v>407</v>
      </c>
      <c r="BK264" s="2"/>
      <c r="BL264" s="2"/>
      <c r="BM264" s="2">
        <v>67</v>
      </c>
      <c r="BN264" s="2">
        <v>0</v>
      </c>
      <c r="BO264" s="2" t="s">
        <v>3</v>
      </c>
      <c r="BP264" s="2">
        <v>0</v>
      </c>
      <c r="BQ264" s="2">
        <v>40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97</v>
      </c>
      <c r="CA264" s="2">
        <v>51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821</v>
      </c>
      <c r="CO264" s="2">
        <v>0</v>
      </c>
      <c r="CP264" s="2">
        <f t="shared" si="284"/>
        <v>67.900000000000006</v>
      </c>
      <c r="CQ264" s="2">
        <f t="shared" si="285"/>
        <v>32.96</v>
      </c>
      <c r="CR264" s="2">
        <f>(ROUND((ROUND(((ET264)*AV264*1),2)*BB264),2)+ROUND((ROUND(((AE264-(EU264))*AV264*1),2)*BS264),2))</f>
        <v>0</v>
      </c>
      <c r="CS264" s="2">
        <f>(ROUND((ROUND(((EU264)*AV264*1),2)*BS264),2)+ROUND((ROUND(((AE264-(EU264))*AV264*1),2)*BS264),2))</f>
        <v>0</v>
      </c>
      <c r="CT264" s="2">
        <f t="shared" si="286"/>
        <v>0</v>
      </c>
      <c r="CU264" s="2">
        <f t="shared" si="287"/>
        <v>0</v>
      </c>
      <c r="CV264" s="2">
        <f t="shared" si="288"/>
        <v>0</v>
      </c>
      <c r="CW264" s="2">
        <f t="shared" si="289"/>
        <v>0</v>
      </c>
      <c r="CX264" s="2">
        <f t="shared" si="290"/>
        <v>0</v>
      </c>
      <c r="CY264" s="2">
        <f>(ROUND((((S264+ROUND((ROUND(((EU264)*AV264*1),2)*BS264),2))*AT264)/100),2)+ROUND(((ROUND((ROUND(((AE264-(EU264))*AV264*1),2)*BS264),2)*AT264)/100),2))</f>
        <v>0</v>
      </c>
      <c r="CZ264" s="2">
        <f>(ROUND((((S264+ROUND((ROUND(((EU264)*AV264*1),2)*BS264),2))*AU264)/100),2)+ROUND(((ROUND((ROUND(((AE264-(EU264))*AV264*1),2)*BS264),2)*AU264)/100),2))</f>
        <v>0</v>
      </c>
      <c r="DA264" s="2"/>
      <c r="DB264" s="2"/>
      <c r="DC264" s="2" t="s">
        <v>3</v>
      </c>
      <c r="DD264" s="2" t="s">
        <v>3</v>
      </c>
      <c r="DE264" s="2" t="s">
        <v>3</v>
      </c>
      <c r="DF264" s="2" t="s">
        <v>3</v>
      </c>
      <c r="DG264" s="2" t="s">
        <v>3</v>
      </c>
      <c r="DH264" s="2" t="s">
        <v>3</v>
      </c>
      <c r="DI264" s="2" t="s">
        <v>3</v>
      </c>
      <c r="DJ264" s="2" t="s">
        <v>3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1003</v>
      </c>
      <c r="DV264" s="2" t="s">
        <v>341</v>
      </c>
      <c r="DW264" s="2" t="s">
        <v>341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57248651</v>
      </c>
      <c r="EF264" s="2">
        <v>40</v>
      </c>
      <c r="EG264" s="2" t="s">
        <v>33</v>
      </c>
      <c r="EH264" s="2">
        <v>0</v>
      </c>
      <c r="EI264" s="2" t="s">
        <v>3</v>
      </c>
      <c r="EJ264" s="2">
        <v>2</v>
      </c>
      <c r="EK264" s="2">
        <v>67</v>
      </c>
      <c r="EL264" s="2" t="s">
        <v>69</v>
      </c>
      <c r="EM264" s="2" t="s">
        <v>70</v>
      </c>
      <c r="EN264" s="2"/>
      <c r="EO264" s="2" t="s">
        <v>124</v>
      </c>
      <c r="EP264" s="2"/>
      <c r="EQ264" s="2">
        <v>0</v>
      </c>
      <c r="ER264" s="2">
        <v>32.96</v>
      </c>
      <c r="ES264" s="2">
        <v>32.96</v>
      </c>
      <c r="ET264" s="2">
        <v>0</v>
      </c>
      <c r="EU264" s="2">
        <v>0</v>
      </c>
      <c r="EV264" s="2">
        <v>0</v>
      </c>
      <c r="EW264" s="2">
        <v>0</v>
      </c>
      <c r="EX264" s="2">
        <v>0</v>
      </c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97</v>
      </c>
      <c r="FY264" s="2">
        <v>51</v>
      </c>
      <c r="FZ264" s="2"/>
      <c r="GA264" s="2" t="s">
        <v>3</v>
      </c>
      <c r="GB264" s="2"/>
      <c r="GC264" s="2"/>
      <c r="GD264" s="2">
        <v>1</v>
      </c>
      <c r="GE264" s="2"/>
      <c r="GF264" s="2">
        <v>-511472295</v>
      </c>
      <c r="GG264" s="2">
        <v>2</v>
      </c>
      <c r="GH264" s="2">
        <v>1</v>
      </c>
      <c r="GI264" s="2">
        <v>-2</v>
      </c>
      <c r="GJ264" s="2">
        <v>0</v>
      </c>
      <c r="GK264" s="2">
        <v>0</v>
      </c>
      <c r="GL264" s="2">
        <f t="shared" si="291"/>
        <v>0</v>
      </c>
      <c r="GM264" s="2">
        <f t="shared" si="292"/>
        <v>67.900000000000006</v>
      </c>
      <c r="GN264" s="2">
        <f t="shared" si="293"/>
        <v>0</v>
      </c>
      <c r="GO264" s="2">
        <f t="shared" si="294"/>
        <v>67.900000000000006</v>
      </c>
      <c r="GP264" s="2">
        <f t="shared" si="295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296"/>
        <v>0</v>
      </c>
      <c r="GW264" s="2">
        <v>1</v>
      </c>
      <c r="GX264" s="2">
        <f t="shared" si="297"/>
        <v>0</v>
      </c>
      <c r="GY264" s="2"/>
      <c r="GZ264" s="2"/>
      <c r="HA264" s="2">
        <v>0</v>
      </c>
      <c r="HB264" s="2">
        <v>0</v>
      </c>
      <c r="HC264" s="2">
        <f t="shared" si="298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3">
        <v>18</v>
      </c>
      <c r="B265" s="3">
        <v>1</v>
      </c>
      <c r="C265" s="3">
        <v>346</v>
      </c>
      <c r="E265" s="3" t="s">
        <v>404</v>
      </c>
      <c r="F265" s="3" t="s">
        <v>405</v>
      </c>
      <c r="G265" s="3" t="s">
        <v>406</v>
      </c>
      <c r="H265" s="3" t="s">
        <v>341</v>
      </c>
      <c r="I265" s="3">
        <f>I263*J265</f>
        <v>2.06</v>
      </c>
      <c r="J265" s="3">
        <v>103</v>
      </c>
      <c r="K265" s="3">
        <v>103</v>
      </c>
      <c r="O265" s="3">
        <f t="shared" si="274"/>
        <v>113.39</v>
      </c>
      <c r="P265" s="3">
        <f t="shared" si="275"/>
        <v>113.39</v>
      </c>
      <c r="Q265" s="3">
        <f>(ROUND((ROUND(((ET265)*AV265*I265),2)*BB265),2)+ROUND((ROUND(((AE265-(EU265))*AV265*I265),2)*BS265),2))</f>
        <v>0</v>
      </c>
      <c r="R265" s="3">
        <f>(ROUND((ROUND(((EU265)*AV265*I265),2)*BS265),2)+ROUND((ROUND(((AE265-(EU265))*AV265*I265),2)*BS265),2))</f>
        <v>0</v>
      </c>
      <c r="S265" s="3">
        <f t="shared" si="276"/>
        <v>0</v>
      </c>
      <c r="T265" s="3">
        <f t="shared" si="277"/>
        <v>0</v>
      </c>
      <c r="U265" s="3">
        <f t="shared" si="278"/>
        <v>0</v>
      </c>
      <c r="V265" s="3">
        <f t="shared" si="279"/>
        <v>0</v>
      </c>
      <c r="W265" s="3">
        <f t="shared" si="280"/>
        <v>0</v>
      </c>
      <c r="X265" s="3">
        <f>(ROUND((((S265+ROUND((ROUND(((EU265)*AV265*I265),2)*BS265),2))*AT265)/100),2)+ROUND(((ROUND((ROUND(((AE265-(EU265))*AV265*I265),2)*BS265),2)*AT265)/100),2))</f>
        <v>0</v>
      </c>
      <c r="Y265" s="3">
        <f>(ROUND((((S265+ROUND((ROUND(((EU265)*AV265*I265),2)*BS265),2))*AU265)/100),2)+ROUND(((ROUND((ROUND(((AE265-(EU265))*AV265*I265),2)*BS265),2)*AU265)/100),2))</f>
        <v>0</v>
      </c>
      <c r="AA265" s="3">
        <v>57248837</v>
      </c>
      <c r="AB265" s="3">
        <f t="shared" si="281"/>
        <v>32.96</v>
      </c>
      <c r="AC265" s="3">
        <f>ROUND((ES265),6)</f>
        <v>32.96</v>
      </c>
      <c r="AD265" s="3">
        <f>ROUND((((ET265)-(EU265))+AE265),6)</f>
        <v>0</v>
      </c>
      <c r="AE265" s="3">
        <f>ROUND((EU265),6)</f>
        <v>0</v>
      </c>
      <c r="AF265" s="3">
        <f>ROUND((EV265),6)</f>
        <v>0</v>
      </c>
      <c r="AG265" s="3">
        <f t="shared" si="282"/>
        <v>0</v>
      </c>
      <c r="AH265" s="3">
        <f>(EW265)</f>
        <v>0</v>
      </c>
      <c r="AI265" s="3">
        <f>(EX265)</f>
        <v>0</v>
      </c>
      <c r="AJ265" s="3">
        <f t="shared" si="283"/>
        <v>0</v>
      </c>
      <c r="AK265" s="3">
        <v>32.96</v>
      </c>
      <c r="AL265" s="3">
        <v>32.96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97</v>
      </c>
      <c r="AU265" s="3">
        <v>51</v>
      </c>
      <c r="AV265" s="3">
        <v>1</v>
      </c>
      <c r="AW265" s="3">
        <v>1</v>
      </c>
      <c r="AZ265" s="3">
        <v>1</v>
      </c>
      <c r="BA265" s="3">
        <v>1</v>
      </c>
      <c r="BB265" s="3">
        <v>1</v>
      </c>
      <c r="BC265" s="3">
        <v>1.67</v>
      </c>
      <c r="BD265" s="3" t="s">
        <v>3</v>
      </c>
      <c r="BE265" s="3" t="s">
        <v>3</v>
      </c>
      <c r="BF265" s="3" t="s">
        <v>3</v>
      </c>
      <c r="BG265" s="3" t="s">
        <v>3</v>
      </c>
      <c r="BH265" s="3">
        <v>3</v>
      </c>
      <c r="BI265" s="3">
        <v>2</v>
      </c>
      <c r="BJ265" s="3" t="s">
        <v>407</v>
      </c>
      <c r="BM265" s="3">
        <v>67</v>
      </c>
      <c r="BN265" s="3">
        <v>0</v>
      </c>
      <c r="BO265" s="3" t="s">
        <v>405</v>
      </c>
      <c r="BP265" s="3">
        <v>1</v>
      </c>
      <c r="BQ265" s="3">
        <v>40</v>
      </c>
      <c r="BR265" s="3">
        <v>0</v>
      </c>
      <c r="BS265" s="3">
        <v>1</v>
      </c>
      <c r="BT265" s="3">
        <v>1</v>
      </c>
      <c r="BU265" s="3">
        <v>1</v>
      </c>
      <c r="BV265" s="3">
        <v>1</v>
      </c>
      <c r="BW265" s="3">
        <v>1</v>
      </c>
      <c r="BX265" s="3">
        <v>1</v>
      </c>
      <c r="BY265" s="3" t="s">
        <v>3</v>
      </c>
      <c r="BZ265" s="3">
        <v>97</v>
      </c>
      <c r="CA265" s="3">
        <v>51</v>
      </c>
      <c r="CB265" s="3" t="s">
        <v>3</v>
      </c>
      <c r="CE265" s="3">
        <v>1566</v>
      </c>
      <c r="CF265" s="3">
        <v>0</v>
      </c>
      <c r="CG265" s="3">
        <v>0</v>
      </c>
      <c r="CM265" s="3">
        <v>0</v>
      </c>
      <c r="CN265" s="3" t="s">
        <v>821</v>
      </c>
      <c r="CO265" s="3">
        <v>0</v>
      </c>
      <c r="CP265" s="3">
        <f t="shared" si="284"/>
        <v>113.39</v>
      </c>
      <c r="CQ265" s="3">
        <f t="shared" si="285"/>
        <v>55.04</v>
      </c>
      <c r="CR265" s="3">
        <f>(ROUND((ROUND(((ET265)*AV265*1),2)*BB265),2)+ROUND((ROUND(((AE265-(EU265))*AV265*1),2)*BS265),2))</f>
        <v>0</v>
      </c>
      <c r="CS265" s="3">
        <f>(ROUND((ROUND(((EU265)*AV265*1),2)*BS265),2)+ROUND((ROUND(((AE265-(EU265))*AV265*1),2)*BS265),2))</f>
        <v>0</v>
      </c>
      <c r="CT265" s="3">
        <f t="shared" si="286"/>
        <v>0</v>
      </c>
      <c r="CU265" s="3">
        <f t="shared" si="287"/>
        <v>0</v>
      </c>
      <c r="CV265" s="3">
        <f t="shared" si="288"/>
        <v>0</v>
      </c>
      <c r="CW265" s="3">
        <f t="shared" si="289"/>
        <v>0</v>
      </c>
      <c r="CX265" s="3">
        <f t="shared" si="290"/>
        <v>0</v>
      </c>
      <c r="CY265" s="3">
        <f>(ROUND((((S265+ROUND((ROUND(((EU265)*AV265*1),2)*BS265),2))*AT265)/100),2)+ROUND(((ROUND((ROUND(((AE265-(EU265))*AV265*1),2)*BS265),2)*AT265)/100),2))</f>
        <v>0</v>
      </c>
      <c r="CZ265" s="3">
        <f>(ROUND((((S265+ROUND((ROUND(((EU265)*AV265*1),2)*BS265),2))*AU265)/100),2)+ROUND(((ROUND((ROUND(((AE265-(EU265))*AV265*1),2)*BS265),2)*AU265)/100),2))</f>
        <v>0</v>
      </c>
      <c r="DC265" s="3" t="s">
        <v>3</v>
      </c>
      <c r="DD265" s="3" t="s">
        <v>3</v>
      </c>
      <c r="DE265" s="3" t="s">
        <v>3</v>
      </c>
      <c r="DF265" s="3" t="s">
        <v>3</v>
      </c>
      <c r="DG265" s="3" t="s">
        <v>3</v>
      </c>
      <c r="DH265" s="3" t="s">
        <v>3</v>
      </c>
      <c r="DI265" s="3" t="s">
        <v>3</v>
      </c>
      <c r="DJ265" s="3" t="s">
        <v>3</v>
      </c>
      <c r="DK265" s="3" t="s">
        <v>3</v>
      </c>
      <c r="DL265" s="3" t="s">
        <v>3</v>
      </c>
      <c r="DM265" s="3" t="s">
        <v>3</v>
      </c>
      <c r="DN265" s="3">
        <v>0</v>
      </c>
      <c r="DO265" s="3">
        <v>0</v>
      </c>
      <c r="DP265" s="3">
        <v>1</v>
      </c>
      <c r="DQ265" s="3">
        <v>1</v>
      </c>
      <c r="DU265" s="3">
        <v>1003</v>
      </c>
      <c r="DV265" s="3" t="s">
        <v>341</v>
      </c>
      <c r="DW265" s="3" t="s">
        <v>341</v>
      </c>
      <c r="DX265" s="3">
        <v>1</v>
      </c>
      <c r="DZ265" s="3" t="s">
        <v>3</v>
      </c>
      <c r="EA265" s="3" t="s">
        <v>3</v>
      </c>
      <c r="EB265" s="3" t="s">
        <v>3</v>
      </c>
      <c r="EC265" s="3" t="s">
        <v>3</v>
      </c>
      <c r="EE265" s="3">
        <v>57248651</v>
      </c>
      <c r="EF265" s="3">
        <v>40</v>
      </c>
      <c r="EG265" s="3" t="s">
        <v>33</v>
      </c>
      <c r="EH265" s="3">
        <v>0</v>
      </c>
      <c r="EI265" s="3" t="s">
        <v>3</v>
      </c>
      <c r="EJ265" s="3">
        <v>2</v>
      </c>
      <c r="EK265" s="3">
        <v>67</v>
      </c>
      <c r="EL265" s="3" t="s">
        <v>69</v>
      </c>
      <c r="EM265" s="3" t="s">
        <v>70</v>
      </c>
      <c r="EO265" s="3" t="s">
        <v>124</v>
      </c>
      <c r="EQ265" s="3">
        <v>0</v>
      </c>
      <c r="ER265" s="3">
        <v>32.96</v>
      </c>
      <c r="ES265" s="3">
        <v>32.96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FQ265" s="3">
        <v>0</v>
      </c>
      <c r="FR265" s="3">
        <v>0</v>
      </c>
      <c r="FS265" s="3">
        <v>0</v>
      </c>
      <c r="FX265" s="3">
        <v>97</v>
      </c>
      <c r="FY265" s="3">
        <v>51</v>
      </c>
      <c r="GA265" s="3" t="s">
        <v>3</v>
      </c>
      <c r="GD265" s="3">
        <v>1</v>
      </c>
      <c r="GF265" s="3">
        <v>-511472295</v>
      </c>
      <c r="GG265" s="3">
        <v>2</v>
      </c>
      <c r="GH265" s="3">
        <v>1</v>
      </c>
      <c r="GI265" s="3">
        <v>2</v>
      </c>
      <c r="GJ265" s="3">
        <v>0</v>
      </c>
      <c r="GK265" s="3">
        <v>0</v>
      </c>
      <c r="GL265" s="3">
        <f t="shared" si="291"/>
        <v>0</v>
      </c>
      <c r="GM265" s="3">
        <f t="shared" si="292"/>
        <v>113.39</v>
      </c>
      <c r="GN265" s="3">
        <f t="shared" si="293"/>
        <v>0</v>
      </c>
      <c r="GO265" s="3">
        <f t="shared" si="294"/>
        <v>113.39</v>
      </c>
      <c r="GP265" s="3">
        <f t="shared" si="295"/>
        <v>0</v>
      </c>
      <c r="GR265" s="3">
        <v>0</v>
      </c>
      <c r="GS265" s="3">
        <v>3</v>
      </c>
      <c r="GT265" s="3">
        <v>0</v>
      </c>
      <c r="GU265" s="3" t="s">
        <v>3</v>
      </c>
      <c r="GV265" s="3">
        <f t="shared" si="296"/>
        <v>0</v>
      </c>
      <c r="GW265" s="3">
        <v>1</v>
      </c>
      <c r="GX265" s="3">
        <f t="shared" si="297"/>
        <v>0</v>
      </c>
      <c r="HA265" s="3">
        <v>0</v>
      </c>
      <c r="HB265" s="3">
        <v>0</v>
      </c>
      <c r="HC265" s="3">
        <f t="shared" si="298"/>
        <v>0</v>
      </c>
      <c r="HE265" s="3" t="s">
        <v>3</v>
      </c>
      <c r="HF265" s="3" t="s">
        <v>3</v>
      </c>
      <c r="HM265" s="3" t="s">
        <v>3</v>
      </c>
      <c r="HN265" s="3" t="s">
        <v>3</v>
      </c>
      <c r="HO265" s="3" t="s">
        <v>3</v>
      </c>
      <c r="HP265" s="3" t="s">
        <v>3</v>
      </c>
      <c r="HQ265" s="3" t="s">
        <v>3</v>
      </c>
      <c r="HS265" s="3">
        <v>0</v>
      </c>
      <c r="IK265" s="3">
        <v>0</v>
      </c>
    </row>
    <row r="266" spans="1:255" x14ac:dyDescent="0.2">
      <c r="A266" s="2">
        <v>17</v>
      </c>
      <c r="B266" s="2">
        <v>1</v>
      </c>
      <c r="C266" s="2">
        <f>ROW(SmtRes!A359)</f>
        <v>359</v>
      </c>
      <c r="D266" s="2">
        <f>ROW(EtalonRes!A444)</f>
        <v>444</v>
      </c>
      <c r="E266" s="2" t="s">
        <v>3</v>
      </c>
      <c r="F266" s="2" t="s">
        <v>408</v>
      </c>
      <c r="G266" s="2" t="s">
        <v>409</v>
      </c>
      <c r="H266" s="2" t="s">
        <v>117</v>
      </c>
      <c r="I266" s="2">
        <f>ROUND((642+150+2)/100,9)</f>
        <v>7.94</v>
      </c>
      <c r="J266" s="2">
        <v>0</v>
      </c>
      <c r="K266" s="2">
        <f>ROUND((642+150+2)/100,9)</f>
        <v>7.94</v>
      </c>
      <c r="L266" s="2"/>
      <c r="M266" s="2"/>
      <c r="N266" s="2"/>
      <c r="O266" s="2">
        <f t="shared" si="274"/>
        <v>1038.81</v>
      </c>
      <c r="P266" s="2">
        <f t="shared" si="275"/>
        <v>461.71</v>
      </c>
      <c r="Q266" s="2">
        <f>(ROUND((ROUND((((ET266*1.2))*AV266*I266),2)*BB266),2)+ROUND((ROUND(((AE266-((EU266*1.2)))*AV266*I266),2)*BS266),2))</f>
        <v>26.14</v>
      </c>
      <c r="R266" s="2">
        <f>(ROUND((ROUND((((EU266*1.2))*AV266*I266),2)*BS266),2)+ROUND((ROUND(((AE266-((EU266*1.2)))*AV266*I266),2)*BS266),2))</f>
        <v>2.99</v>
      </c>
      <c r="S266" s="2">
        <f t="shared" si="276"/>
        <v>550.96</v>
      </c>
      <c r="T266" s="2">
        <f t="shared" si="277"/>
        <v>0</v>
      </c>
      <c r="U266" s="2">
        <f t="shared" si="278"/>
        <v>44.791413839999997</v>
      </c>
      <c r="V266" s="2">
        <f t="shared" si="279"/>
        <v>0</v>
      </c>
      <c r="W266" s="2">
        <f t="shared" si="280"/>
        <v>0</v>
      </c>
      <c r="X266" s="2">
        <f>(ROUND((((S266+ROUND((ROUND((((EU266*1.2))*AV266*I266),2)*BS266),2))*AT266)/100),2)+ROUND(((ROUND((ROUND(((AE266-((EU266*1.2)))*AV266*I266),2)*BS266),2)*AT266)/100),2))</f>
        <v>537.33000000000004</v>
      </c>
      <c r="Y266" s="2">
        <f>(ROUND((((S266+ROUND((ROUND((((EU266*1.2))*AV266*I266),2)*BS266),2))*AU266)/100),2)+ROUND(((ROUND((ROUND(((AE266-((EU266*1.2)))*AV266*I266),2)*BS266),2)*AU266)/100),2))</f>
        <v>282.51</v>
      </c>
      <c r="Z266" s="2"/>
      <c r="AA266" s="2">
        <v>-1</v>
      </c>
      <c r="AB266" s="2">
        <f t="shared" si="281"/>
        <v>127.57</v>
      </c>
      <c r="AC266" s="2">
        <f>ROUND(((ES266*1)),6)</f>
        <v>58.15</v>
      </c>
      <c r="AD266" s="2">
        <f>ROUND(((((ET266*1.2))-((EU266*1.2)))+AE266),6)</f>
        <v>3.1440000000000001</v>
      </c>
      <c r="AE266" s="2">
        <f>ROUND(((EU266*1.2)),6)</f>
        <v>0.36</v>
      </c>
      <c r="AF266" s="2">
        <f>ROUND(((EV266*1.2)),6)</f>
        <v>66.275999999999996</v>
      </c>
      <c r="AG266" s="2">
        <f t="shared" si="282"/>
        <v>0</v>
      </c>
      <c r="AH266" s="2">
        <f>((EW266*1.2))</f>
        <v>5.3879999999999999</v>
      </c>
      <c r="AI266" s="2">
        <f>((EX266*1.2))</f>
        <v>0</v>
      </c>
      <c r="AJ266" s="2">
        <f t="shared" si="283"/>
        <v>0</v>
      </c>
      <c r="AK266" s="2">
        <v>116</v>
      </c>
      <c r="AL266" s="2">
        <v>58.15</v>
      </c>
      <c r="AM266" s="2">
        <v>2.62</v>
      </c>
      <c r="AN266" s="2">
        <v>0.3</v>
      </c>
      <c r="AO266" s="2">
        <v>55.23</v>
      </c>
      <c r="AP266" s="2">
        <v>0</v>
      </c>
      <c r="AQ266" s="2">
        <v>4.49</v>
      </c>
      <c r="AR266" s="2">
        <v>0</v>
      </c>
      <c r="AS266" s="2">
        <v>0</v>
      </c>
      <c r="AT266" s="2">
        <v>97</v>
      </c>
      <c r="AU266" s="2">
        <v>51</v>
      </c>
      <c r="AV266" s="2">
        <v>1.0469999999999999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2</v>
      </c>
      <c r="BJ266" s="2" t="s">
        <v>410</v>
      </c>
      <c r="BK266" s="2"/>
      <c r="BL266" s="2"/>
      <c r="BM266" s="2">
        <v>67</v>
      </c>
      <c r="BN266" s="2">
        <v>0</v>
      </c>
      <c r="BO266" s="2" t="s">
        <v>408</v>
      </c>
      <c r="BP266" s="2">
        <v>1</v>
      </c>
      <c r="BQ266" s="2">
        <v>40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97</v>
      </c>
      <c r="CA266" s="2">
        <v>51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820</v>
      </c>
      <c r="CO266" s="2">
        <v>0</v>
      </c>
      <c r="CP266" s="2">
        <f t="shared" si="284"/>
        <v>1038.81</v>
      </c>
      <c r="CQ266" s="2">
        <f t="shared" si="285"/>
        <v>58.15</v>
      </c>
      <c r="CR266" s="2">
        <f>(ROUND((ROUND((((ET266*1.2))*AV266*1),2)*BB266),2)+ROUND((ROUND(((AE266-((EU266*1.2)))*AV266*1),2)*BS266),2))</f>
        <v>3.29</v>
      </c>
      <c r="CS266" s="2">
        <f>(ROUND((ROUND((((EU266*1.2))*AV266*1),2)*BS266),2)+ROUND((ROUND(((AE266-((EU266*1.2)))*AV266*1),2)*BS266),2))</f>
        <v>0.38</v>
      </c>
      <c r="CT266" s="2">
        <f t="shared" si="286"/>
        <v>69.39</v>
      </c>
      <c r="CU266" s="2">
        <f t="shared" si="287"/>
        <v>0</v>
      </c>
      <c r="CV266" s="2">
        <f t="shared" si="288"/>
        <v>5.6412359999999993</v>
      </c>
      <c r="CW266" s="2">
        <f t="shared" si="289"/>
        <v>0</v>
      </c>
      <c r="CX266" s="2">
        <f t="shared" si="290"/>
        <v>0</v>
      </c>
      <c r="CY266" s="2">
        <f>(ROUND((((S266+ROUND((ROUND((((EU266*1.2))*AV266*1),2)*BS266),2))*AT266)/100),2)+ROUND(((ROUND((ROUND(((AE266-((EU266*1.2)))*AV266*1),2)*BS266),2)*AT266)/100),2))</f>
        <v>534.79999999999995</v>
      </c>
      <c r="CZ266" s="2">
        <f>(ROUND((((S266+ROUND((ROUND((((EU266*1.2))*AV266*1),2)*BS266),2))*AU266)/100),2)+ROUND(((ROUND((ROUND(((AE266-((EU266*1.2)))*AV266*1),2)*BS266),2)*AU266)/100),2))</f>
        <v>281.18</v>
      </c>
      <c r="DA266" s="2"/>
      <c r="DB266" s="2">
        <v>119</v>
      </c>
      <c r="DC266" s="2" t="s">
        <v>3</v>
      </c>
      <c r="DD266" s="2" t="s">
        <v>119</v>
      </c>
      <c r="DE266" s="2" t="s">
        <v>120</v>
      </c>
      <c r="DF266" s="2" t="s">
        <v>120</v>
      </c>
      <c r="DG266" s="2" t="s">
        <v>120</v>
      </c>
      <c r="DH266" s="2" t="s">
        <v>3</v>
      </c>
      <c r="DI266" s="2" t="s">
        <v>120</v>
      </c>
      <c r="DJ266" s="2" t="s">
        <v>120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1003</v>
      </c>
      <c r="DV266" s="2" t="s">
        <v>117</v>
      </c>
      <c r="DW266" s="2" t="s">
        <v>117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57248651</v>
      </c>
      <c r="EF266" s="2">
        <v>40</v>
      </c>
      <c r="EG266" s="2" t="s">
        <v>33</v>
      </c>
      <c r="EH266" s="2">
        <v>0</v>
      </c>
      <c r="EI266" s="2" t="s">
        <v>3</v>
      </c>
      <c r="EJ266" s="2">
        <v>2</v>
      </c>
      <c r="EK266" s="2">
        <v>67</v>
      </c>
      <c r="EL266" s="2" t="s">
        <v>69</v>
      </c>
      <c r="EM266" s="2" t="s">
        <v>70</v>
      </c>
      <c r="EN266" s="2"/>
      <c r="EO266" s="2" t="s">
        <v>124</v>
      </c>
      <c r="EP266" s="2"/>
      <c r="EQ266" s="2">
        <v>132096</v>
      </c>
      <c r="ER266" s="2">
        <v>116</v>
      </c>
      <c r="ES266" s="2">
        <v>58.15</v>
      </c>
      <c r="ET266" s="2">
        <v>2.62</v>
      </c>
      <c r="EU266" s="2">
        <v>0.3</v>
      </c>
      <c r="EV266" s="2">
        <v>55.23</v>
      </c>
      <c r="EW266" s="2">
        <v>4.49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97</v>
      </c>
      <c r="FY266" s="2">
        <v>51</v>
      </c>
      <c r="FZ266" s="2"/>
      <c r="GA266" s="2" t="s">
        <v>3</v>
      </c>
      <c r="GB266" s="2"/>
      <c r="GC266" s="2"/>
      <c r="GD266" s="2">
        <v>1</v>
      </c>
      <c r="GE266" s="2"/>
      <c r="GF266" s="2">
        <v>-93787614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si="291"/>
        <v>0</v>
      </c>
      <c r="GM266" s="2">
        <f t="shared" si="292"/>
        <v>1858.65</v>
      </c>
      <c r="GN266" s="2">
        <f t="shared" si="293"/>
        <v>0</v>
      </c>
      <c r="GO266" s="2">
        <f t="shared" si="294"/>
        <v>1858.65</v>
      </c>
      <c r="GP266" s="2">
        <f t="shared" si="295"/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si="296"/>
        <v>0</v>
      </c>
      <c r="GW266" s="2">
        <v>1</v>
      </c>
      <c r="GX266" s="2">
        <f t="shared" si="297"/>
        <v>0</v>
      </c>
      <c r="GY266" s="2"/>
      <c r="GZ266" s="2"/>
      <c r="HA266" s="2">
        <v>0</v>
      </c>
      <c r="HB266" s="2">
        <v>0</v>
      </c>
      <c r="HC266" s="2">
        <f t="shared" si="298"/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3">
        <v>17</v>
      </c>
      <c r="B267" s="3">
        <v>1</v>
      </c>
      <c r="C267" s="3">
        <f>ROW(SmtRes!A368)</f>
        <v>368</v>
      </c>
      <c r="D267" s="3">
        <f>ROW(EtalonRes!A454)</f>
        <v>454</v>
      </c>
      <c r="E267" s="3" t="s">
        <v>3</v>
      </c>
      <c r="F267" s="3" t="s">
        <v>408</v>
      </c>
      <c r="G267" s="3" t="s">
        <v>409</v>
      </c>
      <c r="H267" s="3" t="s">
        <v>117</v>
      </c>
      <c r="I267" s="3">
        <f>ROUND((642+150+2)/100,9)</f>
        <v>7.94</v>
      </c>
      <c r="J267" s="3">
        <v>0</v>
      </c>
      <c r="K267" s="3">
        <f>ROUND((642+150+2)/100,9)</f>
        <v>7.94</v>
      </c>
      <c r="O267" s="3">
        <f t="shared" si="274"/>
        <v>33158.959999999999</v>
      </c>
      <c r="P267" s="3">
        <f t="shared" si="275"/>
        <v>1712.94</v>
      </c>
      <c r="Q267" s="3">
        <f>(ROUND((ROUND((((ET267*1.2))*AV267*I267),2)*BB267),2)+ROUND((ROUND(((AE267-((EU267*1.2)))*AV267*I267),2)*BS267),2))</f>
        <v>399.42</v>
      </c>
      <c r="R267" s="3">
        <f>(ROUND((ROUND((((EU267*1.2))*AV267*I267),2)*BS267),2)+ROUND((ROUND(((AE267-((EU267*1.2)))*AV267*I267),2)*BS267),2))</f>
        <v>168.49</v>
      </c>
      <c r="S267" s="3">
        <f t="shared" si="276"/>
        <v>31046.6</v>
      </c>
      <c r="T267" s="3">
        <f t="shared" si="277"/>
        <v>0</v>
      </c>
      <c r="U267" s="3">
        <f t="shared" si="278"/>
        <v>44.791413839999997</v>
      </c>
      <c r="V267" s="3">
        <f t="shared" si="279"/>
        <v>0</v>
      </c>
      <c r="W267" s="3">
        <f t="shared" si="280"/>
        <v>0</v>
      </c>
      <c r="X267" s="3">
        <f>(ROUND((((S267+ROUND((ROUND((((EU267*1.2))*AV267*I267),2)*BS267),2))*AT267)/100),2)+ROUND(((ROUND((ROUND(((AE267-((EU267*1.2)))*AV267*I267),2)*BS267),2)*AT267)/100),2))</f>
        <v>30278.639999999999</v>
      </c>
      <c r="Y267" s="3">
        <f>(ROUND((((S267+ROUND((ROUND((((EU267*1.2))*AV267*I267),2)*BS267),2))*AU267)/100),2)+ROUND(((ROUND((ROUND(((AE267-((EU267*1.2)))*AV267*I267),2)*BS267),2)*AU267)/100),2))</f>
        <v>15919.7</v>
      </c>
      <c r="AA267" s="3">
        <v>-1</v>
      </c>
      <c r="AB267" s="3">
        <f t="shared" si="281"/>
        <v>127.57</v>
      </c>
      <c r="AC267" s="3">
        <f>ROUND(((ES267*1)),6)</f>
        <v>58.15</v>
      </c>
      <c r="AD267" s="3">
        <f>ROUND(((((ET267*1.2))-((EU267*1.2)))+AE267),6)</f>
        <v>3.1440000000000001</v>
      </c>
      <c r="AE267" s="3">
        <f>ROUND(((EU267*1.2)),6)</f>
        <v>0.36</v>
      </c>
      <c r="AF267" s="3">
        <f>ROUND(((EV267*1.2)),6)</f>
        <v>66.275999999999996</v>
      </c>
      <c r="AG267" s="3">
        <f t="shared" si="282"/>
        <v>0</v>
      </c>
      <c r="AH267" s="3">
        <f>((EW267*1.2))</f>
        <v>5.3879999999999999</v>
      </c>
      <c r="AI267" s="3">
        <f>((EX267*1.2))</f>
        <v>0</v>
      </c>
      <c r="AJ267" s="3">
        <f t="shared" si="283"/>
        <v>0</v>
      </c>
      <c r="AK267" s="3">
        <v>116</v>
      </c>
      <c r="AL267" s="3">
        <v>58.15</v>
      </c>
      <c r="AM267" s="3">
        <v>2.62</v>
      </c>
      <c r="AN267" s="3">
        <v>0.3</v>
      </c>
      <c r="AO267" s="3">
        <v>55.23</v>
      </c>
      <c r="AP267" s="3">
        <v>0</v>
      </c>
      <c r="AQ267" s="3">
        <v>4.49</v>
      </c>
      <c r="AR267" s="3">
        <v>0</v>
      </c>
      <c r="AS267" s="3">
        <v>0</v>
      </c>
      <c r="AT267" s="3">
        <v>97</v>
      </c>
      <c r="AU267" s="3">
        <v>51</v>
      </c>
      <c r="AV267" s="3">
        <v>1.0469999999999999</v>
      </c>
      <c r="AW267" s="3">
        <v>1</v>
      </c>
      <c r="AZ267" s="3">
        <v>1</v>
      </c>
      <c r="BA267" s="3">
        <v>56.35</v>
      </c>
      <c r="BB267" s="3">
        <v>15.28</v>
      </c>
      <c r="BC267" s="3">
        <v>3.71</v>
      </c>
      <c r="BD267" s="3" t="s">
        <v>3</v>
      </c>
      <c r="BE267" s="3" t="s">
        <v>3</v>
      </c>
      <c r="BF267" s="3" t="s">
        <v>3</v>
      </c>
      <c r="BG267" s="3" t="s">
        <v>3</v>
      </c>
      <c r="BH267" s="3">
        <v>0</v>
      </c>
      <c r="BI267" s="3">
        <v>2</v>
      </c>
      <c r="BJ267" s="3" t="s">
        <v>410</v>
      </c>
      <c r="BM267" s="3">
        <v>67</v>
      </c>
      <c r="BN267" s="3">
        <v>0</v>
      </c>
      <c r="BO267" s="3" t="s">
        <v>408</v>
      </c>
      <c r="BP267" s="3">
        <v>1</v>
      </c>
      <c r="BQ267" s="3">
        <v>40</v>
      </c>
      <c r="BR267" s="3">
        <v>0</v>
      </c>
      <c r="BS267" s="3">
        <v>56.35</v>
      </c>
      <c r="BT267" s="3">
        <v>1</v>
      </c>
      <c r="BU267" s="3">
        <v>1</v>
      </c>
      <c r="BV267" s="3">
        <v>1</v>
      </c>
      <c r="BW267" s="3">
        <v>1</v>
      </c>
      <c r="BX267" s="3">
        <v>1</v>
      </c>
      <c r="BY267" s="3" t="s">
        <v>3</v>
      </c>
      <c r="BZ267" s="3">
        <v>97</v>
      </c>
      <c r="CA267" s="3">
        <v>51</v>
      </c>
      <c r="CB267" s="3" t="s">
        <v>3</v>
      </c>
      <c r="CE267" s="3">
        <v>1566</v>
      </c>
      <c r="CF267" s="3">
        <v>0</v>
      </c>
      <c r="CG267" s="3">
        <v>0</v>
      </c>
      <c r="CM267" s="3">
        <v>0</v>
      </c>
      <c r="CN267" s="3" t="s">
        <v>820</v>
      </c>
      <c r="CO267" s="3">
        <v>0</v>
      </c>
      <c r="CP267" s="3">
        <f t="shared" si="284"/>
        <v>33158.959999999999</v>
      </c>
      <c r="CQ267" s="3">
        <f t="shared" si="285"/>
        <v>215.74</v>
      </c>
      <c r="CR267" s="3">
        <f>(ROUND((ROUND((((ET267*1.2))*AV267*1),2)*BB267),2)+ROUND((ROUND(((AE267-((EU267*1.2)))*AV267*1),2)*BS267),2))</f>
        <v>50.27</v>
      </c>
      <c r="CS267" s="3">
        <f>(ROUND((ROUND((((EU267*1.2))*AV267*1),2)*BS267),2)+ROUND((ROUND(((AE267-((EU267*1.2)))*AV267*1),2)*BS267),2))</f>
        <v>21.41</v>
      </c>
      <c r="CT267" s="3">
        <f t="shared" si="286"/>
        <v>3910.13</v>
      </c>
      <c r="CU267" s="3">
        <f t="shared" si="287"/>
        <v>0</v>
      </c>
      <c r="CV267" s="3">
        <f t="shared" si="288"/>
        <v>5.6412359999999993</v>
      </c>
      <c r="CW267" s="3">
        <f t="shared" si="289"/>
        <v>0</v>
      </c>
      <c r="CX267" s="3">
        <f t="shared" si="290"/>
        <v>0</v>
      </c>
      <c r="CY267" s="3">
        <f>(ROUND((((S267+ROUND((ROUND((((EU267*1.2))*AV267*1),2)*BS267),2))*AT267)/100),2)+ROUND(((ROUND((ROUND(((AE267-((EU267*1.2)))*AV267*1),2)*BS267),2)*AT267)/100),2))</f>
        <v>30135.97</v>
      </c>
      <c r="CZ267" s="3">
        <f>(ROUND((((S267+ROUND((ROUND((((EU267*1.2))*AV267*1),2)*BS267),2))*AU267)/100),2)+ROUND(((ROUND((ROUND(((AE267-((EU267*1.2)))*AV267*1),2)*BS267),2)*AU267)/100),2))</f>
        <v>15844.69</v>
      </c>
      <c r="DB267" s="3">
        <v>120</v>
      </c>
      <c r="DC267" s="3" t="s">
        <v>3</v>
      </c>
      <c r="DD267" s="3" t="s">
        <v>119</v>
      </c>
      <c r="DE267" s="3" t="s">
        <v>120</v>
      </c>
      <c r="DF267" s="3" t="s">
        <v>120</v>
      </c>
      <c r="DG267" s="3" t="s">
        <v>120</v>
      </c>
      <c r="DH267" s="3" t="s">
        <v>3</v>
      </c>
      <c r="DI267" s="3" t="s">
        <v>120</v>
      </c>
      <c r="DJ267" s="3" t="s">
        <v>120</v>
      </c>
      <c r="DK267" s="3" t="s">
        <v>3</v>
      </c>
      <c r="DL267" s="3" t="s">
        <v>3</v>
      </c>
      <c r="DM267" s="3" t="s">
        <v>3</v>
      </c>
      <c r="DN267" s="3">
        <v>0</v>
      </c>
      <c r="DO267" s="3">
        <v>0</v>
      </c>
      <c r="DP267" s="3">
        <v>1</v>
      </c>
      <c r="DQ267" s="3">
        <v>1</v>
      </c>
      <c r="DU267" s="3">
        <v>1003</v>
      </c>
      <c r="DV267" s="3" t="s">
        <v>117</v>
      </c>
      <c r="DW267" s="3" t="s">
        <v>117</v>
      </c>
      <c r="DX267" s="3">
        <v>100</v>
      </c>
      <c r="DZ267" s="3" t="s">
        <v>3</v>
      </c>
      <c r="EA267" s="3" t="s">
        <v>3</v>
      </c>
      <c r="EB267" s="3" t="s">
        <v>3</v>
      </c>
      <c r="EC267" s="3" t="s">
        <v>3</v>
      </c>
      <c r="EE267" s="3">
        <v>57248651</v>
      </c>
      <c r="EF267" s="3">
        <v>40</v>
      </c>
      <c r="EG267" s="3" t="s">
        <v>33</v>
      </c>
      <c r="EH267" s="3">
        <v>0</v>
      </c>
      <c r="EI267" s="3" t="s">
        <v>3</v>
      </c>
      <c r="EJ267" s="3">
        <v>2</v>
      </c>
      <c r="EK267" s="3">
        <v>67</v>
      </c>
      <c r="EL267" s="3" t="s">
        <v>69</v>
      </c>
      <c r="EM267" s="3" t="s">
        <v>70</v>
      </c>
      <c r="EO267" s="3" t="s">
        <v>124</v>
      </c>
      <c r="EQ267" s="3">
        <v>132096</v>
      </c>
      <c r="ER267" s="3">
        <v>116</v>
      </c>
      <c r="ES267" s="3">
        <v>58.15</v>
      </c>
      <c r="ET267" s="3">
        <v>2.62</v>
      </c>
      <c r="EU267" s="3">
        <v>0.3</v>
      </c>
      <c r="EV267" s="3">
        <v>55.23</v>
      </c>
      <c r="EW267" s="3">
        <v>4.49</v>
      </c>
      <c r="EX267" s="3">
        <v>0</v>
      </c>
      <c r="EY267" s="3">
        <v>0</v>
      </c>
      <c r="FQ267" s="3">
        <v>0</v>
      </c>
      <c r="FR267" s="3">
        <v>0</v>
      </c>
      <c r="FS267" s="3">
        <v>0</v>
      </c>
      <c r="FX267" s="3">
        <v>97</v>
      </c>
      <c r="FY267" s="3">
        <v>51</v>
      </c>
      <c r="GA267" s="3" t="s">
        <v>3</v>
      </c>
      <c r="GD267" s="3">
        <v>1</v>
      </c>
      <c r="GF267" s="3">
        <v>-93787614</v>
      </c>
      <c r="GG267" s="3">
        <v>2</v>
      </c>
      <c r="GH267" s="3">
        <v>1</v>
      </c>
      <c r="GI267" s="3">
        <v>2</v>
      </c>
      <c r="GJ267" s="3">
        <v>0</v>
      </c>
      <c r="GK267" s="3">
        <v>0</v>
      </c>
      <c r="GL267" s="3">
        <f t="shared" si="291"/>
        <v>0</v>
      </c>
      <c r="GM267" s="3">
        <f t="shared" si="292"/>
        <v>79357.3</v>
      </c>
      <c r="GN267" s="3">
        <f t="shared" si="293"/>
        <v>0</v>
      </c>
      <c r="GO267" s="3">
        <f t="shared" si="294"/>
        <v>79357.3</v>
      </c>
      <c r="GP267" s="3">
        <f t="shared" si="295"/>
        <v>0</v>
      </c>
      <c r="GR267" s="3">
        <v>0</v>
      </c>
      <c r="GS267" s="3">
        <v>3</v>
      </c>
      <c r="GT267" s="3">
        <v>0</v>
      </c>
      <c r="GU267" s="3" t="s">
        <v>3</v>
      </c>
      <c r="GV267" s="3">
        <f t="shared" si="296"/>
        <v>0</v>
      </c>
      <c r="GW267" s="3">
        <v>1</v>
      </c>
      <c r="GX267" s="3">
        <f t="shared" si="297"/>
        <v>0</v>
      </c>
      <c r="HA267" s="3">
        <v>0</v>
      </c>
      <c r="HB267" s="3">
        <v>0</v>
      </c>
      <c r="HC267" s="3">
        <f t="shared" si="298"/>
        <v>0</v>
      </c>
      <c r="HE267" s="3" t="s">
        <v>3</v>
      </c>
      <c r="HF267" s="3" t="s">
        <v>3</v>
      </c>
      <c r="HM267" s="3" t="s">
        <v>3</v>
      </c>
      <c r="HN267" s="3" t="s">
        <v>3</v>
      </c>
      <c r="HO267" s="3" t="s">
        <v>3</v>
      </c>
      <c r="HP267" s="3" t="s">
        <v>3</v>
      </c>
      <c r="HQ267" s="3" t="s">
        <v>3</v>
      </c>
      <c r="HS267" s="3">
        <v>0</v>
      </c>
      <c r="IK267" s="3">
        <v>0</v>
      </c>
    </row>
    <row r="268" spans="1:255" x14ac:dyDescent="0.2">
      <c r="A268" s="2">
        <v>17</v>
      </c>
      <c r="B268" s="2">
        <v>1</v>
      </c>
      <c r="C268" s="2"/>
      <c r="D268" s="2"/>
      <c r="E268" s="2" t="s">
        <v>3</v>
      </c>
      <c r="F268" s="2" t="s">
        <v>366</v>
      </c>
      <c r="G268" s="2" t="s">
        <v>367</v>
      </c>
      <c r="H268" s="2" t="s">
        <v>341</v>
      </c>
      <c r="I268" s="2">
        <f>ROUND(642*1.03,9)</f>
        <v>661.26</v>
      </c>
      <c r="J268" s="2">
        <v>0</v>
      </c>
      <c r="K268" s="2">
        <f>ROUND(642*1.03,9)</f>
        <v>661.26</v>
      </c>
      <c r="L268" s="2"/>
      <c r="M268" s="2"/>
      <c r="N268" s="2"/>
      <c r="O268" s="2">
        <f t="shared" si="274"/>
        <v>2347.4699999999998</v>
      </c>
      <c r="P268" s="2">
        <f t="shared" si="275"/>
        <v>2347.4699999999998</v>
      </c>
      <c r="Q268" s="2">
        <f t="shared" ref="Q268:Q273" si="311">(ROUND((ROUND(((ET268)*AV268*I268),2)*BB268),2)+ROUND((ROUND(((AE268-(EU268))*AV268*I268),2)*BS268),2))</f>
        <v>0</v>
      </c>
      <c r="R268" s="2">
        <f t="shared" ref="R268:R273" si="312">(ROUND((ROUND(((EU268)*AV268*I268),2)*BS268),2)+ROUND((ROUND(((AE268-(EU268))*AV268*I268),2)*BS268),2))</f>
        <v>0</v>
      </c>
      <c r="S268" s="2">
        <f t="shared" si="276"/>
        <v>0</v>
      </c>
      <c r="T268" s="2">
        <f t="shared" si="277"/>
        <v>0</v>
      </c>
      <c r="U268" s="2">
        <f t="shared" si="278"/>
        <v>0</v>
      </c>
      <c r="V268" s="2">
        <f t="shared" si="279"/>
        <v>0</v>
      </c>
      <c r="W268" s="2">
        <f t="shared" si="280"/>
        <v>0</v>
      </c>
      <c r="X268" s="2">
        <f t="shared" ref="X268:X273" si="313">(ROUND((((S268+ROUND((ROUND(((EU268)*AV268*I268),2)*BS268),2))*AT268)/100),2)+ROUND(((ROUND((ROUND(((AE268-(EU268))*AV268*I268),2)*BS268),2)*AT268)/100),2))</f>
        <v>0</v>
      </c>
      <c r="Y268" s="2">
        <f t="shared" ref="Y268:Y273" si="314">(ROUND((((S268+ROUND((ROUND(((EU268)*AV268*I268),2)*BS268),2))*AU268)/100),2)+ROUND(((ROUND((ROUND(((AE268-(EU268))*AV268*I268),2)*BS268),2)*AU268)/100),2))</f>
        <v>0</v>
      </c>
      <c r="Z268" s="2"/>
      <c r="AA268" s="2">
        <v>-1</v>
      </c>
      <c r="AB268" s="2">
        <f t="shared" si="281"/>
        <v>3.55</v>
      </c>
      <c r="AC268" s="2">
        <f t="shared" ref="AC268:AC273" si="315">ROUND((ES268),6)</f>
        <v>3.55</v>
      </c>
      <c r="AD268" s="2">
        <f t="shared" ref="AD268:AD273" si="316">ROUND((((ET268)-(EU268))+AE268),6)</f>
        <v>0</v>
      </c>
      <c r="AE268" s="2">
        <f t="shared" ref="AE268:AF273" si="317">ROUND((EU268),6)</f>
        <v>0</v>
      </c>
      <c r="AF268" s="2">
        <f t="shared" si="317"/>
        <v>0</v>
      </c>
      <c r="AG268" s="2">
        <f t="shared" si="282"/>
        <v>0</v>
      </c>
      <c r="AH268" s="2">
        <f t="shared" ref="AH268:AI273" si="318">(EW268)</f>
        <v>0</v>
      </c>
      <c r="AI268" s="2">
        <f t="shared" si="318"/>
        <v>0</v>
      </c>
      <c r="AJ268" s="2">
        <f t="shared" si="283"/>
        <v>0</v>
      </c>
      <c r="AK268" s="2">
        <v>3.55</v>
      </c>
      <c r="AL268" s="2">
        <v>3.55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2</v>
      </c>
      <c r="BJ268" s="2" t="s">
        <v>366</v>
      </c>
      <c r="BK268" s="2"/>
      <c r="BL268" s="2"/>
      <c r="BM268" s="2">
        <v>400005</v>
      </c>
      <c r="BN268" s="2">
        <v>0</v>
      </c>
      <c r="BO268" s="2" t="s">
        <v>3</v>
      </c>
      <c r="BP268" s="2">
        <v>0</v>
      </c>
      <c r="BQ268" s="2">
        <v>213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0</v>
      </c>
      <c r="CA268" s="2">
        <v>0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3</v>
      </c>
      <c r="CO268" s="2">
        <v>0</v>
      </c>
      <c r="CP268" s="2">
        <f t="shared" si="284"/>
        <v>2347.4699999999998</v>
      </c>
      <c r="CQ268" s="2">
        <f t="shared" si="285"/>
        <v>3.55</v>
      </c>
      <c r="CR268" s="2">
        <f t="shared" ref="CR268:CR273" si="319">(ROUND((ROUND(((ET268)*AV268*1),2)*BB268),2)+ROUND((ROUND(((AE268-(EU268))*AV268*1),2)*BS268),2))</f>
        <v>0</v>
      </c>
      <c r="CS268" s="2">
        <f t="shared" ref="CS268:CS273" si="320">(ROUND((ROUND(((EU268)*AV268*1),2)*BS268),2)+ROUND((ROUND(((AE268-(EU268))*AV268*1),2)*BS268),2))</f>
        <v>0</v>
      </c>
      <c r="CT268" s="2">
        <f t="shared" si="286"/>
        <v>0</v>
      </c>
      <c r="CU268" s="2">
        <f t="shared" si="287"/>
        <v>0</v>
      </c>
      <c r="CV268" s="2">
        <f t="shared" si="288"/>
        <v>0</v>
      </c>
      <c r="CW268" s="2">
        <f t="shared" si="289"/>
        <v>0</v>
      </c>
      <c r="CX268" s="2">
        <f t="shared" si="290"/>
        <v>0</v>
      </c>
      <c r="CY268" s="2">
        <f t="shared" ref="CY268:CY273" si="321">(ROUND((((S268+ROUND((ROUND(((EU268)*AV268*1),2)*BS268),2))*AT268)/100),2)+ROUND(((ROUND((ROUND(((AE268-(EU268))*AV268*1),2)*BS268),2)*AT268)/100),2))</f>
        <v>0</v>
      </c>
      <c r="CZ268" s="2">
        <f t="shared" ref="CZ268:CZ273" si="322">(ROUND((((S268+ROUND((ROUND(((EU268)*AV268*1),2)*BS268),2))*AU268)/100),2)+ROUND(((ROUND((ROUND(((AE268-(EU268))*AV268*1),2)*BS268),2)*AU268)/100),2))</f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1003</v>
      </c>
      <c r="DV268" s="2" t="s">
        <v>341</v>
      </c>
      <c r="DW268" s="2" t="s">
        <v>341</v>
      </c>
      <c r="DX268" s="2">
        <v>1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57248790</v>
      </c>
      <c r="EF268" s="2">
        <v>213</v>
      </c>
      <c r="EG268" s="2" t="s">
        <v>331</v>
      </c>
      <c r="EH268" s="2">
        <v>0</v>
      </c>
      <c r="EI268" s="2" t="s">
        <v>3</v>
      </c>
      <c r="EJ268" s="2">
        <v>1</v>
      </c>
      <c r="EK268" s="2">
        <v>400005</v>
      </c>
      <c r="EL268" s="2" t="s">
        <v>331</v>
      </c>
      <c r="EM268" s="2" t="s">
        <v>332</v>
      </c>
      <c r="EN268" s="2"/>
      <c r="EO268" s="2" t="s">
        <v>3</v>
      </c>
      <c r="EP268" s="2"/>
      <c r="EQ268" s="2">
        <v>132112</v>
      </c>
      <c r="ER268" s="2">
        <v>0</v>
      </c>
      <c r="ES268" s="2">
        <v>3.55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>
        <v>0</v>
      </c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0</v>
      </c>
      <c r="FY268" s="2">
        <v>0</v>
      </c>
      <c r="FZ268" s="2"/>
      <c r="GA268" s="2" t="s">
        <v>370</v>
      </c>
      <c r="GB268" s="2"/>
      <c r="GC268" s="2"/>
      <c r="GD268" s="2">
        <v>1</v>
      </c>
      <c r="GE268" s="2"/>
      <c r="GF268" s="2">
        <v>-109404374</v>
      </c>
      <c r="GG268" s="2">
        <v>2</v>
      </c>
      <c r="GH268" s="2">
        <v>4</v>
      </c>
      <c r="GI268" s="2">
        <v>-2</v>
      </c>
      <c r="GJ268" s="2">
        <v>0</v>
      </c>
      <c r="GK268" s="2">
        <v>0</v>
      </c>
      <c r="GL268" s="2">
        <f t="shared" si="291"/>
        <v>0</v>
      </c>
      <c r="GM268" s="2">
        <f t="shared" si="292"/>
        <v>2347.4699999999998</v>
      </c>
      <c r="GN268" s="2">
        <f t="shared" si="293"/>
        <v>0</v>
      </c>
      <c r="GO268" s="2">
        <f t="shared" si="294"/>
        <v>2347.4699999999998</v>
      </c>
      <c r="GP268" s="2">
        <f t="shared" si="295"/>
        <v>0</v>
      </c>
      <c r="GQ268" s="2"/>
      <c r="GR268" s="2">
        <v>1</v>
      </c>
      <c r="GS268" s="2">
        <v>2</v>
      </c>
      <c r="GT268" s="2">
        <v>0</v>
      </c>
      <c r="GU268" s="2" t="s">
        <v>3</v>
      </c>
      <c r="GV268" s="2">
        <f t="shared" si="296"/>
        <v>0</v>
      </c>
      <c r="GW268" s="2">
        <v>1</v>
      </c>
      <c r="GX268" s="2">
        <f t="shared" si="297"/>
        <v>0</v>
      </c>
      <c r="GY268" s="2"/>
      <c r="GZ268" s="2"/>
      <c r="HA268" s="2">
        <v>0</v>
      </c>
      <c r="HB268" s="2">
        <v>0</v>
      </c>
      <c r="HC268" s="2">
        <f t="shared" si="298"/>
        <v>0</v>
      </c>
      <c r="HD268" s="2"/>
      <c r="HE268" s="2" t="s">
        <v>334</v>
      </c>
      <c r="HF268" s="2" t="s">
        <v>37</v>
      </c>
      <c r="HG268" s="2"/>
      <c r="HH268" s="2"/>
      <c r="HI268" s="2"/>
      <c r="HJ268" s="2"/>
      <c r="HK268" s="2"/>
      <c r="HL268" s="2"/>
      <c r="HM268" s="2" t="s">
        <v>3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3">
        <v>17</v>
      </c>
      <c r="B269" s="3">
        <v>1</v>
      </c>
      <c r="E269" s="3" t="s">
        <v>3</v>
      </c>
      <c r="F269" s="3" t="s">
        <v>366</v>
      </c>
      <c r="G269" s="3" t="s">
        <v>367</v>
      </c>
      <c r="H269" s="3" t="s">
        <v>341</v>
      </c>
      <c r="I269" s="3">
        <f>ROUND(642*1.03,9)</f>
        <v>661.26</v>
      </c>
      <c r="J269" s="3">
        <v>0</v>
      </c>
      <c r="K269" s="3">
        <f>ROUND(642*1.03,9)</f>
        <v>661.26</v>
      </c>
      <c r="O269" s="3">
        <f t="shared" si="274"/>
        <v>23099.1</v>
      </c>
      <c r="P269" s="3">
        <f t="shared" si="275"/>
        <v>23099.1</v>
      </c>
      <c r="Q269" s="3">
        <f t="shared" si="311"/>
        <v>0</v>
      </c>
      <c r="R269" s="3">
        <f t="shared" si="312"/>
        <v>0</v>
      </c>
      <c r="S269" s="3">
        <f t="shared" si="276"/>
        <v>0</v>
      </c>
      <c r="T269" s="3">
        <f t="shared" si="277"/>
        <v>0</v>
      </c>
      <c r="U269" s="3">
        <f t="shared" si="278"/>
        <v>0</v>
      </c>
      <c r="V269" s="3">
        <f t="shared" si="279"/>
        <v>0</v>
      </c>
      <c r="W269" s="3">
        <f t="shared" si="280"/>
        <v>0</v>
      </c>
      <c r="X269" s="3">
        <f t="shared" si="313"/>
        <v>0</v>
      </c>
      <c r="Y269" s="3">
        <f t="shared" si="314"/>
        <v>0</v>
      </c>
      <c r="AA269" s="3">
        <v>-1</v>
      </c>
      <c r="AB269" s="3">
        <f t="shared" si="281"/>
        <v>3.55</v>
      </c>
      <c r="AC269" s="3">
        <f t="shared" si="315"/>
        <v>3.55</v>
      </c>
      <c r="AD269" s="3">
        <f t="shared" si="316"/>
        <v>0</v>
      </c>
      <c r="AE269" s="3">
        <f t="shared" si="317"/>
        <v>0</v>
      </c>
      <c r="AF269" s="3">
        <f t="shared" si="317"/>
        <v>0</v>
      </c>
      <c r="AG269" s="3">
        <f t="shared" si="282"/>
        <v>0</v>
      </c>
      <c r="AH269" s="3">
        <f t="shared" si="318"/>
        <v>0</v>
      </c>
      <c r="AI269" s="3">
        <f t="shared" si="318"/>
        <v>0</v>
      </c>
      <c r="AJ269" s="3">
        <f t="shared" si="283"/>
        <v>0</v>
      </c>
      <c r="AK269" s="3">
        <v>3.55</v>
      </c>
      <c r="AL269" s="3">
        <v>3.55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1</v>
      </c>
      <c r="AW269" s="3">
        <v>1</v>
      </c>
      <c r="AZ269" s="3">
        <v>1</v>
      </c>
      <c r="BA269" s="3">
        <v>1</v>
      </c>
      <c r="BB269" s="3">
        <v>1</v>
      </c>
      <c r="BC269" s="3">
        <v>9.84</v>
      </c>
      <c r="BD269" s="3" t="s">
        <v>3</v>
      </c>
      <c r="BE269" s="3" t="s">
        <v>3</v>
      </c>
      <c r="BF269" s="3" t="s">
        <v>3</v>
      </c>
      <c r="BG269" s="3" t="s">
        <v>3</v>
      </c>
      <c r="BH269" s="3">
        <v>3</v>
      </c>
      <c r="BI269" s="3">
        <v>2</v>
      </c>
      <c r="BJ269" s="3" t="s">
        <v>366</v>
      </c>
      <c r="BM269" s="3">
        <v>400005</v>
      </c>
      <c r="BN269" s="3">
        <v>0</v>
      </c>
      <c r="BO269" s="3" t="s">
        <v>3</v>
      </c>
      <c r="BP269" s="3">
        <v>0</v>
      </c>
      <c r="BQ269" s="3">
        <v>213</v>
      </c>
      <c r="BR269" s="3">
        <v>0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 t="s">
        <v>3</v>
      </c>
      <c r="BZ269" s="3">
        <v>0</v>
      </c>
      <c r="CA269" s="3">
        <v>0</v>
      </c>
      <c r="CB269" s="3" t="s">
        <v>3</v>
      </c>
      <c r="CE269" s="3">
        <v>1566</v>
      </c>
      <c r="CF269" s="3">
        <v>0</v>
      </c>
      <c r="CG269" s="3">
        <v>0</v>
      </c>
      <c r="CM269" s="3">
        <v>0</v>
      </c>
      <c r="CN269" s="3" t="s">
        <v>3</v>
      </c>
      <c r="CO269" s="3">
        <v>0</v>
      </c>
      <c r="CP269" s="3">
        <f t="shared" si="284"/>
        <v>23099.1</v>
      </c>
      <c r="CQ269" s="3">
        <f t="shared" si="285"/>
        <v>34.93</v>
      </c>
      <c r="CR269" s="3">
        <f t="shared" si="319"/>
        <v>0</v>
      </c>
      <c r="CS269" s="3">
        <f t="shared" si="320"/>
        <v>0</v>
      </c>
      <c r="CT269" s="3">
        <f t="shared" si="286"/>
        <v>0</v>
      </c>
      <c r="CU269" s="3">
        <f t="shared" si="287"/>
        <v>0</v>
      </c>
      <c r="CV269" s="3">
        <f t="shared" si="288"/>
        <v>0</v>
      </c>
      <c r="CW269" s="3">
        <f t="shared" si="289"/>
        <v>0</v>
      </c>
      <c r="CX269" s="3">
        <f t="shared" si="290"/>
        <v>0</v>
      </c>
      <c r="CY269" s="3">
        <f t="shared" si="321"/>
        <v>0</v>
      </c>
      <c r="CZ269" s="3">
        <f t="shared" si="322"/>
        <v>0</v>
      </c>
      <c r="DC269" s="3" t="s">
        <v>3</v>
      </c>
      <c r="DD269" s="3" t="s">
        <v>3</v>
      </c>
      <c r="DE269" s="3" t="s">
        <v>3</v>
      </c>
      <c r="DF269" s="3" t="s">
        <v>3</v>
      </c>
      <c r="DG269" s="3" t="s">
        <v>3</v>
      </c>
      <c r="DH269" s="3" t="s">
        <v>3</v>
      </c>
      <c r="DI269" s="3" t="s">
        <v>3</v>
      </c>
      <c r="DJ269" s="3" t="s">
        <v>3</v>
      </c>
      <c r="DK269" s="3" t="s">
        <v>3</v>
      </c>
      <c r="DL269" s="3" t="s">
        <v>3</v>
      </c>
      <c r="DM269" s="3" t="s">
        <v>3</v>
      </c>
      <c r="DN269" s="3">
        <v>0</v>
      </c>
      <c r="DO269" s="3">
        <v>0</v>
      </c>
      <c r="DP269" s="3">
        <v>1</v>
      </c>
      <c r="DQ269" s="3">
        <v>1</v>
      </c>
      <c r="DU269" s="3">
        <v>1003</v>
      </c>
      <c r="DV269" s="3" t="s">
        <v>341</v>
      </c>
      <c r="DW269" s="3" t="s">
        <v>341</v>
      </c>
      <c r="DX269" s="3">
        <v>1</v>
      </c>
      <c r="DZ269" s="3" t="s">
        <v>3</v>
      </c>
      <c r="EA269" s="3" t="s">
        <v>3</v>
      </c>
      <c r="EB269" s="3" t="s">
        <v>3</v>
      </c>
      <c r="EC269" s="3" t="s">
        <v>3</v>
      </c>
      <c r="EE269" s="3">
        <v>57248790</v>
      </c>
      <c r="EF269" s="3">
        <v>213</v>
      </c>
      <c r="EG269" s="3" t="s">
        <v>331</v>
      </c>
      <c r="EH269" s="3">
        <v>0</v>
      </c>
      <c r="EI269" s="3" t="s">
        <v>3</v>
      </c>
      <c r="EJ269" s="3">
        <v>1</v>
      </c>
      <c r="EK269" s="3">
        <v>400005</v>
      </c>
      <c r="EL269" s="3" t="s">
        <v>331</v>
      </c>
      <c r="EM269" s="3" t="s">
        <v>332</v>
      </c>
      <c r="EO269" s="3" t="s">
        <v>3</v>
      </c>
      <c r="EQ269" s="3">
        <v>132112</v>
      </c>
      <c r="ER269" s="3">
        <v>0</v>
      </c>
      <c r="ES269" s="3">
        <v>3.55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5</v>
      </c>
      <c r="FC269" s="3">
        <v>1</v>
      </c>
      <c r="FD269" s="3">
        <v>18</v>
      </c>
      <c r="FF269" s="3">
        <v>41.83</v>
      </c>
      <c r="FQ269" s="3">
        <v>0</v>
      </c>
      <c r="FR269" s="3">
        <v>0</v>
      </c>
      <c r="FS269" s="3">
        <v>0</v>
      </c>
      <c r="FX269" s="3">
        <v>0</v>
      </c>
      <c r="FY269" s="3">
        <v>0</v>
      </c>
      <c r="GA269" s="3" t="s">
        <v>370</v>
      </c>
      <c r="GD269" s="3">
        <v>1</v>
      </c>
      <c r="GF269" s="3">
        <v>-109404374</v>
      </c>
      <c r="GG269" s="3">
        <v>2</v>
      </c>
      <c r="GH269" s="3">
        <v>3</v>
      </c>
      <c r="GI269" s="3">
        <v>5</v>
      </c>
      <c r="GJ269" s="3">
        <v>0</v>
      </c>
      <c r="GK269" s="3">
        <v>0</v>
      </c>
      <c r="GL269" s="3">
        <f t="shared" si="291"/>
        <v>0</v>
      </c>
      <c r="GM269" s="3">
        <f t="shared" si="292"/>
        <v>23099.1</v>
      </c>
      <c r="GN269" s="3">
        <f t="shared" si="293"/>
        <v>0</v>
      </c>
      <c r="GO269" s="3">
        <f t="shared" si="294"/>
        <v>23099.1</v>
      </c>
      <c r="GP269" s="3">
        <f t="shared" si="295"/>
        <v>0</v>
      </c>
      <c r="GR269" s="3">
        <v>1</v>
      </c>
      <c r="GS269" s="3">
        <v>1</v>
      </c>
      <c r="GT269" s="3">
        <v>0</v>
      </c>
      <c r="GU269" s="3" t="s">
        <v>3</v>
      </c>
      <c r="GV269" s="3">
        <f t="shared" si="296"/>
        <v>0</v>
      </c>
      <c r="GW269" s="3">
        <v>1</v>
      </c>
      <c r="GX269" s="3">
        <f t="shared" si="297"/>
        <v>0</v>
      </c>
      <c r="HA269" s="3">
        <v>0</v>
      </c>
      <c r="HB269" s="3">
        <v>0</v>
      </c>
      <c r="HC269" s="3">
        <f t="shared" si="298"/>
        <v>0</v>
      </c>
      <c r="HE269" s="3" t="s">
        <v>334</v>
      </c>
      <c r="HF269" s="3" t="s">
        <v>37</v>
      </c>
      <c r="HM269" s="3" t="s">
        <v>3</v>
      </c>
      <c r="HN269" s="3" t="s">
        <v>3</v>
      </c>
      <c r="HO269" s="3" t="s">
        <v>3</v>
      </c>
      <c r="HP269" s="3" t="s">
        <v>3</v>
      </c>
      <c r="HQ269" s="3" t="s">
        <v>3</v>
      </c>
      <c r="HS269" s="3">
        <v>0</v>
      </c>
      <c r="IK269" s="3">
        <v>0</v>
      </c>
    </row>
    <row r="270" spans="1:255" x14ac:dyDescent="0.2">
      <c r="A270" s="2">
        <v>17</v>
      </c>
      <c r="B270" s="2">
        <v>1</v>
      </c>
      <c r="C270" s="2"/>
      <c r="D270" s="2"/>
      <c r="E270" s="2" t="s">
        <v>3</v>
      </c>
      <c r="F270" s="2" t="s">
        <v>389</v>
      </c>
      <c r="G270" s="2" t="s">
        <v>826</v>
      </c>
      <c r="H270" s="2" t="s">
        <v>390</v>
      </c>
      <c r="I270" s="2">
        <f>ROUND(150*1.03/1000,9)</f>
        <v>0.1545</v>
      </c>
      <c r="J270" s="2">
        <v>0</v>
      </c>
      <c r="K270" s="2">
        <f>ROUND(150*1.03/1000,9)</f>
        <v>0.1545</v>
      </c>
      <c r="L270" s="2"/>
      <c r="M270" s="2"/>
      <c r="N270" s="2"/>
      <c r="O270" s="2">
        <f t="shared" si="274"/>
        <v>3046.33</v>
      </c>
      <c r="P270" s="2">
        <f t="shared" si="275"/>
        <v>3046.33</v>
      </c>
      <c r="Q270" s="2">
        <f t="shared" si="311"/>
        <v>0</v>
      </c>
      <c r="R270" s="2">
        <f t="shared" si="312"/>
        <v>0</v>
      </c>
      <c r="S270" s="2">
        <f t="shared" si="276"/>
        <v>0</v>
      </c>
      <c r="T270" s="2">
        <f t="shared" si="277"/>
        <v>0</v>
      </c>
      <c r="U270" s="2">
        <f t="shared" si="278"/>
        <v>0</v>
      </c>
      <c r="V270" s="2">
        <f t="shared" si="279"/>
        <v>0</v>
      </c>
      <c r="W270" s="2">
        <f t="shared" si="280"/>
        <v>0</v>
      </c>
      <c r="X270" s="2">
        <f t="shared" si="313"/>
        <v>0</v>
      </c>
      <c r="Y270" s="2">
        <f t="shared" si="314"/>
        <v>0</v>
      </c>
      <c r="Z270" s="2"/>
      <c r="AA270" s="2">
        <v>-1</v>
      </c>
      <c r="AB270" s="2">
        <f t="shared" si="281"/>
        <v>19717.37</v>
      </c>
      <c r="AC270" s="2">
        <f t="shared" si="315"/>
        <v>19717.37</v>
      </c>
      <c r="AD270" s="2">
        <f t="shared" si="316"/>
        <v>0</v>
      </c>
      <c r="AE270" s="2">
        <f t="shared" si="317"/>
        <v>0</v>
      </c>
      <c r="AF270" s="2">
        <f t="shared" si="317"/>
        <v>0</v>
      </c>
      <c r="AG270" s="2">
        <f t="shared" si="282"/>
        <v>0</v>
      </c>
      <c r="AH270" s="2">
        <f t="shared" si="318"/>
        <v>0</v>
      </c>
      <c r="AI270" s="2">
        <f t="shared" si="318"/>
        <v>0</v>
      </c>
      <c r="AJ270" s="2">
        <f t="shared" si="283"/>
        <v>0</v>
      </c>
      <c r="AK270" s="2">
        <v>19717.37</v>
      </c>
      <c r="AL270" s="2">
        <v>19717.37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2</v>
      </c>
      <c r="BJ270" s="2" t="s">
        <v>391</v>
      </c>
      <c r="BK270" s="2"/>
      <c r="BL270" s="2"/>
      <c r="BM270" s="2">
        <v>1618</v>
      </c>
      <c r="BN270" s="2">
        <v>0</v>
      </c>
      <c r="BO270" s="2" t="s">
        <v>3</v>
      </c>
      <c r="BP270" s="2">
        <v>0</v>
      </c>
      <c r="BQ270" s="2">
        <v>201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0</v>
      </c>
      <c r="CA270" s="2">
        <v>0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3</v>
      </c>
      <c r="CO270" s="2">
        <v>0</v>
      </c>
      <c r="CP270" s="2">
        <f t="shared" si="284"/>
        <v>3046.33</v>
      </c>
      <c r="CQ270" s="2">
        <f t="shared" si="285"/>
        <v>19717.37</v>
      </c>
      <c r="CR270" s="2">
        <f t="shared" si="319"/>
        <v>0</v>
      </c>
      <c r="CS270" s="2">
        <f t="shared" si="320"/>
        <v>0</v>
      </c>
      <c r="CT270" s="2">
        <f t="shared" si="286"/>
        <v>0</v>
      </c>
      <c r="CU270" s="2">
        <f t="shared" si="287"/>
        <v>0</v>
      </c>
      <c r="CV270" s="2">
        <f t="shared" si="288"/>
        <v>0</v>
      </c>
      <c r="CW270" s="2">
        <f t="shared" si="289"/>
        <v>0</v>
      </c>
      <c r="CX270" s="2">
        <f t="shared" si="290"/>
        <v>0</v>
      </c>
      <c r="CY270" s="2">
        <f t="shared" si="321"/>
        <v>0</v>
      </c>
      <c r="CZ270" s="2">
        <f t="shared" si="322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390</v>
      </c>
      <c r="DW270" s="2" t="s">
        <v>390</v>
      </c>
      <c r="DX270" s="2">
        <v>1000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57248779</v>
      </c>
      <c r="EF270" s="2">
        <v>201</v>
      </c>
      <c r="EG270" s="2" t="s">
        <v>411</v>
      </c>
      <c r="EH270" s="2">
        <v>0</v>
      </c>
      <c r="EI270" s="2" t="s">
        <v>3</v>
      </c>
      <c r="EJ270" s="2">
        <v>2</v>
      </c>
      <c r="EK270" s="2">
        <v>1618</v>
      </c>
      <c r="EL270" s="2" t="s">
        <v>412</v>
      </c>
      <c r="EM270" s="2" t="s">
        <v>413</v>
      </c>
      <c r="EN270" s="2"/>
      <c r="EO270" s="2" t="s">
        <v>3</v>
      </c>
      <c r="EP270" s="2"/>
      <c r="EQ270" s="2">
        <v>132096</v>
      </c>
      <c r="ER270" s="2">
        <v>19717.37</v>
      </c>
      <c r="ES270" s="2">
        <v>19717.37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>
        <v>0</v>
      </c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0</v>
      </c>
      <c r="FY270" s="2">
        <v>0</v>
      </c>
      <c r="FZ270" s="2"/>
      <c r="GA270" s="2" t="s">
        <v>3</v>
      </c>
      <c r="GB270" s="2"/>
      <c r="GC270" s="2"/>
      <c r="GD270" s="2">
        <v>1</v>
      </c>
      <c r="GE270" s="2"/>
      <c r="GF270" s="2">
        <v>-2093195521</v>
      </c>
      <c r="GG270" s="2">
        <v>2</v>
      </c>
      <c r="GH270" s="2">
        <v>1</v>
      </c>
      <c r="GI270" s="2">
        <v>-2</v>
      </c>
      <c r="GJ270" s="2">
        <v>0</v>
      </c>
      <c r="GK270" s="2">
        <v>0</v>
      </c>
      <c r="GL270" s="2">
        <f t="shared" si="291"/>
        <v>0</v>
      </c>
      <c r="GM270" s="2">
        <f t="shared" si="292"/>
        <v>3046.33</v>
      </c>
      <c r="GN270" s="2">
        <f t="shared" si="293"/>
        <v>0</v>
      </c>
      <c r="GO270" s="2">
        <f t="shared" si="294"/>
        <v>3046.33</v>
      </c>
      <c r="GP270" s="2">
        <f t="shared" si="295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296"/>
        <v>0</v>
      </c>
      <c r="GW270" s="2">
        <v>1</v>
      </c>
      <c r="GX270" s="2">
        <f t="shared" si="297"/>
        <v>0</v>
      </c>
      <c r="GY270" s="2"/>
      <c r="GZ270" s="2"/>
      <c r="HA270" s="2">
        <v>0</v>
      </c>
      <c r="HB270" s="2">
        <v>0</v>
      </c>
      <c r="HC270" s="2">
        <f t="shared" si="298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3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3">
        <v>17</v>
      </c>
      <c r="B271" s="3">
        <v>1</v>
      </c>
      <c r="E271" s="3" t="s">
        <v>3</v>
      </c>
      <c r="F271" s="3" t="s">
        <v>389</v>
      </c>
      <c r="G271" s="3" t="s">
        <v>826</v>
      </c>
      <c r="H271" s="3" t="s">
        <v>390</v>
      </c>
      <c r="I271" s="3">
        <f>ROUND(150*1.03/1000,9)</f>
        <v>0.1545</v>
      </c>
      <c r="J271" s="3">
        <v>0</v>
      </c>
      <c r="K271" s="3">
        <f>ROUND(150*1.03/1000,9)</f>
        <v>0.1545</v>
      </c>
      <c r="O271" s="3">
        <f t="shared" si="274"/>
        <v>9900.57</v>
      </c>
      <c r="P271" s="3">
        <f t="shared" si="275"/>
        <v>9900.57</v>
      </c>
      <c r="Q271" s="3">
        <f t="shared" si="311"/>
        <v>0</v>
      </c>
      <c r="R271" s="3">
        <f t="shared" si="312"/>
        <v>0</v>
      </c>
      <c r="S271" s="3">
        <f t="shared" si="276"/>
        <v>0</v>
      </c>
      <c r="T271" s="3">
        <f t="shared" si="277"/>
        <v>0</v>
      </c>
      <c r="U271" s="3">
        <f t="shared" si="278"/>
        <v>0</v>
      </c>
      <c r="V271" s="3">
        <f t="shared" si="279"/>
        <v>0</v>
      </c>
      <c r="W271" s="3">
        <f t="shared" si="280"/>
        <v>0</v>
      </c>
      <c r="X271" s="3">
        <f t="shared" si="313"/>
        <v>0</v>
      </c>
      <c r="Y271" s="3">
        <f t="shared" si="314"/>
        <v>0</v>
      </c>
      <c r="AA271" s="3">
        <v>-1</v>
      </c>
      <c r="AB271" s="3">
        <f t="shared" si="281"/>
        <v>19717.37</v>
      </c>
      <c r="AC271" s="3">
        <f t="shared" si="315"/>
        <v>19717.37</v>
      </c>
      <c r="AD271" s="3">
        <f t="shared" si="316"/>
        <v>0</v>
      </c>
      <c r="AE271" s="3">
        <f t="shared" si="317"/>
        <v>0</v>
      </c>
      <c r="AF271" s="3">
        <f t="shared" si="317"/>
        <v>0</v>
      </c>
      <c r="AG271" s="3">
        <f t="shared" si="282"/>
        <v>0</v>
      </c>
      <c r="AH271" s="3">
        <f t="shared" si="318"/>
        <v>0</v>
      </c>
      <c r="AI271" s="3">
        <f t="shared" si="318"/>
        <v>0</v>
      </c>
      <c r="AJ271" s="3">
        <f t="shared" si="283"/>
        <v>0</v>
      </c>
      <c r="AK271" s="3">
        <v>19717.37</v>
      </c>
      <c r="AL271" s="3">
        <v>19717.37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1</v>
      </c>
      <c r="AW271" s="3">
        <v>1</v>
      </c>
      <c r="AZ271" s="3">
        <v>1</v>
      </c>
      <c r="BA271" s="3">
        <v>1</v>
      </c>
      <c r="BB271" s="3">
        <v>1</v>
      </c>
      <c r="BC271" s="3">
        <v>3.25</v>
      </c>
      <c r="BD271" s="3" t="s">
        <v>3</v>
      </c>
      <c r="BE271" s="3" t="s">
        <v>3</v>
      </c>
      <c r="BF271" s="3" t="s">
        <v>3</v>
      </c>
      <c r="BG271" s="3" t="s">
        <v>3</v>
      </c>
      <c r="BH271" s="3">
        <v>3</v>
      </c>
      <c r="BI271" s="3">
        <v>2</v>
      </c>
      <c r="BJ271" s="3" t="s">
        <v>391</v>
      </c>
      <c r="BM271" s="3">
        <v>1618</v>
      </c>
      <c r="BN271" s="3">
        <v>0</v>
      </c>
      <c r="BO271" s="3" t="s">
        <v>389</v>
      </c>
      <c r="BP271" s="3">
        <v>1</v>
      </c>
      <c r="BQ271" s="3">
        <v>201</v>
      </c>
      <c r="BR271" s="3">
        <v>0</v>
      </c>
      <c r="BS271" s="3">
        <v>1</v>
      </c>
      <c r="BT271" s="3">
        <v>1</v>
      </c>
      <c r="BU271" s="3">
        <v>1</v>
      </c>
      <c r="BV271" s="3">
        <v>1</v>
      </c>
      <c r="BW271" s="3">
        <v>1</v>
      </c>
      <c r="BX271" s="3">
        <v>1</v>
      </c>
      <c r="BY271" s="3" t="s">
        <v>3</v>
      </c>
      <c r="BZ271" s="3">
        <v>0</v>
      </c>
      <c r="CA271" s="3">
        <v>0</v>
      </c>
      <c r="CB271" s="3" t="s">
        <v>3</v>
      </c>
      <c r="CE271" s="3">
        <v>1566</v>
      </c>
      <c r="CF271" s="3">
        <v>0</v>
      </c>
      <c r="CG271" s="3">
        <v>0</v>
      </c>
      <c r="CM271" s="3">
        <v>0</v>
      </c>
      <c r="CN271" s="3" t="s">
        <v>3</v>
      </c>
      <c r="CO271" s="3">
        <v>0</v>
      </c>
      <c r="CP271" s="3">
        <f t="shared" si="284"/>
        <v>9900.57</v>
      </c>
      <c r="CQ271" s="3">
        <f t="shared" si="285"/>
        <v>64081.45</v>
      </c>
      <c r="CR271" s="3">
        <f t="shared" si="319"/>
        <v>0</v>
      </c>
      <c r="CS271" s="3">
        <f t="shared" si="320"/>
        <v>0</v>
      </c>
      <c r="CT271" s="3">
        <f t="shared" si="286"/>
        <v>0</v>
      </c>
      <c r="CU271" s="3">
        <f t="shared" si="287"/>
        <v>0</v>
      </c>
      <c r="CV271" s="3">
        <f t="shared" si="288"/>
        <v>0</v>
      </c>
      <c r="CW271" s="3">
        <f t="shared" si="289"/>
        <v>0</v>
      </c>
      <c r="CX271" s="3">
        <f t="shared" si="290"/>
        <v>0</v>
      </c>
      <c r="CY271" s="3">
        <f t="shared" si="321"/>
        <v>0</v>
      </c>
      <c r="CZ271" s="3">
        <f t="shared" si="322"/>
        <v>0</v>
      </c>
      <c r="DC271" s="3" t="s">
        <v>3</v>
      </c>
      <c r="DD271" s="3" t="s">
        <v>3</v>
      </c>
      <c r="DE271" s="3" t="s">
        <v>3</v>
      </c>
      <c r="DF271" s="3" t="s">
        <v>3</v>
      </c>
      <c r="DG271" s="3" t="s">
        <v>3</v>
      </c>
      <c r="DH271" s="3" t="s">
        <v>3</v>
      </c>
      <c r="DI271" s="3" t="s">
        <v>3</v>
      </c>
      <c r="DJ271" s="3" t="s">
        <v>3</v>
      </c>
      <c r="DK271" s="3" t="s">
        <v>3</v>
      </c>
      <c r="DL271" s="3" t="s">
        <v>3</v>
      </c>
      <c r="DM271" s="3" t="s">
        <v>3</v>
      </c>
      <c r="DN271" s="3">
        <v>0</v>
      </c>
      <c r="DO271" s="3">
        <v>0</v>
      </c>
      <c r="DP271" s="3">
        <v>1</v>
      </c>
      <c r="DQ271" s="3">
        <v>1</v>
      </c>
      <c r="DU271" s="3">
        <v>1003</v>
      </c>
      <c r="DV271" s="3" t="s">
        <v>390</v>
      </c>
      <c r="DW271" s="3" t="s">
        <v>390</v>
      </c>
      <c r="DX271" s="3">
        <v>1000</v>
      </c>
      <c r="DZ271" s="3" t="s">
        <v>3</v>
      </c>
      <c r="EA271" s="3" t="s">
        <v>3</v>
      </c>
      <c r="EB271" s="3" t="s">
        <v>3</v>
      </c>
      <c r="EC271" s="3" t="s">
        <v>3</v>
      </c>
      <c r="EE271" s="3">
        <v>57248779</v>
      </c>
      <c r="EF271" s="3">
        <v>201</v>
      </c>
      <c r="EG271" s="3" t="s">
        <v>411</v>
      </c>
      <c r="EH271" s="3">
        <v>0</v>
      </c>
      <c r="EI271" s="3" t="s">
        <v>3</v>
      </c>
      <c r="EJ271" s="3">
        <v>2</v>
      </c>
      <c r="EK271" s="3">
        <v>1618</v>
      </c>
      <c r="EL271" s="3" t="s">
        <v>412</v>
      </c>
      <c r="EM271" s="3" t="s">
        <v>413</v>
      </c>
      <c r="EO271" s="3" t="s">
        <v>3</v>
      </c>
      <c r="EQ271" s="3">
        <v>132096</v>
      </c>
      <c r="ER271" s="3">
        <v>19717.37</v>
      </c>
      <c r="ES271" s="3">
        <v>19717.37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FQ271" s="3">
        <v>0</v>
      </c>
      <c r="FR271" s="3">
        <v>0</v>
      </c>
      <c r="FS271" s="3">
        <v>0</v>
      </c>
      <c r="FX271" s="3">
        <v>0</v>
      </c>
      <c r="FY271" s="3">
        <v>0</v>
      </c>
      <c r="GA271" s="3" t="s">
        <v>3</v>
      </c>
      <c r="GD271" s="3">
        <v>1</v>
      </c>
      <c r="GF271" s="3">
        <v>-2093195521</v>
      </c>
      <c r="GG271" s="3">
        <v>2</v>
      </c>
      <c r="GH271" s="3">
        <v>1</v>
      </c>
      <c r="GI271" s="3">
        <v>2</v>
      </c>
      <c r="GJ271" s="3">
        <v>0</v>
      </c>
      <c r="GK271" s="3">
        <v>0</v>
      </c>
      <c r="GL271" s="3">
        <f t="shared" si="291"/>
        <v>0</v>
      </c>
      <c r="GM271" s="3">
        <f t="shared" si="292"/>
        <v>9900.57</v>
      </c>
      <c r="GN271" s="3">
        <f t="shared" si="293"/>
        <v>0</v>
      </c>
      <c r="GO271" s="3">
        <f t="shared" si="294"/>
        <v>9900.57</v>
      </c>
      <c r="GP271" s="3">
        <f t="shared" si="295"/>
        <v>0</v>
      </c>
      <c r="GR271" s="3">
        <v>0</v>
      </c>
      <c r="GS271" s="3">
        <v>3</v>
      </c>
      <c r="GT271" s="3">
        <v>0</v>
      </c>
      <c r="GU271" s="3" t="s">
        <v>3</v>
      </c>
      <c r="GV271" s="3">
        <f t="shared" si="296"/>
        <v>0</v>
      </c>
      <c r="GW271" s="3">
        <v>1</v>
      </c>
      <c r="GX271" s="3">
        <f t="shared" si="297"/>
        <v>0</v>
      </c>
      <c r="HA271" s="3">
        <v>0</v>
      </c>
      <c r="HB271" s="3">
        <v>0</v>
      </c>
      <c r="HC271" s="3">
        <f t="shared" si="298"/>
        <v>0</v>
      </c>
      <c r="HE271" s="3" t="s">
        <v>3</v>
      </c>
      <c r="HF271" s="3" t="s">
        <v>3</v>
      </c>
      <c r="HM271" s="3" t="s">
        <v>3</v>
      </c>
      <c r="HN271" s="3" t="s">
        <v>3</v>
      </c>
      <c r="HO271" s="3" t="s">
        <v>3</v>
      </c>
      <c r="HP271" s="3" t="s">
        <v>3</v>
      </c>
      <c r="HQ271" s="3" t="s">
        <v>3</v>
      </c>
      <c r="HS271" s="3">
        <v>0</v>
      </c>
      <c r="IK271" s="3">
        <v>0</v>
      </c>
    </row>
    <row r="272" spans="1:255" x14ac:dyDescent="0.2">
      <c r="A272" s="2">
        <v>17</v>
      </c>
      <c r="B272" s="2">
        <v>1</v>
      </c>
      <c r="C272" s="2"/>
      <c r="D272" s="2"/>
      <c r="E272" s="2" t="s">
        <v>3</v>
      </c>
      <c r="F272" s="2" t="s">
        <v>397</v>
      </c>
      <c r="G272" s="2" t="s">
        <v>398</v>
      </c>
      <c r="H272" s="2" t="s">
        <v>341</v>
      </c>
      <c r="I272" s="2">
        <f>ROUND(2*1.03,9)</f>
        <v>2.06</v>
      </c>
      <c r="J272" s="2">
        <v>0</v>
      </c>
      <c r="K272" s="2">
        <f>ROUND(2*1.03,9)</f>
        <v>2.06</v>
      </c>
      <c r="L272" s="2"/>
      <c r="M272" s="2"/>
      <c r="N272" s="2"/>
      <c r="O272" s="2">
        <f t="shared" si="274"/>
        <v>23.98</v>
      </c>
      <c r="P272" s="2">
        <f t="shared" si="275"/>
        <v>23.98</v>
      </c>
      <c r="Q272" s="2">
        <f t="shared" si="311"/>
        <v>0</v>
      </c>
      <c r="R272" s="2">
        <f t="shared" si="312"/>
        <v>0</v>
      </c>
      <c r="S272" s="2">
        <f t="shared" si="276"/>
        <v>0</v>
      </c>
      <c r="T272" s="2">
        <f t="shared" si="277"/>
        <v>0</v>
      </c>
      <c r="U272" s="2">
        <f t="shared" si="278"/>
        <v>0</v>
      </c>
      <c r="V272" s="2">
        <f t="shared" si="279"/>
        <v>0</v>
      </c>
      <c r="W272" s="2">
        <f t="shared" si="280"/>
        <v>0</v>
      </c>
      <c r="X272" s="2">
        <f t="shared" si="313"/>
        <v>0</v>
      </c>
      <c r="Y272" s="2">
        <f t="shared" si="314"/>
        <v>0</v>
      </c>
      <c r="Z272" s="2"/>
      <c r="AA272" s="2">
        <v>-1</v>
      </c>
      <c r="AB272" s="2">
        <f t="shared" si="281"/>
        <v>11.64</v>
      </c>
      <c r="AC272" s="2">
        <f t="shared" si="315"/>
        <v>11.64</v>
      </c>
      <c r="AD272" s="2">
        <f t="shared" si="316"/>
        <v>0</v>
      </c>
      <c r="AE272" s="2">
        <f t="shared" si="317"/>
        <v>0</v>
      </c>
      <c r="AF272" s="2">
        <f t="shared" si="317"/>
        <v>0</v>
      </c>
      <c r="AG272" s="2">
        <f t="shared" si="282"/>
        <v>0</v>
      </c>
      <c r="AH272" s="2">
        <f t="shared" si="318"/>
        <v>0</v>
      </c>
      <c r="AI272" s="2">
        <f t="shared" si="318"/>
        <v>0</v>
      </c>
      <c r="AJ272" s="2">
        <f t="shared" si="283"/>
        <v>0</v>
      </c>
      <c r="AK272" s="2">
        <v>11.64</v>
      </c>
      <c r="AL272" s="2">
        <v>11.64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2</v>
      </c>
      <c r="BJ272" s="2" t="s">
        <v>397</v>
      </c>
      <c r="BK272" s="2"/>
      <c r="BL272" s="2"/>
      <c r="BM272" s="2">
        <v>400005</v>
      </c>
      <c r="BN272" s="2">
        <v>0</v>
      </c>
      <c r="BO272" s="2" t="s">
        <v>3</v>
      </c>
      <c r="BP272" s="2">
        <v>0</v>
      </c>
      <c r="BQ272" s="2">
        <v>213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0</v>
      </c>
      <c r="CA272" s="2">
        <v>0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3</v>
      </c>
      <c r="CO272" s="2">
        <v>0</v>
      </c>
      <c r="CP272" s="2">
        <f t="shared" si="284"/>
        <v>23.98</v>
      </c>
      <c r="CQ272" s="2">
        <f t="shared" si="285"/>
        <v>11.64</v>
      </c>
      <c r="CR272" s="2">
        <f t="shared" si="319"/>
        <v>0</v>
      </c>
      <c r="CS272" s="2">
        <f t="shared" si="320"/>
        <v>0</v>
      </c>
      <c r="CT272" s="2">
        <f t="shared" si="286"/>
        <v>0</v>
      </c>
      <c r="CU272" s="2">
        <f t="shared" si="287"/>
        <v>0</v>
      </c>
      <c r="CV272" s="2">
        <f t="shared" si="288"/>
        <v>0</v>
      </c>
      <c r="CW272" s="2">
        <f t="shared" si="289"/>
        <v>0</v>
      </c>
      <c r="CX272" s="2">
        <f t="shared" si="290"/>
        <v>0</v>
      </c>
      <c r="CY272" s="2">
        <f t="shared" si="321"/>
        <v>0</v>
      </c>
      <c r="CZ272" s="2">
        <f t="shared" si="322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1003</v>
      </c>
      <c r="DV272" s="2" t="s">
        <v>341</v>
      </c>
      <c r="DW272" s="2" t="s">
        <v>341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57248790</v>
      </c>
      <c r="EF272" s="2">
        <v>213</v>
      </c>
      <c r="EG272" s="2" t="s">
        <v>331</v>
      </c>
      <c r="EH272" s="2">
        <v>0</v>
      </c>
      <c r="EI272" s="2" t="s">
        <v>3</v>
      </c>
      <c r="EJ272" s="2">
        <v>1</v>
      </c>
      <c r="EK272" s="2">
        <v>400005</v>
      </c>
      <c r="EL272" s="2" t="s">
        <v>331</v>
      </c>
      <c r="EM272" s="2" t="s">
        <v>332</v>
      </c>
      <c r="EN272" s="2"/>
      <c r="EO272" s="2" t="s">
        <v>3</v>
      </c>
      <c r="EP272" s="2"/>
      <c r="EQ272" s="2">
        <v>132112</v>
      </c>
      <c r="ER272" s="2">
        <v>0</v>
      </c>
      <c r="ES272" s="2">
        <v>11.64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>
        <v>0</v>
      </c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0</v>
      </c>
      <c r="FY272" s="2">
        <v>0</v>
      </c>
      <c r="FZ272" s="2"/>
      <c r="GA272" s="2" t="s">
        <v>399</v>
      </c>
      <c r="GB272" s="2"/>
      <c r="GC272" s="2"/>
      <c r="GD272" s="2">
        <v>1</v>
      </c>
      <c r="GE272" s="2"/>
      <c r="GF272" s="2">
        <v>1773367642</v>
      </c>
      <c r="GG272" s="2">
        <v>2</v>
      </c>
      <c r="GH272" s="2">
        <v>4</v>
      </c>
      <c r="GI272" s="2">
        <v>-2</v>
      </c>
      <c r="GJ272" s="2">
        <v>0</v>
      </c>
      <c r="GK272" s="2">
        <v>0</v>
      </c>
      <c r="GL272" s="2">
        <f t="shared" si="291"/>
        <v>0</v>
      </c>
      <c r="GM272" s="2">
        <f t="shared" si="292"/>
        <v>23.98</v>
      </c>
      <c r="GN272" s="2">
        <f t="shared" si="293"/>
        <v>0</v>
      </c>
      <c r="GO272" s="2">
        <f t="shared" si="294"/>
        <v>23.98</v>
      </c>
      <c r="GP272" s="2">
        <f t="shared" si="295"/>
        <v>0</v>
      </c>
      <c r="GQ272" s="2"/>
      <c r="GR272" s="2">
        <v>1</v>
      </c>
      <c r="GS272" s="2">
        <v>2</v>
      </c>
      <c r="GT272" s="2">
        <v>0</v>
      </c>
      <c r="GU272" s="2" t="s">
        <v>3</v>
      </c>
      <c r="GV272" s="2">
        <f t="shared" si="296"/>
        <v>0</v>
      </c>
      <c r="GW272" s="2">
        <v>1</v>
      </c>
      <c r="GX272" s="2">
        <f t="shared" si="297"/>
        <v>0</v>
      </c>
      <c r="GY272" s="2"/>
      <c r="GZ272" s="2"/>
      <c r="HA272" s="2">
        <v>0</v>
      </c>
      <c r="HB272" s="2">
        <v>0</v>
      </c>
      <c r="HC272" s="2">
        <f t="shared" si="298"/>
        <v>0</v>
      </c>
      <c r="HD272" s="2"/>
      <c r="HE272" s="2" t="s">
        <v>334</v>
      </c>
      <c r="HF272" s="2" t="s">
        <v>37</v>
      </c>
      <c r="HG272" s="2"/>
      <c r="HH272" s="2"/>
      <c r="HI272" s="2"/>
      <c r="HJ272" s="2"/>
      <c r="HK272" s="2"/>
      <c r="HL272" s="2"/>
      <c r="HM272" s="2" t="s">
        <v>3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3">
        <v>17</v>
      </c>
      <c r="B273" s="3">
        <v>1</v>
      </c>
      <c r="E273" s="3" t="s">
        <v>3</v>
      </c>
      <c r="F273" s="3" t="s">
        <v>397</v>
      </c>
      <c r="G273" s="3" t="s">
        <v>398</v>
      </c>
      <c r="H273" s="3" t="s">
        <v>341</v>
      </c>
      <c r="I273" s="3">
        <f>ROUND(2*1.03,9)</f>
        <v>2.06</v>
      </c>
      <c r="J273" s="3">
        <v>0</v>
      </c>
      <c r="K273" s="3">
        <f>ROUND(2*1.03,9)</f>
        <v>2.06</v>
      </c>
      <c r="O273" s="3">
        <f t="shared" si="274"/>
        <v>235.96</v>
      </c>
      <c r="P273" s="3">
        <f t="shared" si="275"/>
        <v>235.96</v>
      </c>
      <c r="Q273" s="3">
        <f t="shared" si="311"/>
        <v>0</v>
      </c>
      <c r="R273" s="3">
        <f t="shared" si="312"/>
        <v>0</v>
      </c>
      <c r="S273" s="3">
        <f t="shared" si="276"/>
        <v>0</v>
      </c>
      <c r="T273" s="3">
        <f t="shared" si="277"/>
        <v>0</v>
      </c>
      <c r="U273" s="3">
        <f t="shared" si="278"/>
        <v>0</v>
      </c>
      <c r="V273" s="3">
        <f t="shared" si="279"/>
        <v>0</v>
      </c>
      <c r="W273" s="3">
        <f t="shared" si="280"/>
        <v>0</v>
      </c>
      <c r="X273" s="3">
        <f t="shared" si="313"/>
        <v>0</v>
      </c>
      <c r="Y273" s="3">
        <f t="shared" si="314"/>
        <v>0</v>
      </c>
      <c r="AA273" s="3">
        <v>-1</v>
      </c>
      <c r="AB273" s="3">
        <f t="shared" si="281"/>
        <v>11.64</v>
      </c>
      <c r="AC273" s="3">
        <f t="shared" si="315"/>
        <v>11.64</v>
      </c>
      <c r="AD273" s="3">
        <f t="shared" si="316"/>
        <v>0</v>
      </c>
      <c r="AE273" s="3">
        <f t="shared" si="317"/>
        <v>0</v>
      </c>
      <c r="AF273" s="3">
        <f t="shared" si="317"/>
        <v>0</v>
      </c>
      <c r="AG273" s="3">
        <f t="shared" si="282"/>
        <v>0</v>
      </c>
      <c r="AH273" s="3">
        <f t="shared" si="318"/>
        <v>0</v>
      </c>
      <c r="AI273" s="3">
        <f t="shared" si="318"/>
        <v>0</v>
      </c>
      <c r="AJ273" s="3">
        <f t="shared" si="283"/>
        <v>0</v>
      </c>
      <c r="AK273" s="3">
        <v>11.64</v>
      </c>
      <c r="AL273" s="3">
        <v>11.64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1</v>
      </c>
      <c r="AW273" s="3">
        <v>1</v>
      </c>
      <c r="AZ273" s="3">
        <v>1</v>
      </c>
      <c r="BA273" s="3">
        <v>1</v>
      </c>
      <c r="BB273" s="3">
        <v>1</v>
      </c>
      <c r="BC273" s="3">
        <v>9.84</v>
      </c>
      <c r="BD273" s="3" t="s">
        <v>3</v>
      </c>
      <c r="BE273" s="3" t="s">
        <v>3</v>
      </c>
      <c r="BF273" s="3" t="s">
        <v>3</v>
      </c>
      <c r="BG273" s="3" t="s">
        <v>3</v>
      </c>
      <c r="BH273" s="3">
        <v>3</v>
      </c>
      <c r="BI273" s="3">
        <v>2</v>
      </c>
      <c r="BJ273" s="3" t="s">
        <v>397</v>
      </c>
      <c r="BM273" s="3">
        <v>400005</v>
      </c>
      <c r="BN273" s="3">
        <v>0</v>
      </c>
      <c r="BO273" s="3" t="s">
        <v>3</v>
      </c>
      <c r="BP273" s="3">
        <v>0</v>
      </c>
      <c r="BQ273" s="3">
        <v>213</v>
      </c>
      <c r="BR273" s="3">
        <v>0</v>
      </c>
      <c r="BS273" s="3">
        <v>1</v>
      </c>
      <c r="BT273" s="3">
        <v>1</v>
      </c>
      <c r="BU273" s="3">
        <v>1</v>
      </c>
      <c r="BV273" s="3">
        <v>1</v>
      </c>
      <c r="BW273" s="3">
        <v>1</v>
      </c>
      <c r="BX273" s="3">
        <v>1</v>
      </c>
      <c r="BY273" s="3" t="s">
        <v>3</v>
      </c>
      <c r="BZ273" s="3">
        <v>0</v>
      </c>
      <c r="CA273" s="3">
        <v>0</v>
      </c>
      <c r="CB273" s="3" t="s">
        <v>3</v>
      </c>
      <c r="CE273" s="3">
        <v>1566</v>
      </c>
      <c r="CF273" s="3">
        <v>0</v>
      </c>
      <c r="CG273" s="3">
        <v>0</v>
      </c>
      <c r="CM273" s="3">
        <v>0</v>
      </c>
      <c r="CN273" s="3" t="s">
        <v>3</v>
      </c>
      <c r="CO273" s="3">
        <v>0</v>
      </c>
      <c r="CP273" s="3">
        <f t="shared" si="284"/>
        <v>235.96</v>
      </c>
      <c r="CQ273" s="3">
        <f t="shared" si="285"/>
        <v>114.54</v>
      </c>
      <c r="CR273" s="3">
        <f t="shared" si="319"/>
        <v>0</v>
      </c>
      <c r="CS273" s="3">
        <f t="shared" si="320"/>
        <v>0</v>
      </c>
      <c r="CT273" s="3">
        <f t="shared" si="286"/>
        <v>0</v>
      </c>
      <c r="CU273" s="3">
        <f t="shared" si="287"/>
        <v>0</v>
      </c>
      <c r="CV273" s="3">
        <f t="shared" si="288"/>
        <v>0</v>
      </c>
      <c r="CW273" s="3">
        <f t="shared" si="289"/>
        <v>0</v>
      </c>
      <c r="CX273" s="3">
        <f t="shared" si="290"/>
        <v>0</v>
      </c>
      <c r="CY273" s="3">
        <f t="shared" si="321"/>
        <v>0</v>
      </c>
      <c r="CZ273" s="3">
        <f t="shared" si="322"/>
        <v>0</v>
      </c>
      <c r="DC273" s="3" t="s">
        <v>3</v>
      </c>
      <c r="DD273" s="3" t="s">
        <v>3</v>
      </c>
      <c r="DE273" s="3" t="s">
        <v>3</v>
      </c>
      <c r="DF273" s="3" t="s">
        <v>3</v>
      </c>
      <c r="DG273" s="3" t="s">
        <v>3</v>
      </c>
      <c r="DH273" s="3" t="s">
        <v>3</v>
      </c>
      <c r="DI273" s="3" t="s">
        <v>3</v>
      </c>
      <c r="DJ273" s="3" t="s">
        <v>3</v>
      </c>
      <c r="DK273" s="3" t="s">
        <v>3</v>
      </c>
      <c r="DL273" s="3" t="s">
        <v>3</v>
      </c>
      <c r="DM273" s="3" t="s">
        <v>3</v>
      </c>
      <c r="DN273" s="3">
        <v>0</v>
      </c>
      <c r="DO273" s="3">
        <v>0</v>
      </c>
      <c r="DP273" s="3">
        <v>1</v>
      </c>
      <c r="DQ273" s="3">
        <v>1</v>
      </c>
      <c r="DU273" s="3">
        <v>1003</v>
      </c>
      <c r="DV273" s="3" t="s">
        <v>341</v>
      </c>
      <c r="DW273" s="3" t="s">
        <v>341</v>
      </c>
      <c r="DX273" s="3">
        <v>1</v>
      </c>
      <c r="DZ273" s="3" t="s">
        <v>3</v>
      </c>
      <c r="EA273" s="3" t="s">
        <v>3</v>
      </c>
      <c r="EB273" s="3" t="s">
        <v>3</v>
      </c>
      <c r="EC273" s="3" t="s">
        <v>3</v>
      </c>
      <c r="EE273" s="3">
        <v>57248790</v>
      </c>
      <c r="EF273" s="3">
        <v>213</v>
      </c>
      <c r="EG273" s="3" t="s">
        <v>331</v>
      </c>
      <c r="EH273" s="3">
        <v>0</v>
      </c>
      <c r="EI273" s="3" t="s">
        <v>3</v>
      </c>
      <c r="EJ273" s="3">
        <v>1</v>
      </c>
      <c r="EK273" s="3">
        <v>400005</v>
      </c>
      <c r="EL273" s="3" t="s">
        <v>331</v>
      </c>
      <c r="EM273" s="3" t="s">
        <v>332</v>
      </c>
      <c r="EO273" s="3" t="s">
        <v>3</v>
      </c>
      <c r="EQ273" s="3">
        <v>132112</v>
      </c>
      <c r="ER273" s="3">
        <v>0</v>
      </c>
      <c r="ES273" s="3">
        <v>11.64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5</v>
      </c>
      <c r="FC273" s="3">
        <v>1</v>
      </c>
      <c r="FD273" s="3">
        <v>18</v>
      </c>
      <c r="FF273" s="3">
        <v>136.97</v>
      </c>
      <c r="FQ273" s="3">
        <v>0</v>
      </c>
      <c r="FR273" s="3">
        <v>0</v>
      </c>
      <c r="FS273" s="3">
        <v>0</v>
      </c>
      <c r="FX273" s="3">
        <v>0</v>
      </c>
      <c r="FY273" s="3">
        <v>0</v>
      </c>
      <c r="GA273" s="3" t="s">
        <v>399</v>
      </c>
      <c r="GD273" s="3">
        <v>1</v>
      </c>
      <c r="GF273" s="3">
        <v>1773367642</v>
      </c>
      <c r="GG273" s="3">
        <v>2</v>
      </c>
      <c r="GH273" s="3">
        <v>3</v>
      </c>
      <c r="GI273" s="3">
        <v>5</v>
      </c>
      <c r="GJ273" s="3">
        <v>0</v>
      </c>
      <c r="GK273" s="3">
        <v>0</v>
      </c>
      <c r="GL273" s="3">
        <f t="shared" si="291"/>
        <v>0</v>
      </c>
      <c r="GM273" s="3">
        <f t="shared" si="292"/>
        <v>235.96</v>
      </c>
      <c r="GN273" s="3">
        <f t="shared" si="293"/>
        <v>0</v>
      </c>
      <c r="GO273" s="3">
        <f t="shared" si="294"/>
        <v>235.96</v>
      </c>
      <c r="GP273" s="3">
        <f t="shared" si="295"/>
        <v>0</v>
      </c>
      <c r="GR273" s="3">
        <v>1</v>
      </c>
      <c r="GS273" s="3">
        <v>1</v>
      </c>
      <c r="GT273" s="3">
        <v>0</v>
      </c>
      <c r="GU273" s="3" t="s">
        <v>3</v>
      </c>
      <c r="GV273" s="3">
        <f t="shared" si="296"/>
        <v>0</v>
      </c>
      <c r="GW273" s="3">
        <v>1</v>
      </c>
      <c r="GX273" s="3">
        <f t="shared" si="297"/>
        <v>0</v>
      </c>
      <c r="HA273" s="3">
        <v>0</v>
      </c>
      <c r="HB273" s="3">
        <v>0</v>
      </c>
      <c r="HC273" s="3">
        <f t="shared" si="298"/>
        <v>0</v>
      </c>
      <c r="HE273" s="3" t="s">
        <v>334</v>
      </c>
      <c r="HF273" s="3" t="s">
        <v>37</v>
      </c>
      <c r="HM273" s="3" t="s">
        <v>3</v>
      </c>
      <c r="HN273" s="3" t="s">
        <v>3</v>
      </c>
      <c r="HO273" s="3" t="s">
        <v>3</v>
      </c>
      <c r="HP273" s="3" t="s">
        <v>3</v>
      </c>
      <c r="HQ273" s="3" t="s">
        <v>3</v>
      </c>
      <c r="HS273" s="3">
        <v>0</v>
      </c>
      <c r="IK273" s="3">
        <v>0</v>
      </c>
    </row>
    <row r="274" spans="1:255" x14ac:dyDescent="0.2">
      <c r="A274" s="2">
        <v>17</v>
      </c>
      <c r="B274" s="2">
        <v>1</v>
      </c>
      <c r="C274" s="2">
        <f>ROW(SmtRes!A376)</f>
        <v>376</v>
      </c>
      <c r="D274" s="2">
        <f>ROW(EtalonRes!A463)</f>
        <v>463</v>
      </c>
      <c r="E274" s="2" t="s">
        <v>3</v>
      </c>
      <c r="F274" s="2" t="s">
        <v>414</v>
      </c>
      <c r="G274" s="2" t="s">
        <v>415</v>
      </c>
      <c r="H274" s="2" t="s">
        <v>117</v>
      </c>
      <c r="I274" s="2">
        <f>ROUND(2/100,9)</f>
        <v>0.02</v>
      </c>
      <c r="J274" s="2">
        <v>0</v>
      </c>
      <c r="K274" s="2">
        <f>ROUND(2/100,9)</f>
        <v>0.02</v>
      </c>
      <c r="L274" s="2"/>
      <c r="M274" s="2"/>
      <c r="N274" s="2"/>
      <c r="O274" s="2">
        <f t="shared" si="274"/>
        <v>1.75</v>
      </c>
      <c r="P274" s="2">
        <f t="shared" si="275"/>
        <v>1.1100000000000001</v>
      </c>
      <c r="Q274" s="2">
        <f>(ROUND((ROUND((((ET274*1.2))*AV274*I274),2)*BB274),2)+ROUND((ROUND(((AE274-((EU274*1.2)))*AV274*I274),2)*BS274),2))</f>
        <v>7.0000000000000007E-2</v>
      </c>
      <c r="R274" s="2">
        <f>(ROUND((ROUND((((EU274*1.2))*AV274*I274),2)*BS274),2)+ROUND((ROUND(((AE274-((EU274*1.2)))*AV274*I274),2)*BS274),2))</f>
        <v>0.01</v>
      </c>
      <c r="S274" s="2">
        <f t="shared" si="276"/>
        <v>0.56999999999999995</v>
      </c>
      <c r="T274" s="2">
        <f t="shared" si="277"/>
        <v>0</v>
      </c>
      <c r="U274" s="2">
        <f t="shared" si="278"/>
        <v>4.5984239999999996E-2</v>
      </c>
      <c r="V274" s="2">
        <f t="shared" si="279"/>
        <v>0</v>
      </c>
      <c r="W274" s="2">
        <f t="shared" si="280"/>
        <v>0</v>
      </c>
      <c r="X274" s="2">
        <f>(ROUND((((S274+ROUND((ROUND((((EU274*1.2))*AV274*I274),2)*BS274),2))*AT274)/100),2)+ROUND(((ROUND((ROUND(((AE274-((EU274*1.2)))*AV274*I274),2)*BS274),2)*AT274)/100),2))</f>
        <v>0.56000000000000005</v>
      </c>
      <c r="Y274" s="2">
        <f>(ROUND((((S274+ROUND((ROUND((((EU274*1.2))*AV274*I274),2)*BS274),2))*AU274)/100),2)+ROUND(((ROUND((ROUND(((AE274-((EU274*1.2)))*AV274*I274),2)*BS274),2)*AU274)/100),2))</f>
        <v>0.3</v>
      </c>
      <c r="Z274" s="2"/>
      <c r="AA274" s="2">
        <v>-1</v>
      </c>
      <c r="AB274" s="2">
        <f t="shared" si="281"/>
        <v>85.626000000000005</v>
      </c>
      <c r="AC274" s="2">
        <f>ROUND(((ES274*1)),6)</f>
        <v>55.47</v>
      </c>
      <c r="AD274" s="2">
        <f>ROUND(((((ET274*1.2))-((EU274*1.2)))+AE274),6)</f>
        <v>3.1440000000000001</v>
      </c>
      <c r="AE274" s="2">
        <f>ROUND(((EU274*1.2)),6)</f>
        <v>0.36</v>
      </c>
      <c r="AF274" s="2">
        <f>ROUND(((EV274*1.2)),6)</f>
        <v>27.012</v>
      </c>
      <c r="AG274" s="2">
        <f t="shared" si="282"/>
        <v>0</v>
      </c>
      <c r="AH274" s="2">
        <f>((EW274*1.2))</f>
        <v>2.1960000000000002</v>
      </c>
      <c r="AI274" s="2">
        <f>((EX274*1.2))</f>
        <v>0</v>
      </c>
      <c r="AJ274" s="2">
        <f t="shared" si="283"/>
        <v>0</v>
      </c>
      <c r="AK274" s="2">
        <v>80.599999999999994</v>
      </c>
      <c r="AL274" s="2">
        <v>55.47</v>
      </c>
      <c r="AM274" s="2">
        <v>2.62</v>
      </c>
      <c r="AN274" s="2">
        <v>0.3</v>
      </c>
      <c r="AO274" s="2">
        <v>22.51</v>
      </c>
      <c r="AP274" s="2">
        <v>0</v>
      </c>
      <c r="AQ274" s="2">
        <v>1.83</v>
      </c>
      <c r="AR274" s="2">
        <v>0</v>
      </c>
      <c r="AS274" s="2">
        <v>0</v>
      </c>
      <c r="AT274" s="2">
        <v>97</v>
      </c>
      <c r="AU274" s="2">
        <v>51</v>
      </c>
      <c r="AV274" s="2">
        <v>1.0469999999999999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0</v>
      </c>
      <c r="BI274" s="2">
        <v>2</v>
      </c>
      <c r="BJ274" s="2" t="s">
        <v>416</v>
      </c>
      <c r="BK274" s="2"/>
      <c r="BL274" s="2"/>
      <c r="BM274" s="2">
        <v>67</v>
      </c>
      <c r="BN274" s="2">
        <v>0</v>
      </c>
      <c r="BO274" s="2" t="s">
        <v>414</v>
      </c>
      <c r="BP274" s="2">
        <v>1</v>
      </c>
      <c r="BQ274" s="2">
        <v>40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97</v>
      </c>
      <c r="CA274" s="2">
        <v>51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820</v>
      </c>
      <c r="CO274" s="2">
        <v>0</v>
      </c>
      <c r="CP274" s="2">
        <f t="shared" si="284"/>
        <v>1.75</v>
      </c>
      <c r="CQ274" s="2">
        <f t="shared" si="285"/>
        <v>55.47</v>
      </c>
      <c r="CR274" s="2">
        <f>(ROUND((ROUND((((ET274*1.2))*AV274*1),2)*BB274),2)+ROUND((ROUND(((AE274-((EU274*1.2)))*AV274*1),2)*BS274),2))</f>
        <v>3.29</v>
      </c>
      <c r="CS274" s="2">
        <f>(ROUND((ROUND((((EU274*1.2))*AV274*1),2)*BS274),2)+ROUND((ROUND(((AE274-((EU274*1.2)))*AV274*1),2)*BS274),2))</f>
        <v>0.38</v>
      </c>
      <c r="CT274" s="2">
        <f t="shared" si="286"/>
        <v>28.28</v>
      </c>
      <c r="CU274" s="2">
        <f t="shared" si="287"/>
        <v>0</v>
      </c>
      <c r="CV274" s="2">
        <f t="shared" si="288"/>
        <v>2.2992119999999998</v>
      </c>
      <c r="CW274" s="2">
        <f t="shared" si="289"/>
        <v>0</v>
      </c>
      <c r="CX274" s="2">
        <f t="shared" si="290"/>
        <v>0</v>
      </c>
      <c r="CY274" s="2">
        <f>(ROUND((((S274+ROUND((ROUND((((EU274*1.2))*AV274*1),2)*BS274),2))*AT274)/100),2)+ROUND(((ROUND((ROUND(((AE274-((EU274*1.2)))*AV274*1),2)*BS274),2)*AT274)/100),2))</f>
        <v>0.92</v>
      </c>
      <c r="CZ274" s="2">
        <f>(ROUND((((S274+ROUND((ROUND((((EU274*1.2))*AV274*1),2)*BS274),2))*AU274)/100),2)+ROUND(((ROUND((ROUND(((AE274-((EU274*1.2)))*AV274*1),2)*BS274),2)*AU274)/100),2))</f>
        <v>0.48</v>
      </c>
      <c r="DA274" s="2"/>
      <c r="DB274" s="2">
        <v>121</v>
      </c>
      <c r="DC274" s="2" t="s">
        <v>3</v>
      </c>
      <c r="DD274" s="2" t="s">
        <v>119</v>
      </c>
      <c r="DE274" s="2" t="s">
        <v>120</v>
      </c>
      <c r="DF274" s="2" t="s">
        <v>120</v>
      </c>
      <c r="DG274" s="2" t="s">
        <v>120</v>
      </c>
      <c r="DH274" s="2" t="s">
        <v>3</v>
      </c>
      <c r="DI274" s="2" t="s">
        <v>120</v>
      </c>
      <c r="DJ274" s="2" t="s">
        <v>120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1003</v>
      </c>
      <c r="DV274" s="2" t="s">
        <v>117</v>
      </c>
      <c r="DW274" s="2" t="s">
        <v>117</v>
      </c>
      <c r="DX274" s="2">
        <v>100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57248651</v>
      </c>
      <c r="EF274" s="2">
        <v>40</v>
      </c>
      <c r="EG274" s="2" t="s">
        <v>33</v>
      </c>
      <c r="EH274" s="2">
        <v>0</v>
      </c>
      <c r="EI274" s="2" t="s">
        <v>3</v>
      </c>
      <c r="EJ274" s="2">
        <v>2</v>
      </c>
      <c r="EK274" s="2">
        <v>67</v>
      </c>
      <c r="EL274" s="2" t="s">
        <v>69</v>
      </c>
      <c r="EM274" s="2" t="s">
        <v>70</v>
      </c>
      <c r="EN274" s="2"/>
      <c r="EO274" s="2" t="s">
        <v>124</v>
      </c>
      <c r="EP274" s="2"/>
      <c r="EQ274" s="2">
        <v>132096</v>
      </c>
      <c r="ER274" s="2">
        <v>80.599999999999994</v>
      </c>
      <c r="ES274" s="2">
        <v>55.47</v>
      </c>
      <c r="ET274" s="2">
        <v>2.62</v>
      </c>
      <c r="EU274" s="2">
        <v>0.3</v>
      </c>
      <c r="EV274" s="2">
        <v>22.51</v>
      </c>
      <c r="EW274" s="2">
        <v>1.83</v>
      </c>
      <c r="EX274" s="2">
        <v>0</v>
      </c>
      <c r="EY274" s="2">
        <v>0</v>
      </c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97</v>
      </c>
      <c r="FY274" s="2">
        <v>51</v>
      </c>
      <c r="FZ274" s="2"/>
      <c r="GA274" s="2" t="s">
        <v>3</v>
      </c>
      <c r="GB274" s="2"/>
      <c r="GC274" s="2"/>
      <c r="GD274" s="2">
        <v>1</v>
      </c>
      <c r="GE274" s="2"/>
      <c r="GF274" s="2">
        <v>370634059</v>
      </c>
      <c r="GG274" s="2">
        <v>2</v>
      </c>
      <c r="GH274" s="2">
        <v>1</v>
      </c>
      <c r="GI274" s="2">
        <v>2</v>
      </c>
      <c r="GJ274" s="2">
        <v>0</v>
      </c>
      <c r="GK274" s="2">
        <v>0</v>
      </c>
      <c r="GL274" s="2">
        <f t="shared" si="291"/>
        <v>0</v>
      </c>
      <c r="GM274" s="2">
        <f t="shared" si="292"/>
        <v>2.61</v>
      </c>
      <c r="GN274" s="2">
        <f t="shared" si="293"/>
        <v>0</v>
      </c>
      <c r="GO274" s="2">
        <f t="shared" si="294"/>
        <v>2.61</v>
      </c>
      <c r="GP274" s="2">
        <f t="shared" si="295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296"/>
        <v>0</v>
      </c>
      <c r="GW274" s="2">
        <v>1</v>
      </c>
      <c r="GX274" s="2">
        <f t="shared" si="297"/>
        <v>0</v>
      </c>
      <c r="GY274" s="2"/>
      <c r="GZ274" s="2"/>
      <c r="HA274" s="2">
        <v>0</v>
      </c>
      <c r="HB274" s="2">
        <v>0</v>
      </c>
      <c r="HC274" s="2">
        <f t="shared" si="298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3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3">
        <v>17</v>
      </c>
      <c r="B275" s="3">
        <v>1</v>
      </c>
      <c r="C275" s="3">
        <f>ROW(SmtRes!A384)</f>
        <v>384</v>
      </c>
      <c r="D275" s="3">
        <f>ROW(EtalonRes!A472)</f>
        <v>472</v>
      </c>
      <c r="E275" s="3" t="s">
        <v>3</v>
      </c>
      <c r="F275" s="3" t="s">
        <v>414</v>
      </c>
      <c r="G275" s="3" t="s">
        <v>415</v>
      </c>
      <c r="H275" s="3" t="s">
        <v>117</v>
      </c>
      <c r="I275" s="3">
        <f>ROUND(2/100,9)</f>
        <v>0.02</v>
      </c>
      <c r="J275" s="3">
        <v>0</v>
      </c>
      <c r="K275" s="3">
        <f>ROUND(2/100,9)</f>
        <v>0.02</v>
      </c>
      <c r="O275" s="3">
        <f t="shared" si="274"/>
        <v>36.65</v>
      </c>
      <c r="P275" s="3">
        <f t="shared" si="275"/>
        <v>3.46</v>
      </c>
      <c r="Q275" s="3">
        <f>(ROUND((ROUND((((ET275*1.2))*AV275*I275),2)*BB275),2)+ROUND((ROUND(((AE275-((EU275*1.2)))*AV275*I275),2)*BS275),2))</f>
        <v>1.07</v>
      </c>
      <c r="R275" s="3">
        <f>(ROUND((ROUND((((EU275*1.2))*AV275*I275),2)*BS275),2)+ROUND((ROUND(((AE275-((EU275*1.2)))*AV275*I275),2)*BS275),2))</f>
        <v>0.56000000000000005</v>
      </c>
      <c r="S275" s="3">
        <f t="shared" si="276"/>
        <v>32.119999999999997</v>
      </c>
      <c r="T275" s="3">
        <f t="shared" si="277"/>
        <v>0</v>
      </c>
      <c r="U275" s="3">
        <f t="shared" si="278"/>
        <v>4.5984239999999996E-2</v>
      </c>
      <c r="V275" s="3">
        <f t="shared" si="279"/>
        <v>0</v>
      </c>
      <c r="W275" s="3">
        <f t="shared" si="280"/>
        <v>0</v>
      </c>
      <c r="X275" s="3">
        <f>(ROUND((((S275+ROUND((ROUND((((EU275*1.2))*AV275*I275),2)*BS275),2))*AT275)/100),2)+ROUND(((ROUND((ROUND(((AE275-((EU275*1.2)))*AV275*I275),2)*BS275),2)*AT275)/100),2))</f>
        <v>31.7</v>
      </c>
      <c r="Y275" s="3">
        <f>(ROUND((((S275+ROUND((ROUND((((EU275*1.2))*AV275*I275),2)*BS275),2))*AU275)/100),2)+ROUND(((ROUND((ROUND(((AE275-((EU275*1.2)))*AV275*I275),2)*BS275),2)*AU275)/100),2))</f>
        <v>16.670000000000002</v>
      </c>
      <c r="AA275" s="3">
        <v>-1</v>
      </c>
      <c r="AB275" s="3">
        <f t="shared" si="281"/>
        <v>85.626000000000005</v>
      </c>
      <c r="AC275" s="3">
        <f>ROUND(((ES275*1)),6)</f>
        <v>55.47</v>
      </c>
      <c r="AD275" s="3">
        <f>ROUND(((((ET275*1.2))-((EU275*1.2)))+AE275),6)</f>
        <v>3.1440000000000001</v>
      </c>
      <c r="AE275" s="3">
        <f>ROUND(((EU275*1.2)),6)</f>
        <v>0.36</v>
      </c>
      <c r="AF275" s="3">
        <f>ROUND(((EV275*1.2)),6)</f>
        <v>27.012</v>
      </c>
      <c r="AG275" s="3">
        <f t="shared" si="282"/>
        <v>0</v>
      </c>
      <c r="AH275" s="3">
        <f>((EW275*1.2))</f>
        <v>2.1960000000000002</v>
      </c>
      <c r="AI275" s="3">
        <f>((EX275*1.2))</f>
        <v>0</v>
      </c>
      <c r="AJ275" s="3">
        <f t="shared" si="283"/>
        <v>0</v>
      </c>
      <c r="AK275" s="3">
        <v>80.599999999999994</v>
      </c>
      <c r="AL275" s="3">
        <v>55.47</v>
      </c>
      <c r="AM275" s="3">
        <v>2.62</v>
      </c>
      <c r="AN275" s="3">
        <v>0.3</v>
      </c>
      <c r="AO275" s="3">
        <v>22.51</v>
      </c>
      <c r="AP275" s="3">
        <v>0</v>
      </c>
      <c r="AQ275" s="3">
        <v>1.83</v>
      </c>
      <c r="AR275" s="3">
        <v>0</v>
      </c>
      <c r="AS275" s="3">
        <v>0</v>
      </c>
      <c r="AT275" s="3">
        <v>97</v>
      </c>
      <c r="AU275" s="3">
        <v>51</v>
      </c>
      <c r="AV275" s="3">
        <v>1.0469999999999999</v>
      </c>
      <c r="AW275" s="3">
        <v>1</v>
      </c>
      <c r="AZ275" s="3">
        <v>1</v>
      </c>
      <c r="BA275" s="3">
        <v>56.35</v>
      </c>
      <c r="BB275" s="3">
        <v>15.28</v>
      </c>
      <c r="BC275" s="3">
        <v>3.12</v>
      </c>
      <c r="BD275" s="3" t="s">
        <v>3</v>
      </c>
      <c r="BE275" s="3" t="s">
        <v>3</v>
      </c>
      <c r="BF275" s="3" t="s">
        <v>3</v>
      </c>
      <c r="BG275" s="3" t="s">
        <v>3</v>
      </c>
      <c r="BH275" s="3">
        <v>0</v>
      </c>
      <c r="BI275" s="3">
        <v>2</v>
      </c>
      <c r="BJ275" s="3" t="s">
        <v>416</v>
      </c>
      <c r="BM275" s="3">
        <v>67</v>
      </c>
      <c r="BN275" s="3">
        <v>0</v>
      </c>
      <c r="BO275" s="3" t="s">
        <v>414</v>
      </c>
      <c r="BP275" s="3">
        <v>1</v>
      </c>
      <c r="BQ275" s="3">
        <v>40</v>
      </c>
      <c r="BR275" s="3">
        <v>0</v>
      </c>
      <c r="BS275" s="3">
        <v>56.35</v>
      </c>
      <c r="BT275" s="3">
        <v>1</v>
      </c>
      <c r="BU275" s="3">
        <v>1</v>
      </c>
      <c r="BV275" s="3">
        <v>1</v>
      </c>
      <c r="BW275" s="3">
        <v>1</v>
      </c>
      <c r="BX275" s="3">
        <v>1</v>
      </c>
      <c r="BY275" s="3" t="s">
        <v>3</v>
      </c>
      <c r="BZ275" s="3">
        <v>97</v>
      </c>
      <c r="CA275" s="3">
        <v>51</v>
      </c>
      <c r="CB275" s="3" t="s">
        <v>3</v>
      </c>
      <c r="CE275" s="3">
        <v>1566</v>
      </c>
      <c r="CF275" s="3">
        <v>0</v>
      </c>
      <c r="CG275" s="3">
        <v>0</v>
      </c>
      <c r="CM275" s="3">
        <v>0</v>
      </c>
      <c r="CN275" s="3" t="s">
        <v>820</v>
      </c>
      <c r="CO275" s="3">
        <v>0</v>
      </c>
      <c r="CP275" s="3">
        <f t="shared" si="284"/>
        <v>36.65</v>
      </c>
      <c r="CQ275" s="3">
        <f t="shared" si="285"/>
        <v>173.07</v>
      </c>
      <c r="CR275" s="3">
        <f>(ROUND((ROUND((((ET275*1.2))*AV275*1),2)*BB275),2)+ROUND((ROUND(((AE275-((EU275*1.2)))*AV275*1),2)*BS275),2))</f>
        <v>50.27</v>
      </c>
      <c r="CS275" s="3">
        <f>(ROUND((ROUND((((EU275*1.2))*AV275*1),2)*BS275),2)+ROUND((ROUND(((AE275-((EU275*1.2)))*AV275*1),2)*BS275),2))</f>
        <v>21.41</v>
      </c>
      <c r="CT275" s="3">
        <f t="shared" si="286"/>
        <v>1593.58</v>
      </c>
      <c r="CU275" s="3">
        <f t="shared" si="287"/>
        <v>0</v>
      </c>
      <c r="CV275" s="3">
        <f t="shared" si="288"/>
        <v>2.2992119999999998</v>
      </c>
      <c r="CW275" s="3">
        <f t="shared" si="289"/>
        <v>0</v>
      </c>
      <c r="CX275" s="3">
        <f t="shared" si="290"/>
        <v>0</v>
      </c>
      <c r="CY275" s="3">
        <f>(ROUND((((S275+ROUND((ROUND((((EU275*1.2))*AV275*1),2)*BS275),2))*AT275)/100),2)+ROUND(((ROUND((ROUND(((AE275-((EU275*1.2)))*AV275*1),2)*BS275),2)*AT275)/100),2))</f>
        <v>51.92</v>
      </c>
      <c r="CZ275" s="3">
        <f>(ROUND((((S275+ROUND((ROUND((((EU275*1.2))*AV275*1),2)*BS275),2))*AU275)/100),2)+ROUND(((ROUND((ROUND(((AE275-((EU275*1.2)))*AV275*1),2)*BS275),2)*AU275)/100),2))</f>
        <v>27.3</v>
      </c>
      <c r="DB275" s="3">
        <v>122</v>
      </c>
      <c r="DC275" s="3" t="s">
        <v>3</v>
      </c>
      <c r="DD275" s="3" t="s">
        <v>119</v>
      </c>
      <c r="DE275" s="3" t="s">
        <v>120</v>
      </c>
      <c r="DF275" s="3" t="s">
        <v>120</v>
      </c>
      <c r="DG275" s="3" t="s">
        <v>120</v>
      </c>
      <c r="DH275" s="3" t="s">
        <v>3</v>
      </c>
      <c r="DI275" s="3" t="s">
        <v>120</v>
      </c>
      <c r="DJ275" s="3" t="s">
        <v>120</v>
      </c>
      <c r="DK275" s="3" t="s">
        <v>3</v>
      </c>
      <c r="DL275" s="3" t="s">
        <v>3</v>
      </c>
      <c r="DM275" s="3" t="s">
        <v>3</v>
      </c>
      <c r="DN275" s="3">
        <v>0</v>
      </c>
      <c r="DO275" s="3">
        <v>0</v>
      </c>
      <c r="DP275" s="3">
        <v>1</v>
      </c>
      <c r="DQ275" s="3">
        <v>1</v>
      </c>
      <c r="DU275" s="3">
        <v>1003</v>
      </c>
      <c r="DV275" s="3" t="s">
        <v>117</v>
      </c>
      <c r="DW275" s="3" t="s">
        <v>117</v>
      </c>
      <c r="DX275" s="3">
        <v>100</v>
      </c>
      <c r="DZ275" s="3" t="s">
        <v>3</v>
      </c>
      <c r="EA275" s="3" t="s">
        <v>3</v>
      </c>
      <c r="EB275" s="3" t="s">
        <v>3</v>
      </c>
      <c r="EC275" s="3" t="s">
        <v>3</v>
      </c>
      <c r="EE275" s="3">
        <v>57248651</v>
      </c>
      <c r="EF275" s="3">
        <v>40</v>
      </c>
      <c r="EG275" s="3" t="s">
        <v>33</v>
      </c>
      <c r="EH275" s="3">
        <v>0</v>
      </c>
      <c r="EI275" s="3" t="s">
        <v>3</v>
      </c>
      <c r="EJ275" s="3">
        <v>2</v>
      </c>
      <c r="EK275" s="3">
        <v>67</v>
      </c>
      <c r="EL275" s="3" t="s">
        <v>69</v>
      </c>
      <c r="EM275" s="3" t="s">
        <v>70</v>
      </c>
      <c r="EO275" s="3" t="s">
        <v>124</v>
      </c>
      <c r="EQ275" s="3">
        <v>132096</v>
      </c>
      <c r="ER275" s="3">
        <v>80.599999999999994</v>
      </c>
      <c r="ES275" s="3">
        <v>55.47</v>
      </c>
      <c r="ET275" s="3">
        <v>2.62</v>
      </c>
      <c r="EU275" s="3">
        <v>0.3</v>
      </c>
      <c r="EV275" s="3">
        <v>22.51</v>
      </c>
      <c r="EW275" s="3">
        <v>1.83</v>
      </c>
      <c r="EX275" s="3">
        <v>0</v>
      </c>
      <c r="EY275" s="3">
        <v>0</v>
      </c>
      <c r="FQ275" s="3">
        <v>0</v>
      </c>
      <c r="FR275" s="3">
        <v>0</v>
      </c>
      <c r="FS275" s="3">
        <v>0</v>
      </c>
      <c r="FX275" s="3">
        <v>97</v>
      </c>
      <c r="FY275" s="3">
        <v>51</v>
      </c>
      <c r="GA275" s="3" t="s">
        <v>3</v>
      </c>
      <c r="GD275" s="3">
        <v>1</v>
      </c>
      <c r="GF275" s="3">
        <v>370634059</v>
      </c>
      <c r="GG275" s="3">
        <v>2</v>
      </c>
      <c r="GH275" s="3">
        <v>1</v>
      </c>
      <c r="GI275" s="3">
        <v>2</v>
      </c>
      <c r="GJ275" s="3">
        <v>0</v>
      </c>
      <c r="GK275" s="3">
        <v>0</v>
      </c>
      <c r="GL275" s="3">
        <f t="shared" si="291"/>
        <v>0</v>
      </c>
      <c r="GM275" s="3">
        <f t="shared" si="292"/>
        <v>85.02</v>
      </c>
      <c r="GN275" s="3">
        <f t="shared" si="293"/>
        <v>0</v>
      </c>
      <c r="GO275" s="3">
        <f t="shared" si="294"/>
        <v>85.02</v>
      </c>
      <c r="GP275" s="3">
        <f t="shared" si="295"/>
        <v>0</v>
      </c>
      <c r="GR275" s="3">
        <v>0</v>
      </c>
      <c r="GS275" s="3">
        <v>3</v>
      </c>
      <c r="GT275" s="3">
        <v>0</v>
      </c>
      <c r="GU275" s="3" t="s">
        <v>3</v>
      </c>
      <c r="GV275" s="3">
        <f t="shared" si="296"/>
        <v>0</v>
      </c>
      <c r="GW275" s="3">
        <v>1</v>
      </c>
      <c r="GX275" s="3">
        <f t="shared" si="297"/>
        <v>0</v>
      </c>
      <c r="HA275" s="3">
        <v>0</v>
      </c>
      <c r="HB275" s="3">
        <v>0</v>
      </c>
      <c r="HC275" s="3">
        <f t="shared" si="298"/>
        <v>0</v>
      </c>
      <c r="HE275" s="3" t="s">
        <v>3</v>
      </c>
      <c r="HF275" s="3" t="s">
        <v>3</v>
      </c>
      <c r="HM275" s="3" t="s">
        <v>3</v>
      </c>
      <c r="HN275" s="3" t="s">
        <v>3</v>
      </c>
      <c r="HO275" s="3" t="s">
        <v>3</v>
      </c>
      <c r="HP275" s="3" t="s">
        <v>3</v>
      </c>
      <c r="HQ275" s="3" t="s">
        <v>3</v>
      </c>
      <c r="HS275" s="3">
        <v>0</v>
      </c>
      <c r="IK275" s="3">
        <v>0</v>
      </c>
    </row>
    <row r="276" spans="1:255" x14ac:dyDescent="0.2">
      <c r="A276" s="2">
        <v>17</v>
      </c>
      <c r="B276" s="2">
        <v>1</v>
      </c>
      <c r="C276" s="2"/>
      <c r="D276" s="2"/>
      <c r="E276" s="2" t="s">
        <v>3</v>
      </c>
      <c r="F276" s="2" t="s">
        <v>397</v>
      </c>
      <c r="G276" s="2" t="s">
        <v>398</v>
      </c>
      <c r="H276" s="2" t="s">
        <v>341</v>
      </c>
      <c r="I276" s="2">
        <f>ROUND(2*1.03,9)</f>
        <v>2.06</v>
      </c>
      <c r="J276" s="2">
        <v>0</v>
      </c>
      <c r="K276" s="2">
        <f>ROUND(2*1.03,9)</f>
        <v>2.06</v>
      </c>
      <c r="L276" s="2"/>
      <c r="M276" s="2"/>
      <c r="N276" s="2"/>
      <c r="O276" s="2">
        <f t="shared" si="274"/>
        <v>23.98</v>
      </c>
      <c r="P276" s="2">
        <f t="shared" si="275"/>
        <v>23.98</v>
      </c>
      <c r="Q276" s="2">
        <f>(ROUND((ROUND(((ET276)*AV276*I276),2)*BB276),2)+ROUND((ROUND(((AE276-(EU276))*AV276*I276),2)*BS276),2))</f>
        <v>0</v>
      </c>
      <c r="R276" s="2">
        <f>(ROUND((ROUND(((EU276)*AV276*I276),2)*BS276),2)+ROUND((ROUND(((AE276-(EU276))*AV276*I276),2)*BS276),2))</f>
        <v>0</v>
      </c>
      <c r="S276" s="2">
        <f t="shared" si="276"/>
        <v>0</v>
      </c>
      <c r="T276" s="2">
        <f t="shared" si="277"/>
        <v>0</v>
      </c>
      <c r="U276" s="2">
        <f t="shared" si="278"/>
        <v>0</v>
      </c>
      <c r="V276" s="2">
        <f t="shared" si="279"/>
        <v>0</v>
      </c>
      <c r="W276" s="2">
        <f t="shared" si="280"/>
        <v>0</v>
      </c>
      <c r="X276" s="2">
        <f>(ROUND((((S276+ROUND((ROUND(((EU276)*AV276*I276),2)*BS276),2))*AT276)/100),2)+ROUND(((ROUND((ROUND(((AE276-(EU276))*AV276*I276),2)*BS276),2)*AT276)/100),2))</f>
        <v>0</v>
      </c>
      <c r="Y276" s="2">
        <f>(ROUND((((S276+ROUND((ROUND(((EU276)*AV276*I276),2)*BS276),2))*AU276)/100),2)+ROUND(((ROUND((ROUND(((AE276-(EU276))*AV276*I276),2)*BS276),2)*AU276)/100),2))</f>
        <v>0</v>
      </c>
      <c r="Z276" s="2"/>
      <c r="AA276" s="2">
        <v>-1</v>
      </c>
      <c r="AB276" s="2">
        <f t="shared" si="281"/>
        <v>11.64</v>
      </c>
      <c r="AC276" s="2">
        <f>ROUND((ES276),6)</f>
        <v>11.64</v>
      </c>
      <c r="AD276" s="2">
        <f>ROUND((((ET276)-(EU276))+AE276),6)</f>
        <v>0</v>
      </c>
      <c r="AE276" s="2">
        <f>ROUND((EU276),6)</f>
        <v>0</v>
      </c>
      <c r="AF276" s="2">
        <f>ROUND((EV276),6)</f>
        <v>0</v>
      </c>
      <c r="AG276" s="2">
        <f t="shared" si="282"/>
        <v>0</v>
      </c>
      <c r="AH276" s="2">
        <f>(EW276)</f>
        <v>0</v>
      </c>
      <c r="AI276" s="2">
        <f>(EX276)</f>
        <v>0</v>
      </c>
      <c r="AJ276" s="2">
        <f t="shared" si="283"/>
        <v>0</v>
      </c>
      <c r="AK276" s="2">
        <v>11.64</v>
      </c>
      <c r="AL276" s="2">
        <v>11.64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2</v>
      </c>
      <c r="BJ276" s="2" t="s">
        <v>397</v>
      </c>
      <c r="BK276" s="2"/>
      <c r="BL276" s="2"/>
      <c r="BM276" s="2">
        <v>400005</v>
      </c>
      <c r="BN276" s="2">
        <v>0</v>
      </c>
      <c r="BO276" s="2" t="s">
        <v>3</v>
      </c>
      <c r="BP276" s="2">
        <v>0</v>
      </c>
      <c r="BQ276" s="2">
        <v>213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0</v>
      </c>
      <c r="CA276" s="2">
        <v>0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3</v>
      </c>
      <c r="CO276" s="2">
        <v>0</v>
      </c>
      <c r="CP276" s="2">
        <f t="shared" si="284"/>
        <v>23.98</v>
      </c>
      <c r="CQ276" s="2">
        <f t="shared" si="285"/>
        <v>11.64</v>
      </c>
      <c r="CR276" s="2">
        <f>(ROUND((ROUND(((ET276)*AV276*1),2)*BB276),2)+ROUND((ROUND(((AE276-(EU276))*AV276*1),2)*BS276),2))</f>
        <v>0</v>
      </c>
      <c r="CS276" s="2">
        <f>(ROUND((ROUND(((EU276)*AV276*1),2)*BS276),2)+ROUND((ROUND(((AE276-(EU276))*AV276*1),2)*BS276),2))</f>
        <v>0</v>
      </c>
      <c r="CT276" s="2">
        <f t="shared" si="286"/>
        <v>0</v>
      </c>
      <c r="CU276" s="2">
        <f t="shared" si="287"/>
        <v>0</v>
      </c>
      <c r="CV276" s="2">
        <f t="shared" si="288"/>
        <v>0</v>
      </c>
      <c r="CW276" s="2">
        <f t="shared" si="289"/>
        <v>0</v>
      </c>
      <c r="CX276" s="2">
        <f t="shared" si="290"/>
        <v>0</v>
      </c>
      <c r="CY276" s="2">
        <f>(ROUND((((S276+ROUND((ROUND(((EU276)*AV276*1),2)*BS276),2))*AT276)/100),2)+ROUND(((ROUND((ROUND(((AE276-(EU276))*AV276*1),2)*BS276),2)*AT276)/100),2))</f>
        <v>0</v>
      </c>
      <c r="CZ276" s="2">
        <f>(ROUND((((S276+ROUND((ROUND(((EU276)*AV276*1),2)*BS276),2))*AU276)/100),2)+ROUND(((ROUND((ROUND(((AE276-(EU276))*AV276*1),2)*BS276),2)*AU276)/100),2))</f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1003</v>
      </c>
      <c r="DV276" s="2" t="s">
        <v>341</v>
      </c>
      <c r="DW276" s="2" t="s">
        <v>341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57248790</v>
      </c>
      <c r="EF276" s="2">
        <v>213</v>
      </c>
      <c r="EG276" s="2" t="s">
        <v>331</v>
      </c>
      <c r="EH276" s="2">
        <v>0</v>
      </c>
      <c r="EI276" s="2" t="s">
        <v>3</v>
      </c>
      <c r="EJ276" s="2">
        <v>1</v>
      </c>
      <c r="EK276" s="2">
        <v>400005</v>
      </c>
      <c r="EL276" s="2" t="s">
        <v>331</v>
      </c>
      <c r="EM276" s="2" t="s">
        <v>332</v>
      </c>
      <c r="EN276" s="2"/>
      <c r="EO276" s="2" t="s">
        <v>3</v>
      </c>
      <c r="EP276" s="2"/>
      <c r="EQ276" s="2">
        <v>132112</v>
      </c>
      <c r="ER276" s="2">
        <v>0</v>
      </c>
      <c r="ES276" s="2">
        <v>11.64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>
        <v>0</v>
      </c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0</v>
      </c>
      <c r="FY276" s="2">
        <v>0</v>
      </c>
      <c r="FZ276" s="2"/>
      <c r="GA276" s="2" t="s">
        <v>399</v>
      </c>
      <c r="GB276" s="2"/>
      <c r="GC276" s="2"/>
      <c r="GD276" s="2">
        <v>1</v>
      </c>
      <c r="GE276" s="2"/>
      <c r="GF276" s="2">
        <v>1773367642</v>
      </c>
      <c r="GG276" s="2">
        <v>2</v>
      </c>
      <c r="GH276" s="2">
        <v>4</v>
      </c>
      <c r="GI276" s="2">
        <v>-2</v>
      </c>
      <c r="GJ276" s="2">
        <v>0</v>
      </c>
      <c r="GK276" s="2">
        <v>0</v>
      </c>
      <c r="GL276" s="2">
        <f t="shared" si="291"/>
        <v>0</v>
      </c>
      <c r="GM276" s="2">
        <f t="shared" si="292"/>
        <v>23.98</v>
      </c>
      <c r="GN276" s="2">
        <f t="shared" si="293"/>
        <v>0</v>
      </c>
      <c r="GO276" s="2">
        <f t="shared" si="294"/>
        <v>23.98</v>
      </c>
      <c r="GP276" s="2">
        <f t="shared" si="295"/>
        <v>0</v>
      </c>
      <c r="GQ276" s="2"/>
      <c r="GR276" s="2">
        <v>1</v>
      </c>
      <c r="GS276" s="2">
        <v>2</v>
      </c>
      <c r="GT276" s="2">
        <v>0</v>
      </c>
      <c r="GU276" s="2" t="s">
        <v>3</v>
      </c>
      <c r="GV276" s="2">
        <f t="shared" si="296"/>
        <v>0</v>
      </c>
      <c r="GW276" s="2">
        <v>1</v>
      </c>
      <c r="GX276" s="2">
        <f t="shared" si="297"/>
        <v>0</v>
      </c>
      <c r="GY276" s="2"/>
      <c r="GZ276" s="2"/>
      <c r="HA276" s="2">
        <v>0</v>
      </c>
      <c r="HB276" s="2">
        <v>0</v>
      </c>
      <c r="HC276" s="2">
        <f t="shared" si="298"/>
        <v>0</v>
      </c>
      <c r="HD276" s="2"/>
      <c r="HE276" s="2" t="s">
        <v>334</v>
      </c>
      <c r="HF276" s="2" t="s">
        <v>37</v>
      </c>
      <c r="HG276" s="2"/>
      <c r="HH276" s="2"/>
      <c r="HI276" s="2"/>
      <c r="HJ276" s="2"/>
      <c r="HK276" s="2"/>
      <c r="HL276" s="2"/>
      <c r="HM276" s="2" t="s">
        <v>3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3">
        <v>17</v>
      </c>
      <c r="B277" s="3">
        <v>1</v>
      </c>
      <c r="E277" s="3" t="s">
        <v>3</v>
      </c>
      <c r="F277" s="3" t="s">
        <v>397</v>
      </c>
      <c r="G277" s="3" t="s">
        <v>398</v>
      </c>
      <c r="H277" s="3" t="s">
        <v>341</v>
      </c>
      <c r="I277" s="3">
        <f>ROUND(2*1.03,9)</f>
        <v>2.06</v>
      </c>
      <c r="J277" s="3">
        <v>0</v>
      </c>
      <c r="K277" s="3">
        <f>ROUND(2*1.03,9)</f>
        <v>2.06</v>
      </c>
      <c r="O277" s="3">
        <f t="shared" si="274"/>
        <v>235.96</v>
      </c>
      <c r="P277" s="3">
        <f t="shared" si="275"/>
        <v>235.96</v>
      </c>
      <c r="Q277" s="3">
        <f>(ROUND((ROUND(((ET277)*AV277*I277),2)*BB277),2)+ROUND((ROUND(((AE277-(EU277))*AV277*I277),2)*BS277),2))</f>
        <v>0</v>
      </c>
      <c r="R277" s="3">
        <f>(ROUND((ROUND(((EU277)*AV277*I277),2)*BS277),2)+ROUND((ROUND(((AE277-(EU277))*AV277*I277),2)*BS277),2))</f>
        <v>0</v>
      </c>
      <c r="S277" s="3">
        <f t="shared" si="276"/>
        <v>0</v>
      </c>
      <c r="T277" s="3">
        <f t="shared" si="277"/>
        <v>0</v>
      </c>
      <c r="U277" s="3">
        <f t="shared" si="278"/>
        <v>0</v>
      </c>
      <c r="V277" s="3">
        <f t="shared" si="279"/>
        <v>0</v>
      </c>
      <c r="W277" s="3">
        <f t="shared" si="280"/>
        <v>0</v>
      </c>
      <c r="X277" s="3">
        <f>(ROUND((((S277+ROUND((ROUND(((EU277)*AV277*I277),2)*BS277),2))*AT277)/100),2)+ROUND(((ROUND((ROUND(((AE277-(EU277))*AV277*I277),2)*BS277),2)*AT277)/100),2))</f>
        <v>0</v>
      </c>
      <c r="Y277" s="3">
        <f>(ROUND((((S277+ROUND((ROUND(((EU277)*AV277*I277),2)*BS277),2))*AU277)/100),2)+ROUND(((ROUND((ROUND(((AE277-(EU277))*AV277*I277),2)*BS277),2)*AU277)/100),2))</f>
        <v>0</v>
      </c>
      <c r="AA277" s="3">
        <v>-1</v>
      </c>
      <c r="AB277" s="3">
        <f t="shared" si="281"/>
        <v>11.64</v>
      </c>
      <c r="AC277" s="3">
        <f>ROUND((ES277),6)</f>
        <v>11.64</v>
      </c>
      <c r="AD277" s="3">
        <f>ROUND((((ET277)-(EU277))+AE277),6)</f>
        <v>0</v>
      </c>
      <c r="AE277" s="3">
        <f>ROUND((EU277),6)</f>
        <v>0</v>
      </c>
      <c r="AF277" s="3">
        <f>ROUND((EV277),6)</f>
        <v>0</v>
      </c>
      <c r="AG277" s="3">
        <f t="shared" si="282"/>
        <v>0</v>
      </c>
      <c r="AH277" s="3">
        <f>(EW277)</f>
        <v>0</v>
      </c>
      <c r="AI277" s="3">
        <f>(EX277)</f>
        <v>0</v>
      </c>
      <c r="AJ277" s="3">
        <f t="shared" si="283"/>
        <v>0</v>
      </c>
      <c r="AK277" s="3">
        <v>11.64</v>
      </c>
      <c r="AL277" s="3">
        <v>11.64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1</v>
      </c>
      <c r="AW277" s="3">
        <v>1</v>
      </c>
      <c r="AZ277" s="3">
        <v>1</v>
      </c>
      <c r="BA277" s="3">
        <v>1</v>
      </c>
      <c r="BB277" s="3">
        <v>1</v>
      </c>
      <c r="BC277" s="3">
        <v>9.84</v>
      </c>
      <c r="BD277" s="3" t="s">
        <v>3</v>
      </c>
      <c r="BE277" s="3" t="s">
        <v>3</v>
      </c>
      <c r="BF277" s="3" t="s">
        <v>3</v>
      </c>
      <c r="BG277" s="3" t="s">
        <v>3</v>
      </c>
      <c r="BH277" s="3">
        <v>3</v>
      </c>
      <c r="BI277" s="3">
        <v>2</v>
      </c>
      <c r="BJ277" s="3" t="s">
        <v>397</v>
      </c>
      <c r="BM277" s="3">
        <v>400005</v>
      </c>
      <c r="BN277" s="3">
        <v>0</v>
      </c>
      <c r="BO277" s="3" t="s">
        <v>3</v>
      </c>
      <c r="BP277" s="3">
        <v>0</v>
      </c>
      <c r="BQ277" s="3">
        <v>213</v>
      </c>
      <c r="BR277" s="3">
        <v>0</v>
      </c>
      <c r="BS277" s="3">
        <v>1</v>
      </c>
      <c r="BT277" s="3">
        <v>1</v>
      </c>
      <c r="BU277" s="3">
        <v>1</v>
      </c>
      <c r="BV277" s="3">
        <v>1</v>
      </c>
      <c r="BW277" s="3">
        <v>1</v>
      </c>
      <c r="BX277" s="3">
        <v>1</v>
      </c>
      <c r="BY277" s="3" t="s">
        <v>3</v>
      </c>
      <c r="BZ277" s="3">
        <v>0</v>
      </c>
      <c r="CA277" s="3">
        <v>0</v>
      </c>
      <c r="CB277" s="3" t="s">
        <v>3</v>
      </c>
      <c r="CE277" s="3">
        <v>1566</v>
      </c>
      <c r="CF277" s="3">
        <v>0</v>
      </c>
      <c r="CG277" s="3">
        <v>0</v>
      </c>
      <c r="CM277" s="3">
        <v>0</v>
      </c>
      <c r="CN277" s="3" t="s">
        <v>3</v>
      </c>
      <c r="CO277" s="3">
        <v>0</v>
      </c>
      <c r="CP277" s="3">
        <f t="shared" si="284"/>
        <v>235.96</v>
      </c>
      <c r="CQ277" s="3">
        <f t="shared" si="285"/>
        <v>114.54</v>
      </c>
      <c r="CR277" s="3">
        <f>(ROUND((ROUND(((ET277)*AV277*1),2)*BB277),2)+ROUND((ROUND(((AE277-(EU277))*AV277*1),2)*BS277),2))</f>
        <v>0</v>
      </c>
      <c r="CS277" s="3">
        <f>(ROUND((ROUND(((EU277)*AV277*1),2)*BS277),2)+ROUND((ROUND(((AE277-(EU277))*AV277*1),2)*BS277),2))</f>
        <v>0</v>
      </c>
      <c r="CT277" s="3">
        <f t="shared" si="286"/>
        <v>0</v>
      </c>
      <c r="CU277" s="3">
        <f t="shared" si="287"/>
        <v>0</v>
      </c>
      <c r="CV277" s="3">
        <f t="shared" si="288"/>
        <v>0</v>
      </c>
      <c r="CW277" s="3">
        <f t="shared" si="289"/>
        <v>0</v>
      </c>
      <c r="CX277" s="3">
        <f t="shared" si="290"/>
        <v>0</v>
      </c>
      <c r="CY277" s="3">
        <f>(ROUND((((S277+ROUND((ROUND(((EU277)*AV277*1),2)*BS277),2))*AT277)/100),2)+ROUND(((ROUND((ROUND(((AE277-(EU277))*AV277*1),2)*BS277),2)*AT277)/100),2))</f>
        <v>0</v>
      </c>
      <c r="CZ277" s="3">
        <f>(ROUND((((S277+ROUND((ROUND(((EU277)*AV277*1),2)*BS277),2))*AU277)/100),2)+ROUND(((ROUND((ROUND(((AE277-(EU277))*AV277*1),2)*BS277),2)*AU277)/100),2))</f>
        <v>0</v>
      </c>
      <c r="DC277" s="3" t="s">
        <v>3</v>
      </c>
      <c r="DD277" s="3" t="s">
        <v>3</v>
      </c>
      <c r="DE277" s="3" t="s">
        <v>3</v>
      </c>
      <c r="DF277" s="3" t="s">
        <v>3</v>
      </c>
      <c r="DG277" s="3" t="s">
        <v>3</v>
      </c>
      <c r="DH277" s="3" t="s">
        <v>3</v>
      </c>
      <c r="DI277" s="3" t="s">
        <v>3</v>
      </c>
      <c r="DJ277" s="3" t="s">
        <v>3</v>
      </c>
      <c r="DK277" s="3" t="s">
        <v>3</v>
      </c>
      <c r="DL277" s="3" t="s">
        <v>3</v>
      </c>
      <c r="DM277" s="3" t="s">
        <v>3</v>
      </c>
      <c r="DN277" s="3">
        <v>0</v>
      </c>
      <c r="DO277" s="3">
        <v>0</v>
      </c>
      <c r="DP277" s="3">
        <v>1</v>
      </c>
      <c r="DQ277" s="3">
        <v>1</v>
      </c>
      <c r="DU277" s="3">
        <v>1003</v>
      </c>
      <c r="DV277" s="3" t="s">
        <v>341</v>
      </c>
      <c r="DW277" s="3" t="s">
        <v>341</v>
      </c>
      <c r="DX277" s="3">
        <v>1</v>
      </c>
      <c r="DZ277" s="3" t="s">
        <v>3</v>
      </c>
      <c r="EA277" s="3" t="s">
        <v>3</v>
      </c>
      <c r="EB277" s="3" t="s">
        <v>3</v>
      </c>
      <c r="EC277" s="3" t="s">
        <v>3</v>
      </c>
      <c r="EE277" s="3">
        <v>57248790</v>
      </c>
      <c r="EF277" s="3">
        <v>213</v>
      </c>
      <c r="EG277" s="3" t="s">
        <v>331</v>
      </c>
      <c r="EH277" s="3">
        <v>0</v>
      </c>
      <c r="EI277" s="3" t="s">
        <v>3</v>
      </c>
      <c r="EJ277" s="3">
        <v>1</v>
      </c>
      <c r="EK277" s="3">
        <v>400005</v>
      </c>
      <c r="EL277" s="3" t="s">
        <v>331</v>
      </c>
      <c r="EM277" s="3" t="s">
        <v>332</v>
      </c>
      <c r="EO277" s="3" t="s">
        <v>3</v>
      </c>
      <c r="EQ277" s="3">
        <v>132112</v>
      </c>
      <c r="ER277" s="3">
        <v>0</v>
      </c>
      <c r="ES277" s="3">
        <v>11.64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5</v>
      </c>
      <c r="FC277" s="3">
        <v>1</v>
      </c>
      <c r="FD277" s="3">
        <v>18</v>
      </c>
      <c r="FF277" s="3">
        <v>136.97</v>
      </c>
      <c r="FQ277" s="3">
        <v>0</v>
      </c>
      <c r="FR277" s="3">
        <v>0</v>
      </c>
      <c r="FS277" s="3">
        <v>0</v>
      </c>
      <c r="FX277" s="3">
        <v>0</v>
      </c>
      <c r="FY277" s="3">
        <v>0</v>
      </c>
      <c r="GA277" s="3" t="s">
        <v>399</v>
      </c>
      <c r="GD277" s="3">
        <v>1</v>
      </c>
      <c r="GF277" s="3">
        <v>1773367642</v>
      </c>
      <c r="GG277" s="3">
        <v>2</v>
      </c>
      <c r="GH277" s="3">
        <v>3</v>
      </c>
      <c r="GI277" s="3">
        <v>5</v>
      </c>
      <c r="GJ277" s="3">
        <v>0</v>
      </c>
      <c r="GK277" s="3">
        <v>0</v>
      </c>
      <c r="GL277" s="3">
        <f t="shared" si="291"/>
        <v>0</v>
      </c>
      <c r="GM277" s="3">
        <f t="shared" si="292"/>
        <v>235.96</v>
      </c>
      <c r="GN277" s="3">
        <f t="shared" si="293"/>
        <v>0</v>
      </c>
      <c r="GO277" s="3">
        <f t="shared" si="294"/>
        <v>235.96</v>
      </c>
      <c r="GP277" s="3">
        <f t="shared" si="295"/>
        <v>0</v>
      </c>
      <c r="GR277" s="3">
        <v>1</v>
      </c>
      <c r="GS277" s="3">
        <v>1</v>
      </c>
      <c r="GT277" s="3">
        <v>0</v>
      </c>
      <c r="GU277" s="3" t="s">
        <v>3</v>
      </c>
      <c r="GV277" s="3">
        <f t="shared" si="296"/>
        <v>0</v>
      </c>
      <c r="GW277" s="3">
        <v>1</v>
      </c>
      <c r="GX277" s="3">
        <f t="shared" si="297"/>
        <v>0</v>
      </c>
      <c r="HA277" s="3">
        <v>0</v>
      </c>
      <c r="HB277" s="3">
        <v>0</v>
      </c>
      <c r="HC277" s="3">
        <f t="shared" si="298"/>
        <v>0</v>
      </c>
      <c r="HE277" s="3" t="s">
        <v>334</v>
      </c>
      <c r="HF277" s="3" t="s">
        <v>37</v>
      </c>
      <c r="HM277" s="3" t="s">
        <v>3</v>
      </c>
      <c r="HN277" s="3" t="s">
        <v>3</v>
      </c>
      <c r="HO277" s="3" t="s">
        <v>3</v>
      </c>
      <c r="HP277" s="3" t="s">
        <v>3</v>
      </c>
      <c r="HQ277" s="3" t="s">
        <v>3</v>
      </c>
      <c r="HS277" s="3">
        <v>0</v>
      </c>
      <c r="IK277" s="3">
        <v>0</v>
      </c>
    </row>
    <row r="278" spans="1:255" x14ac:dyDescent="0.2">
      <c r="A278" s="2">
        <v>17</v>
      </c>
      <c r="B278" s="2">
        <v>1</v>
      </c>
      <c r="C278" s="2">
        <f>ROW(SmtRes!A392)</f>
        <v>392</v>
      </c>
      <c r="D278" s="2">
        <f>ROW(EtalonRes!A480)</f>
        <v>480</v>
      </c>
      <c r="E278" s="2" t="s">
        <v>417</v>
      </c>
      <c r="F278" s="2" t="s">
        <v>418</v>
      </c>
      <c r="G278" s="2" t="s">
        <v>419</v>
      </c>
      <c r="H278" s="2" t="s">
        <v>117</v>
      </c>
      <c r="I278" s="2">
        <f>ROUND(90/100,9)</f>
        <v>0.9</v>
      </c>
      <c r="J278" s="2">
        <v>0</v>
      </c>
      <c r="K278" s="2">
        <f>ROUND(90/100,9)</f>
        <v>0.9</v>
      </c>
      <c r="L278" s="2"/>
      <c r="M278" s="2"/>
      <c r="N278" s="2"/>
      <c r="O278" s="2">
        <f t="shared" si="274"/>
        <v>1729.5</v>
      </c>
      <c r="P278" s="2">
        <f t="shared" si="275"/>
        <v>1145.77</v>
      </c>
      <c r="Q278" s="2">
        <f>(ROUND((ROUND((((ET278*1.2))*AV278*I278),2)*BB278),2)+ROUND((ROUND(((AE278-((EU278*1.2)))*AV278*I278),2)*BS278),2))</f>
        <v>13.01</v>
      </c>
      <c r="R278" s="2">
        <f>(ROUND((ROUND((((EU278*1.2))*AV278*I278),2)*BS278),2)+ROUND((ROUND(((AE278-((EU278*1.2)))*AV278*I278),2)*BS278),2))</f>
        <v>0.44</v>
      </c>
      <c r="S278" s="2">
        <f t="shared" si="276"/>
        <v>570.72</v>
      </c>
      <c r="T278" s="2">
        <f t="shared" si="277"/>
        <v>0</v>
      </c>
      <c r="U278" s="2">
        <f t="shared" si="278"/>
        <v>46.324871999999999</v>
      </c>
      <c r="V278" s="2">
        <f t="shared" si="279"/>
        <v>0</v>
      </c>
      <c r="W278" s="2">
        <f t="shared" si="280"/>
        <v>0</v>
      </c>
      <c r="X278" s="2">
        <f>(ROUND((((S278+ROUND((ROUND((((EU278*1.2))*AV278*I278),2)*BS278),2))*AT278)/100),2)+ROUND(((ROUND((ROUND(((AE278-((EU278*1.2)))*AV278*I278),2)*BS278),2)*AT278)/100),2))</f>
        <v>554.03</v>
      </c>
      <c r="Y278" s="2">
        <f>(ROUND((((S278+ROUND((ROUND((((EU278*1.2))*AV278*I278),2)*BS278),2))*AU278)/100),2)+ROUND(((ROUND((ROUND(((AE278-((EU278*1.2)))*AV278*I278),2)*BS278),2)*AU278)/100),2))</f>
        <v>291.29000000000002</v>
      </c>
      <c r="Z278" s="2"/>
      <c r="AA278" s="2">
        <v>57248835</v>
      </c>
      <c r="AB278" s="2">
        <f t="shared" si="281"/>
        <v>1785.55</v>
      </c>
      <c r="AC278" s="2">
        <f>ROUND(((ES278*1)),6)</f>
        <v>1177.69</v>
      </c>
      <c r="AD278" s="2">
        <f>ROUND(((((ET278*1.2))-((EU278*1.2)))+AE278),6)</f>
        <v>13.548</v>
      </c>
      <c r="AE278" s="2">
        <f>ROUND(((EU278*1.2)),6)</f>
        <v>0.45600000000000002</v>
      </c>
      <c r="AF278" s="2">
        <f>ROUND(((EV278*1.2)),6)</f>
        <v>594.31200000000001</v>
      </c>
      <c r="AG278" s="2">
        <f t="shared" si="282"/>
        <v>0</v>
      </c>
      <c r="AH278" s="2">
        <f>((EW278*1.2))</f>
        <v>48.24</v>
      </c>
      <c r="AI278" s="2">
        <f>((EX278*1.2))</f>
        <v>0</v>
      </c>
      <c r="AJ278" s="2">
        <f t="shared" si="283"/>
        <v>0</v>
      </c>
      <c r="AK278" s="2">
        <v>1684.24</v>
      </c>
      <c r="AL278" s="2">
        <v>1177.69</v>
      </c>
      <c r="AM278" s="2">
        <v>11.29</v>
      </c>
      <c r="AN278" s="2">
        <v>0.38</v>
      </c>
      <c r="AO278" s="2">
        <v>495.26</v>
      </c>
      <c r="AP278" s="2">
        <v>0</v>
      </c>
      <c r="AQ278" s="2">
        <v>40.200000000000003</v>
      </c>
      <c r="AR278" s="2">
        <v>0</v>
      </c>
      <c r="AS278" s="2">
        <v>0</v>
      </c>
      <c r="AT278" s="2">
        <v>97</v>
      </c>
      <c r="AU278" s="2">
        <v>51</v>
      </c>
      <c r="AV278" s="2">
        <v>1.0669999999999999</v>
      </c>
      <c r="AW278" s="2">
        <v>1.081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0</v>
      </c>
      <c r="BI278" s="2">
        <v>2</v>
      </c>
      <c r="BJ278" s="2" t="s">
        <v>420</v>
      </c>
      <c r="BK278" s="2"/>
      <c r="BL278" s="2"/>
      <c r="BM278" s="2">
        <v>67</v>
      </c>
      <c r="BN278" s="2">
        <v>0</v>
      </c>
      <c r="BO278" s="2" t="s">
        <v>418</v>
      </c>
      <c r="BP278" s="2">
        <v>1</v>
      </c>
      <c r="BQ278" s="2">
        <v>40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97</v>
      </c>
      <c r="CA278" s="2">
        <v>51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820</v>
      </c>
      <c r="CO278" s="2">
        <v>0</v>
      </c>
      <c r="CP278" s="2">
        <f t="shared" si="284"/>
        <v>1729.5</v>
      </c>
      <c r="CQ278" s="2">
        <f t="shared" si="285"/>
        <v>1273.08</v>
      </c>
      <c r="CR278" s="2">
        <f>(ROUND((ROUND((((ET278*1.2))*AV278*1),2)*BB278),2)+ROUND((ROUND(((AE278-((EU278*1.2)))*AV278*1),2)*BS278),2))</f>
        <v>14.46</v>
      </c>
      <c r="CS278" s="2">
        <f>(ROUND((ROUND((((EU278*1.2))*AV278*1),2)*BS278),2)+ROUND((ROUND(((AE278-((EU278*1.2)))*AV278*1),2)*BS278),2))</f>
        <v>0.49</v>
      </c>
      <c r="CT278" s="2">
        <f t="shared" si="286"/>
        <v>634.13</v>
      </c>
      <c r="CU278" s="2">
        <f t="shared" si="287"/>
        <v>0</v>
      </c>
      <c r="CV278" s="2">
        <f t="shared" si="288"/>
        <v>51.472079999999998</v>
      </c>
      <c r="CW278" s="2">
        <f t="shared" si="289"/>
        <v>0</v>
      </c>
      <c r="CX278" s="2">
        <f t="shared" si="290"/>
        <v>0</v>
      </c>
      <c r="CY278" s="2">
        <f>(ROUND((((S278+ROUND((ROUND((((EU278*1.2))*AV278*1),2)*BS278),2))*AT278)/100),2)+ROUND(((ROUND((ROUND(((AE278-((EU278*1.2)))*AV278*1),2)*BS278),2)*AT278)/100),2))</f>
        <v>554.07000000000005</v>
      </c>
      <c r="CZ278" s="2">
        <f>(ROUND((((S278+ROUND((ROUND((((EU278*1.2))*AV278*1),2)*BS278),2))*AU278)/100),2)+ROUND(((ROUND((ROUND(((AE278-((EU278*1.2)))*AV278*1),2)*BS278),2)*AU278)/100),2))</f>
        <v>291.32</v>
      </c>
      <c r="DA278" s="2"/>
      <c r="DB278" s="2">
        <v>123</v>
      </c>
      <c r="DC278" s="2" t="s">
        <v>3</v>
      </c>
      <c r="DD278" s="2" t="s">
        <v>119</v>
      </c>
      <c r="DE278" s="2" t="s">
        <v>120</v>
      </c>
      <c r="DF278" s="2" t="s">
        <v>120</v>
      </c>
      <c r="DG278" s="2" t="s">
        <v>120</v>
      </c>
      <c r="DH278" s="2" t="s">
        <v>3</v>
      </c>
      <c r="DI278" s="2" t="s">
        <v>120</v>
      </c>
      <c r="DJ278" s="2" t="s">
        <v>120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1003</v>
      </c>
      <c r="DV278" s="2" t="s">
        <v>117</v>
      </c>
      <c r="DW278" s="2" t="s">
        <v>117</v>
      </c>
      <c r="DX278" s="2">
        <v>100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57248651</v>
      </c>
      <c r="EF278" s="2">
        <v>40</v>
      </c>
      <c r="EG278" s="2" t="s">
        <v>33</v>
      </c>
      <c r="EH278" s="2">
        <v>0</v>
      </c>
      <c r="EI278" s="2" t="s">
        <v>3</v>
      </c>
      <c r="EJ278" s="2">
        <v>2</v>
      </c>
      <c r="EK278" s="2">
        <v>67</v>
      </c>
      <c r="EL278" s="2" t="s">
        <v>69</v>
      </c>
      <c r="EM278" s="2" t="s">
        <v>70</v>
      </c>
      <c r="EN278" s="2"/>
      <c r="EO278" s="2" t="s">
        <v>124</v>
      </c>
      <c r="EP278" s="2"/>
      <c r="EQ278" s="2">
        <v>131072</v>
      </c>
      <c r="ER278" s="2">
        <v>1684.24</v>
      </c>
      <c r="ES278" s="2">
        <v>1177.69</v>
      </c>
      <c r="ET278" s="2">
        <v>11.29</v>
      </c>
      <c r="EU278" s="2">
        <v>0.38</v>
      </c>
      <c r="EV278" s="2">
        <v>495.26</v>
      </c>
      <c r="EW278" s="2">
        <v>40.200000000000003</v>
      </c>
      <c r="EX278" s="2">
        <v>0</v>
      </c>
      <c r="EY278" s="2">
        <v>0</v>
      </c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2</v>
      </c>
      <c r="FT278" s="2"/>
      <c r="FU278" s="2"/>
      <c r="FV278" s="2"/>
      <c r="FW278" s="2"/>
      <c r="FX278" s="2">
        <v>97</v>
      </c>
      <c r="FY278" s="2">
        <v>51</v>
      </c>
      <c r="FZ278" s="2"/>
      <c r="GA278" s="2" t="s">
        <v>3</v>
      </c>
      <c r="GB278" s="2"/>
      <c r="GC278" s="2"/>
      <c r="GD278" s="2">
        <v>1</v>
      </c>
      <c r="GE278" s="2"/>
      <c r="GF278" s="2">
        <v>-411004998</v>
      </c>
      <c r="GG278" s="2">
        <v>2</v>
      </c>
      <c r="GH278" s="2">
        <v>1</v>
      </c>
      <c r="GI278" s="2">
        <v>2</v>
      </c>
      <c r="GJ278" s="2">
        <v>0</v>
      </c>
      <c r="GK278" s="2">
        <v>0</v>
      </c>
      <c r="GL278" s="2">
        <f t="shared" si="291"/>
        <v>0</v>
      </c>
      <c r="GM278" s="2">
        <f t="shared" si="292"/>
        <v>2574.8200000000002</v>
      </c>
      <c r="GN278" s="2">
        <f t="shared" si="293"/>
        <v>0</v>
      </c>
      <c r="GO278" s="2">
        <f t="shared" si="294"/>
        <v>2574.8200000000002</v>
      </c>
      <c r="GP278" s="2">
        <f t="shared" si="295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296"/>
        <v>0</v>
      </c>
      <c r="GW278" s="2">
        <v>1</v>
      </c>
      <c r="GX278" s="2">
        <f t="shared" si="297"/>
        <v>0</v>
      </c>
      <c r="GY278" s="2"/>
      <c r="GZ278" s="2"/>
      <c r="HA278" s="2">
        <v>0</v>
      </c>
      <c r="HB278" s="2">
        <v>0</v>
      </c>
      <c r="HC278" s="2">
        <f t="shared" si="298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3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3">
        <v>17</v>
      </c>
      <c r="B279" s="3">
        <v>1</v>
      </c>
      <c r="C279" s="3">
        <f>ROW(SmtRes!A400)</f>
        <v>400</v>
      </c>
      <c r="D279" s="3">
        <f>ROW(EtalonRes!A488)</f>
        <v>488</v>
      </c>
      <c r="E279" s="3" t="s">
        <v>417</v>
      </c>
      <c r="F279" s="3" t="s">
        <v>418</v>
      </c>
      <c r="G279" s="3" t="s">
        <v>419</v>
      </c>
      <c r="H279" s="3" t="s">
        <v>117</v>
      </c>
      <c r="I279" s="3">
        <f>ROUND(90/100,9)</f>
        <v>0.9</v>
      </c>
      <c r="J279" s="3">
        <v>0</v>
      </c>
      <c r="K279" s="3">
        <f>ROUND(90/100,9)</f>
        <v>0.9</v>
      </c>
      <c r="O279" s="3">
        <f t="shared" si="274"/>
        <v>39053.72</v>
      </c>
      <c r="P279" s="3">
        <f t="shared" si="275"/>
        <v>6748.59</v>
      </c>
      <c r="Q279" s="3">
        <f>(ROUND((ROUND((((ET279*1.2))*AV279*I279),2)*BB279),2)+ROUND((ROUND(((AE279-((EU279*1.2)))*AV279*I279),2)*BS279),2))</f>
        <v>145.06</v>
      </c>
      <c r="R279" s="3">
        <f>(ROUND((ROUND((((EU279*1.2))*AV279*I279),2)*BS279),2)+ROUND((ROUND(((AE279-((EU279*1.2)))*AV279*I279),2)*BS279),2))</f>
        <v>24.79</v>
      </c>
      <c r="S279" s="3">
        <f t="shared" si="276"/>
        <v>32160.07</v>
      </c>
      <c r="T279" s="3">
        <f t="shared" si="277"/>
        <v>0</v>
      </c>
      <c r="U279" s="3">
        <f t="shared" si="278"/>
        <v>46.324871999999999</v>
      </c>
      <c r="V279" s="3">
        <f t="shared" si="279"/>
        <v>0</v>
      </c>
      <c r="W279" s="3">
        <f t="shared" si="280"/>
        <v>0</v>
      </c>
      <c r="X279" s="3">
        <f>(ROUND((((S279+ROUND((ROUND((((EU279*1.2))*AV279*I279),2)*BS279),2))*AT279)/100),2)+ROUND(((ROUND((ROUND(((AE279-((EU279*1.2)))*AV279*I279),2)*BS279),2)*AT279)/100),2))</f>
        <v>31219.31</v>
      </c>
      <c r="Y279" s="3">
        <f>(ROUND((((S279+ROUND((ROUND((((EU279*1.2))*AV279*I279),2)*BS279),2))*AU279)/100),2)+ROUND(((ROUND((ROUND(((AE279-((EU279*1.2)))*AV279*I279),2)*BS279),2)*AU279)/100),2))</f>
        <v>16414.28</v>
      </c>
      <c r="AA279" s="3">
        <v>57248837</v>
      </c>
      <c r="AB279" s="3">
        <f t="shared" si="281"/>
        <v>1785.55</v>
      </c>
      <c r="AC279" s="3">
        <f>ROUND(((ES279*1)),6)</f>
        <v>1177.69</v>
      </c>
      <c r="AD279" s="3">
        <f>ROUND(((((ET279*1.2))-((EU279*1.2)))+AE279),6)</f>
        <v>13.548</v>
      </c>
      <c r="AE279" s="3">
        <f>ROUND(((EU279*1.2)),6)</f>
        <v>0.45600000000000002</v>
      </c>
      <c r="AF279" s="3">
        <f>ROUND(((EV279*1.2)),6)</f>
        <v>594.31200000000001</v>
      </c>
      <c r="AG279" s="3">
        <f t="shared" si="282"/>
        <v>0</v>
      </c>
      <c r="AH279" s="3">
        <f>((EW279*1.2))</f>
        <v>48.24</v>
      </c>
      <c r="AI279" s="3">
        <f>((EX279*1.2))</f>
        <v>0</v>
      </c>
      <c r="AJ279" s="3">
        <f t="shared" si="283"/>
        <v>0</v>
      </c>
      <c r="AK279" s="3">
        <v>1684.24</v>
      </c>
      <c r="AL279" s="3">
        <v>1177.69</v>
      </c>
      <c r="AM279" s="3">
        <v>11.29</v>
      </c>
      <c r="AN279" s="3">
        <v>0.38</v>
      </c>
      <c r="AO279" s="3">
        <v>495.26</v>
      </c>
      <c r="AP279" s="3">
        <v>0</v>
      </c>
      <c r="AQ279" s="3">
        <v>40.200000000000003</v>
      </c>
      <c r="AR279" s="3">
        <v>0</v>
      </c>
      <c r="AS279" s="3">
        <v>0</v>
      </c>
      <c r="AT279" s="3">
        <v>97</v>
      </c>
      <c r="AU279" s="3">
        <v>51</v>
      </c>
      <c r="AV279" s="3">
        <v>1.0669999999999999</v>
      </c>
      <c r="AW279" s="3">
        <v>1.081</v>
      </c>
      <c r="AZ279" s="3">
        <v>1</v>
      </c>
      <c r="BA279" s="3">
        <v>56.35</v>
      </c>
      <c r="BB279" s="3">
        <v>11.15</v>
      </c>
      <c r="BC279" s="3">
        <v>5.89</v>
      </c>
      <c r="BD279" s="3" t="s">
        <v>3</v>
      </c>
      <c r="BE279" s="3" t="s">
        <v>3</v>
      </c>
      <c r="BF279" s="3" t="s">
        <v>3</v>
      </c>
      <c r="BG279" s="3" t="s">
        <v>3</v>
      </c>
      <c r="BH279" s="3">
        <v>0</v>
      </c>
      <c r="BI279" s="3">
        <v>2</v>
      </c>
      <c r="BJ279" s="3" t="s">
        <v>420</v>
      </c>
      <c r="BM279" s="3">
        <v>67</v>
      </c>
      <c r="BN279" s="3">
        <v>0</v>
      </c>
      <c r="BO279" s="3" t="s">
        <v>418</v>
      </c>
      <c r="BP279" s="3">
        <v>1</v>
      </c>
      <c r="BQ279" s="3">
        <v>40</v>
      </c>
      <c r="BR279" s="3">
        <v>0</v>
      </c>
      <c r="BS279" s="3">
        <v>56.35</v>
      </c>
      <c r="BT279" s="3">
        <v>1</v>
      </c>
      <c r="BU279" s="3">
        <v>1</v>
      </c>
      <c r="BV279" s="3">
        <v>1</v>
      </c>
      <c r="BW279" s="3">
        <v>1</v>
      </c>
      <c r="BX279" s="3">
        <v>1</v>
      </c>
      <c r="BY279" s="3" t="s">
        <v>3</v>
      </c>
      <c r="BZ279" s="3">
        <v>97</v>
      </c>
      <c r="CA279" s="3">
        <v>51</v>
      </c>
      <c r="CB279" s="3" t="s">
        <v>3</v>
      </c>
      <c r="CE279" s="3">
        <v>1566</v>
      </c>
      <c r="CF279" s="3">
        <v>0</v>
      </c>
      <c r="CG279" s="3">
        <v>0</v>
      </c>
      <c r="CM279" s="3">
        <v>0</v>
      </c>
      <c r="CN279" s="3" t="s">
        <v>820</v>
      </c>
      <c r="CO279" s="3">
        <v>0</v>
      </c>
      <c r="CP279" s="3">
        <f t="shared" si="284"/>
        <v>39053.72</v>
      </c>
      <c r="CQ279" s="3">
        <f t="shared" si="285"/>
        <v>7498.44</v>
      </c>
      <c r="CR279" s="3">
        <f>(ROUND((ROUND((((ET279*1.2))*AV279*1),2)*BB279),2)+ROUND((ROUND(((AE279-((EU279*1.2)))*AV279*1),2)*BS279),2))</f>
        <v>161.22999999999999</v>
      </c>
      <c r="CS279" s="3">
        <f>(ROUND((ROUND((((EU279*1.2))*AV279*1),2)*BS279),2)+ROUND((ROUND(((AE279-((EU279*1.2)))*AV279*1),2)*BS279),2))</f>
        <v>27.61</v>
      </c>
      <c r="CT279" s="3">
        <f t="shared" si="286"/>
        <v>35733.230000000003</v>
      </c>
      <c r="CU279" s="3">
        <f t="shared" si="287"/>
        <v>0</v>
      </c>
      <c r="CV279" s="3">
        <f t="shared" si="288"/>
        <v>51.472079999999998</v>
      </c>
      <c r="CW279" s="3">
        <f t="shared" si="289"/>
        <v>0</v>
      </c>
      <c r="CX279" s="3">
        <f t="shared" si="290"/>
        <v>0</v>
      </c>
      <c r="CY279" s="3">
        <f>(ROUND((((S279+ROUND((ROUND((((EU279*1.2))*AV279*1),2)*BS279),2))*AT279)/100),2)+ROUND(((ROUND((ROUND(((AE279-((EU279*1.2)))*AV279*1),2)*BS279),2)*AT279)/100),2))</f>
        <v>31222.05</v>
      </c>
      <c r="CZ279" s="3">
        <f>(ROUND((((S279+ROUND((ROUND((((EU279*1.2))*AV279*1),2)*BS279),2))*AU279)/100),2)+ROUND(((ROUND((ROUND(((AE279-((EU279*1.2)))*AV279*1),2)*BS279),2)*AU279)/100),2))</f>
        <v>16415.72</v>
      </c>
      <c r="DB279" s="3">
        <v>124</v>
      </c>
      <c r="DC279" s="3" t="s">
        <v>3</v>
      </c>
      <c r="DD279" s="3" t="s">
        <v>119</v>
      </c>
      <c r="DE279" s="3" t="s">
        <v>120</v>
      </c>
      <c r="DF279" s="3" t="s">
        <v>120</v>
      </c>
      <c r="DG279" s="3" t="s">
        <v>120</v>
      </c>
      <c r="DH279" s="3" t="s">
        <v>3</v>
      </c>
      <c r="DI279" s="3" t="s">
        <v>120</v>
      </c>
      <c r="DJ279" s="3" t="s">
        <v>120</v>
      </c>
      <c r="DK279" s="3" t="s">
        <v>3</v>
      </c>
      <c r="DL279" s="3" t="s">
        <v>3</v>
      </c>
      <c r="DM279" s="3" t="s">
        <v>3</v>
      </c>
      <c r="DN279" s="3">
        <v>0</v>
      </c>
      <c r="DO279" s="3">
        <v>0</v>
      </c>
      <c r="DP279" s="3">
        <v>1</v>
      </c>
      <c r="DQ279" s="3">
        <v>1</v>
      </c>
      <c r="DU279" s="3">
        <v>1003</v>
      </c>
      <c r="DV279" s="3" t="s">
        <v>117</v>
      </c>
      <c r="DW279" s="3" t="s">
        <v>117</v>
      </c>
      <c r="DX279" s="3">
        <v>100</v>
      </c>
      <c r="DZ279" s="3" t="s">
        <v>3</v>
      </c>
      <c r="EA279" s="3" t="s">
        <v>3</v>
      </c>
      <c r="EB279" s="3" t="s">
        <v>3</v>
      </c>
      <c r="EC279" s="3" t="s">
        <v>3</v>
      </c>
      <c r="EE279" s="3">
        <v>57248651</v>
      </c>
      <c r="EF279" s="3">
        <v>40</v>
      </c>
      <c r="EG279" s="3" t="s">
        <v>33</v>
      </c>
      <c r="EH279" s="3">
        <v>0</v>
      </c>
      <c r="EI279" s="3" t="s">
        <v>3</v>
      </c>
      <c r="EJ279" s="3">
        <v>2</v>
      </c>
      <c r="EK279" s="3">
        <v>67</v>
      </c>
      <c r="EL279" s="3" t="s">
        <v>69</v>
      </c>
      <c r="EM279" s="3" t="s">
        <v>70</v>
      </c>
      <c r="EO279" s="3" t="s">
        <v>124</v>
      </c>
      <c r="EQ279" s="3">
        <v>131072</v>
      </c>
      <c r="ER279" s="3">
        <v>1684.24</v>
      </c>
      <c r="ES279" s="3">
        <v>1177.69</v>
      </c>
      <c r="ET279" s="3">
        <v>11.29</v>
      </c>
      <c r="EU279" s="3">
        <v>0.38</v>
      </c>
      <c r="EV279" s="3">
        <v>495.26</v>
      </c>
      <c r="EW279" s="3">
        <v>40.200000000000003</v>
      </c>
      <c r="EX279" s="3">
        <v>0</v>
      </c>
      <c r="EY279" s="3">
        <v>0</v>
      </c>
      <c r="FQ279" s="3">
        <v>0</v>
      </c>
      <c r="FR279" s="3">
        <v>0</v>
      </c>
      <c r="FS279" s="3">
        <v>2</v>
      </c>
      <c r="FX279" s="3">
        <v>97</v>
      </c>
      <c r="FY279" s="3">
        <v>51</v>
      </c>
      <c r="GA279" s="3" t="s">
        <v>3</v>
      </c>
      <c r="GD279" s="3">
        <v>1</v>
      </c>
      <c r="GF279" s="3">
        <v>-411004998</v>
      </c>
      <c r="GG279" s="3">
        <v>2</v>
      </c>
      <c r="GH279" s="3">
        <v>1</v>
      </c>
      <c r="GI279" s="3">
        <v>2</v>
      </c>
      <c r="GJ279" s="3">
        <v>0</v>
      </c>
      <c r="GK279" s="3">
        <v>0</v>
      </c>
      <c r="GL279" s="3">
        <f t="shared" si="291"/>
        <v>0</v>
      </c>
      <c r="GM279" s="3">
        <f t="shared" si="292"/>
        <v>86687.31</v>
      </c>
      <c r="GN279" s="3">
        <f t="shared" si="293"/>
        <v>0</v>
      </c>
      <c r="GO279" s="3">
        <f t="shared" si="294"/>
        <v>86687.31</v>
      </c>
      <c r="GP279" s="3">
        <f t="shared" si="295"/>
        <v>0</v>
      </c>
      <c r="GR279" s="3">
        <v>0</v>
      </c>
      <c r="GS279" s="3">
        <v>3</v>
      </c>
      <c r="GT279" s="3">
        <v>0</v>
      </c>
      <c r="GU279" s="3" t="s">
        <v>3</v>
      </c>
      <c r="GV279" s="3">
        <f t="shared" si="296"/>
        <v>0</v>
      </c>
      <c r="GW279" s="3">
        <v>1</v>
      </c>
      <c r="GX279" s="3">
        <f t="shared" si="297"/>
        <v>0</v>
      </c>
      <c r="HA279" s="3">
        <v>0</v>
      </c>
      <c r="HB279" s="3">
        <v>0</v>
      </c>
      <c r="HC279" s="3">
        <f t="shared" si="298"/>
        <v>0</v>
      </c>
      <c r="HE279" s="3" t="s">
        <v>3</v>
      </c>
      <c r="HF279" s="3" t="s">
        <v>3</v>
      </c>
      <c r="HM279" s="3" t="s">
        <v>3</v>
      </c>
      <c r="HN279" s="3" t="s">
        <v>3</v>
      </c>
      <c r="HO279" s="3" t="s">
        <v>3</v>
      </c>
      <c r="HP279" s="3" t="s">
        <v>3</v>
      </c>
      <c r="HQ279" s="3" t="s">
        <v>3</v>
      </c>
      <c r="HS279" s="3">
        <v>0</v>
      </c>
      <c r="IK279" s="3">
        <v>0</v>
      </c>
    </row>
    <row r="280" spans="1:255" x14ac:dyDescent="0.2">
      <c r="A280" s="2">
        <v>18</v>
      </c>
      <c r="B280" s="2">
        <v>1</v>
      </c>
      <c r="C280" s="2">
        <v>392</v>
      </c>
      <c r="D280" s="2"/>
      <c r="E280" s="2" t="s">
        <v>421</v>
      </c>
      <c r="F280" s="2" t="s">
        <v>422</v>
      </c>
      <c r="G280" s="2" t="s">
        <v>827</v>
      </c>
      <c r="H280" s="2" t="s">
        <v>390</v>
      </c>
      <c r="I280" s="2">
        <f>I278*J280</f>
        <v>9.1800000000000007E-2</v>
      </c>
      <c r="J280" s="2">
        <v>0.10200000000000001</v>
      </c>
      <c r="K280" s="2">
        <v>0.10199999999999999</v>
      </c>
      <c r="L280" s="2"/>
      <c r="M280" s="2"/>
      <c r="N280" s="2"/>
      <c r="O280" s="2">
        <f t="shared" ref="O280:O287" si="323">ROUND(CP280,2)</f>
        <v>483.98</v>
      </c>
      <c r="P280" s="2">
        <f t="shared" ref="P280:P287" si="324">ROUND((ROUND((AC280*AW280*I280),2)*BC280),2)</f>
        <v>483.98</v>
      </c>
      <c r="Q280" s="2">
        <f>(ROUND((ROUND(((ET280)*AV280*I280),2)*BB280),2)+ROUND((ROUND(((AE280-(EU280))*AV280*I280),2)*BS280),2))</f>
        <v>0</v>
      </c>
      <c r="R280" s="2">
        <f>(ROUND((ROUND(((EU280)*AV280*I280),2)*BS280),2)+ROUND((ROUND(((AE280-(EU280))*AV280*I280),2)*BS280),2))</f>
        <v>0</v>
      </c>
      <c r="S280" s="2">
        <f t="shared" ref="S280:S287" si="325">ROUND((ROUND((AF280*AV280*I280),2)*BA280),2)</f>
        <v>0</v>
      </c>
      <c r="T280" s="2">
        <f t="shared" ref="T280:T287" si="326">ROUND(CU280*I280,2)</f>
        <v>0</v>
      </c>
      <c r="U280" s="2">
        <f t="shared" ref="U280:U287" si="327">CV280*I280</f>
        <v>0</v>
      </c>
      <c r="V280" s="2">
        <f t="shared" ref="V280:V287" si="328">CW280*I280</f>
        <v>0</v>
      </c>
      <c r="W280" s="2">
        <f t="shared" ref="W280:W287" si="329">ROUND(CX280*I280,2)</f>
        <v>0</v>
      </c>
      <c r="X280" s="2">
        <f>(ROUND((((S280+ROUND((ROUND(((EU280)*AV280*I280),2)*BS280),2))*AT280)/100),2)+ROUND(((ROUND((ROUND(((AE280-(EU280))*AV280*I280),2)*BS280),2)*AT280)/100),2))</f>
        <v>0</v>
      </c>
      <c r="Y280" s="2">
        <f>(ROUND((((S280+ROUND((ROUND(((EU280)*AV280*I280),2)*BS280),2))*AU280)/100),2)+ROUND(((ROUND((ROUND(((AE280-(EU280))*AV280*I280),2)*BS280),2)*AU280)/100),2))</f>
        <v>0</v>
      </c>
      <c r="Z280" s="2"/>
      <c r="AA280" s="2">
        <v>57248835</v>
      </c>
      <c r="AB280" s="2">
        <f t="shared" ref="AB280:AB287" si="330">ROUND((AC280+AD280+AF280),6)</f>
        <v>5272.11</v>
      </c>
      <c r="AC280" s="2">
        <f>ROUND((ES280),6)</f>
        <v>5272.11</v>
      </c>
      <c r="AD280" s="2">
        <f>ROUND((((ET280)-(EU280))+AE280),6)</f>
        <v>0</v>
      </c>
      <c r="AE280" s="2">
        <f>ROUND((EU280),6)</f>
        <v>0</v>
      </c>
      <c r="AF280" s="2">
        <f>ROUND((EV280),6)</f>
        <v>0</v>
      </c>
      <c r="AG280" s="2">
        <f t="shared" ref="AG280:AG287" si="331">ROUND((AP280),6)</f>
        <v>0</v>
      </c>
      <c r="AH280" s="2">
        <f>(EW280)</f>
        <v>0</v>
      </c>
      <c r="AI280" s="2">
        <f>(EX280)</f>
        <v>0</v>
      </c>
      <c r="AJ280" s="2">
        <f t="shared" ref="AJ280:AJ287" si="332">(AS280)</f>
        <v>0</v>
      </c>
      <c r="AK280" s="2">
        <v>5272.11</v>
      </c>
      <c r="AL280" s="2">
        <v>5272.11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97</v>
      </c>
      <c r="AU280" s="2">
        <v>51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2</v>
      </c>
      <c r="BJ280" s="2" t="s">
        <v>423</v>
      </c>
      <c r="BK280" s="2"/>
      <c r="BL280" s="2"/>
      <c r="BM280" s="2">
        <v>67</v>
      </c>
      <c r="BN280" s="2">
        <v>0</v>
      </c>
      <c r="BO280" s="2" t="s">
        <v>3</v>
      </c>
      <c r="BP280" s="2">
        <v>0</v>
      </c>
      <c r="BQ280" s="2">
        <v>40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97</v>
      </c>
      <c r="CA280" s="2">
        <v>51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821</v>
      </c>
      <c r="CO280" s="2">
        <v>0</v>
      </c>
      <c r="CP280" s="2">
        <f t="shared" ref="CP280:CP287" si="333">(P280+Q280+S280)</f>
        <v>483.98</v>
      </c>
      <c r="CQ280" s="2">
        <f t="shared" ref="CQ280:CQ287" si="334">ROUND((ROUND((AC280*AW280*1),2)*BC280),2)</f>
        <v>5272.11</v>
      </c>
      <c r="CR280" s="2">
        <f>(ROUND((ROUND(((ET280)*AV280*1),2)*BB280),2)+ROUND((ROUND(((AE280-(EU280))*AV280*1),2)*BS280),2))</f>
        <v>0</v>
      </c>
      <c r="CS280" s="2">
        <f>(ROUND((ROUND(((EU280)*AV280*1),2)*BS280),2)+ROUND((ROUND(((AE280-(EU280))*AV280*1),2)*BS280),2))</f>
        <v>0</v>
      </c>
      <c r="CT280" s="2">
        <f t="shared" ref="CT280:CT287" si="335">ROUND((ROUND((AF280*AV280*1),2)*BA280),2)</f>
        <v>0</v>
      </c>
      <c r="CU280" s="2">
        <f t="shared" ref="CU280:CU287" si="336">AG280</f>
        <v>0</v>
      </c>
      <c r="CV280" s="2">
        <f t="shared" ref="CV280:CV287" si="337">(AH280*AV280)</f>
        <v>0</v>
      </c>
      <c r="CW280" s="2">
        <f t="shared" ref="CW280:CW287" si="338">AI280</f>
        <v>0</v>
      </c>
      <c r="CX280" s="2">
        <f t="shared" ref="CX280:CX287" si="339">AJ280</f>
        <v>0</v>
      </c>
      <c r="CY280" s="2">
        <f>(ROUND((((S280+ROUND((ROUND(((EU280)*AV280*1),2)*BS280),2))*AT280)/100),2)+ROUND(((ROUND((ROUND(((AE280-(EU280))*AV280*1),2)*BS280),2)*AT280)/100),2))</f>
        <v>0</v>
      </c>
      <c r="CZ280" s="2">
        <f>(ROUND((((S280+ROUND((ROUND(((EU280)*AV280*1),2)*BS280),2))*AU280)/100),2)+ROUND(((ROUND((ROUND(((AE280-(EU280))*AV280*1),2)*BS280),2)*AU280)/100),2))</f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1003</v>
      </c>
      <c r="DV280" s="2" t="s">
        <v>390</v>
      </c>
      <c r="DW280" s="2" t="s">
        <v>390</v>
      </c>
      <c r="DX280" s="2">
        <v>1000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57248651</v>
      </c>
      <c r="EF280" s="2">
        <v>40</v>
      </c>
      <c r="EG280" s="2" t="s">
        <v>33</v>
      </c>
      <c r="EH280" s="2">
        <v>0</v>
      </c>
      <c r="EI280" s="2" t="s">
        <v>3</v>
      </c>
      <c r="EJ280" s="2">
        <v>2</v>
      </c>
      <c r="EK280" s="2">
        <v>67</v>
      </c>
      <c r="EL280" s="2" t="s">
        <v>69</v>
      </c>
      <c r="EM280" s="2" t="s">
        <v>70</v>
      </c>
      <c r="EN280" s="2"/>
      <c r="EO280" s="2" t="s">
        <v>124</v>
      </c>
      <c r="EP280" s="2"/>
      <c r="EQ280" s="2">
        <v>0</v>
      </c>
      <c r="ER280" s="2">
        <v>5272.11</v>
      </c>
      <c r="ES280" s="2">
        <v>5272.11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97</v>
      </c>
      <c r="FY280" s="2">
        <v>51</v>
      </c>
      <c r="FZ280" s="2"/>
      <c r="GA280" s="2" t="s">
        <v>3</v>
      </c>
      <c r="GB280" s="2"/>
      <c r="GC280" s="2"/>
      <c r="GD280" s="2">
        <v>1</v>
      </c>
      <c r="GE280" s="2"/>
      <c r="GF280" s="2">
        <v>-1847978610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ref="GL280:GL287" si="340">ROUND(IF(AND(BH280=3,BI280=3,FS280&lt;&gt;0),P280,0),2)</f>
        <v>0</v>
      </c>
      <c r="GM280" s="2">
        <f t="shared" ref="GM280:GM287" si="341">ROUND(O280+X280+Y280,2)+GX280</f>
        <v>483.98</v>
      </c>
      <c r="GN280" s="2">
        <f t="shared" ref="GN280:GN287" si="342">IF(OR(BI280=0,BI280=1),GM280-GX280,0)</f>
        <v>0</v>
      </c>
      <c r="GO280" s="2">
        <f t="shared" ref="GO280:GO287" si="343">IF(BI280=2,GM280-GX280,0)</f>
        <v>483.98</v>
      </c>
      <c r="GP280" s="2">
        <f t="shared" ref="GP280:GP287" si="344">IF(BI280=4,GM280-GX280,0)</f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ref="GV280:GV287" si="345">ROUND((GT280),6)</f>
        <v>0</v>
      </c>
      <c r="GW280" s="2">
        <v>1</v>
      </c>
      <c r="GX280" s="2">
        <f t="shared" ref="GX280:GX287" si="346">ROUND(HC280*I280,2)</f>
        <v>0</v>
      </c>
      <c r="GY280" s="2"/>
      <c r="GZ280" s="2"/>
      <c r="HA280" s="2">
        <v>0</v>
      </c>
      <c r="HB280" s="2">
        <v>0</v>
      </c>
      <c r="HC280" s="2">
        <f t="shared" ref="HC280:HC287" si="347">GV280*GW280</f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3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 s="3">
        <v>18</v>
      </c>
      <c r="B281" s="3">
        <v>1</v>
      </c>
      <c r="C281" s="3">
        <v>400</v>
      </c>
      <c r="E281" s="3" t="s">
        <v>421</v>
      </c>
      <c r="F281" s="3" t="s">
        <v>422</v>
      </c>
      <c r="G281" s="3" t="s">
        <v>827</v>
      </c>
      <c r="H281" s="3" t="s">
        <v>390</v>
      </c>
      <c r="I281" s="3">
        <f>I279*J281</f>
        <v>9.1800000000000007E-2</v>
      </c>
      <c r="J281" s="3">
        <v>0.10200000000000001</v>
      </c>
      <c r="K281" s="3">
        <v>0.10199999999999999</v>
      </c>
      <c r="O281" s="3">
        <f t="shared" si="323"/>
        <v>5430.26</v>
      </c>
      <c r="P281" s="3">
        <f t="shared" si="324"/>
        <v>5430.26</v>
      </c>
      <c r="Q281" s="3">
        <f>(ROUND((ROUND(((ET281)*AV281*I281),2)*BB281),2)+ROUND((ROUND(((AE281-(EU281))*AV281*I281),2)*BS281),2))</f>
        <v>0</v>
      </c>
      <c r="R281" s="3">
        <f>(ROUND((ROUND(((EU281)*AV281*I281),2)*BS281),2)+ROUND((ROUND(((AE281-(EU281))*AV281*I281),2)*BS281),2))</f>
        <v>0</v>
      </c>
      <c r="S281" s="3">
        <f t="shared" si="325"/>
        <v>0</v>
      </c>
      <c r="T281" s="3">
        <f t="shared" si="326"/>
        <v>0</v>
      </c>
      <c r="U281" s="3">
        <f t="shared" si="327"/>
        <v>0</v>
      </c>
      <c r="V281" s="3">
        <f t="shared" si="328"/>
        <v>0</v>
      </c>
      <c r="W281" s="3">
        <f t="shared" si="329"/>
        <v>0</v>
      </c>
      <c r="X281" s="3">
        <f>(ROUND((((S281+ROUND((ROUND(((EU281)*AV281*I281),2)*BS281),2))*AT281)/100),2)+ROUND(((ROUND((ROUND(((AE281-(EU281))*AV281*I281),2)*BS281),2)*AT281)/100),2))</f>
        <v>0</v>
      </c>
      <c r="Y281" s="3">
        <f>(ROUND((((S281+ROUND((ROUND(((EU281)*AV281*I281),2)*BS281),2))*AU281)/100),2)+ROUND(((ROUND((ROUND(((AE281-(EU281))*AV281*I281),2)*BS281),2)*AU281)/100),2))</f>
        <v>0</v>
      </c>
      <c r="AA281" s="3">
        <v>57248837</v>
      </c>
      <c r="AB281" s="3">
        <f t="shared" si="330"/>
        <v>5272.11</v>
      </c>
      <c r="AC281" s="3">
        <f>ROUND((ES281),6)</f>
        <v>5272.11</v>
      </c>
      <c r="AD281" s="3">
        <f>ROUND((((ET281)-(EU281))+AE281),6)</f>
        <v>0</v>
      </c>
      <c r="AE281" s="3">
        <f>ROUND((EU281),6)</f>
        <v>0</v>
      </c>
      <c r="AF281" s="3">
        <f>ROUND((EV281),6)</f>
        <v>0</v>
      </c>
      <c r="AG281" s="3">
        <f t="shared" si="331"/>
        <v>0</v>
      </c>
      <c r="AH281" s="3">
        <f>(EW281)</f>
        <v>0</v>
      </c>
      <c r="AI281" s="3">
        <f>(EX281)</f>
        <v>0</v>
      </c>
      <c r="AJ281" s="3">
        <f t="shared" si="332"/>
        <v>0</v>
      </c>
      <c r="AK281" s="3">
        <v>5272.11</v>
      </c>
      <c r="AL281" s="3">
        <v>5272.11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97</v>
      </c>
      <c r="AU281" s="3">
        <v>51</v>
      </c>
      <c r="AV281" s="3">
        <v>1</v>
      </c>
      <c r="AW281" s="3">
        <v>1</v>
      </c>
      <c r="AZ281" s="3">
        <v>1</v>
      </c>
      <c r="BA281" s="3">
        <v>1</v>
      </c>
      <c r="BB281" s="3">
        <v>1</v>
      </c>
      <c r="BC281" s="3">
        <v>11.22</v>
      </c>
      <c r="BD281" s="3" t="s">
        <v>3</v>
      </c>
      <c r="BE281" s="3" t="s">
        <v>3</v>
      </c>
      <c r="BF281" s="3" t="s">
        <v>3</v>
      </c>
      <c r="BG281" s="3" t="s">
        <v>3</v>
      </c>
      <c r="BH281" s="3">
        <v>3</v>
      </c>
      <c r="BI281" s="3">
        <v>2</v>
      </c>
      <c r="BJ281" s="3" t="s">
        <v>423</v>
      </c>
      <c r="BM281" s="3">
        <v>67</v>
      </c>
      <c r="BN281" s="3">
        <v>0</v>
      </c>
      <c r="BO281" s="3" t="s">
        <v>422</v>
      </c>
      <c r="BP281" s="3">
        <v>1</v>
      </c>
      <c r="BQ281" s="3">
        <v>40</v>
      </c>
      <c r="BR281" s="3">
        <v>0</v>
      </c>
      <c r="BS281" s="3">
        <v>1</v>
      </c>
      <c r="BT281" s="3">
        <v>1</v>
      </c>
      <c r="BU281" s="3">
        <v>1</v>
      </c>
      <c r="BV281" s="3">
        <v>1</v>
      </c>
      <c r="BW281" s="3">
        <v>1</v>
      </c>
      <c r="BX281" s="3">
        <v>1</v>
      </c>
      <c r="BY281" s="3" t="s">
        <v>3</v>
      </c>
      <c r="BZ281" s="3">
        <v>97</v>
      </c>
      <c r="CA281" s="3">
        <v>51</v>
      </c>
      <c r="CB281" s="3" t="s">
        <v>3</v>
      </c>
      <c r="CE281" s="3">
        <v>1566</v>
      </c>
      <c r="CF281" s="3">
        <v>0</v>
      </c>
      <c r="CG281" s="3">
        <v>0</v>
      </c>
      <c r="CM281" s="3">
        <v>0</v>
      </c>
      <c r="CN281" s="3" t="s">
        <v>821</v>
      </c>
      <c r="CO281" s="3">
        <v>0</v>
      </c>
      <c r="CP281" s="3">
        <f t="shared" si="333"/>
        <v>5430.26</v>
      </c>
      <c r="CQ281" s="3">
        <f t="shared" si="334"/>
        <v>59153.07</v>
      </c>
      <c r="CR281" s="3">
        <f>(ROUND((ROUND(((ET281)*AV281*1),2)*BB281),2)+ROUND((ROUND(((AE281-(EU281))*AV281*1),2)*BS281),2))</f>
        <v>0</v>
      </c>
      <c r="CS281" s="3">
        <f>(ROUND((ROUND(((EU281)*AV281*1),2)*BS281),2)+ROUND((ROUND(((AE281-(EU281))*AV281*1),2)*BS281),2))</f>
        <v>0</v>
      </c>
      <c r="CT281" s="3">
        <f t="shared" si="335"/>
        <v>0</v>
      </c>
      <c r="CU281" s="3">
        <f t="shared" si="336"/>
        <v>0</v>
      </c>
      <c r="CV281" s="3">
        <f t="shared" si="337"/>
        <v>0</v>
      </c>
      <c r="CW281" s="3">
        <f t="shared" si="338"/>
        <v>0</v>
      </c>
      <c r="CX281" s="3">
        <f t="shared" si="339"/>
        <v>0</v>
      </c>
      <c r="CY281" s="3">
        <f>(ROUND((((S281+ROUND((ROUND(((EU281)*AV281*1),2)*BS281),2))*AT281)/100),2)+ROUND(((ROUND((ROUND(((AE281-(EU281))*AV281*1),2)*BS281),2)*AT281)/100),2))</f>
        <v>0</v>
      </c>
      <c r="CZ281" s="3">
        <f>(ROUND((((S281+ROUND((ROUND(((EU281)*AV281*1),2)*BS281),2))*AU281)/100),2)+ROUND(((ROUND((ROUND(((AE281-(EU281))*AV281*1),2)*BS281),2)*AU281)/100),2))</f>
        <v>0</v>
      </c>
      <c r="DC281" s="3" t="s">
        <v>3</v>
      </c>
      <c r="DD281" s="3" t="s">
        <v>3</v>
      </c>
      <c r="DE281" s="3" t="s">
        <v>3</v>
      </c>
      <c r="DF281" s="3" t="s">
        <v>3</v>
      </c>
      <c r="DG281" s="3" t="s">
        <v>3</v>
      </c>
      <c r="DH281" s="3" t="s">
        <v>3</v>
      </c>
      <c r="DI281" s="3" t="s">
        <v>3</v>
      </c>
      <c r="DJ281" s="3" t="s">
        <v>3</v>
      </c>
      <c r="DK281" s="3" t="s">
        <v>3</v>
      </c>
      <c r="DL281" s="3" t="s">
        <v>3</v>
      </c>
      <c r="DM281" s="3" t="s">
        <v>3</v>
      </c>
      <c r="DN281" s="3">
        <v>0</v>
      </c>
      <c r="DO281" s="3">
        <v>0</v>
      </c>
      <c r="DP281" s="3">
        <v>1</v>
      </c>
      <c r="DQ281" s="3">
        <v>1</v>
      </c>
      <c r="DU281" s="3">
        <v>1003</v>
      </c>
      <c r="DV281" s="3" t="s">
        <v>390</v>
      </c>
      <c r="DW281" s="3" t="s">
        <v>390</v>
      </c>
      <c r="DX281" s="3">
        <v>1000</v>
      </c>
      <c r="DZ281" s="3" t="s">
        <v>3</v>
      </c>
      <c r="EA281" s="3" t="s">
        <v>3</v>
      </c>
      <c r="EB281" s="3" t="s">
        <v>3</v>
      </c>
      <c r="EC281" s="3" t="s">
        <v>3</v>
      </c>
      <c r="EE281" s="3">
        <v>57248651</v>
      </c>
      <c r="EF281" s="3">
        <v>40</v>
      </c>
      <c r="EG281" s="3" t="s">
        <v>33</v>
      </c>
      <c r="EH281" s="3">
        <v>0</v>
      </c>
      <c r="EI281" s="3" t="s">
        <v>3</v>
      </c>
      <c r="EJ281" s="3">
        <v>2</v>
      </c>
      <c r="EK281" s="3">
        <v>67</v>
      </c>
      <c r="EL281" s="3" t="s">
        <v>69</v>
      </c>
      <c r="EM281" s="3" t="s">
        <v>70</v>
      </c>
      <c r="EO281" s="3" t="s">
        <v>124</v>
      </c>
      <c r="EQ281" s="3">
        <v>0</v>
      </c>
      <c r="ER281" s="3">
        <v>5272.11</v>
      </c>
      <c r="ES281" s="3">
        <v>5272.11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FQ281" s="3">
        <v>0</v>
      </c>
      <c r="FR281" s="3">
        <v>0</v>
      </c>
      <c r="FS281" s="3">
        <v>0</v>
      </c>
      <c r="FX281" s="3">
        <v>97</v>
      </c>
      <c r="FY281" s="3">
        <v>51</v>
      </c>
      <c r="GA281" s="3" t="s">
        <v>3</v>
      </c>
      <c r="GD281" s="3">
        <v>1</v>
      </c>
      <c r="GF281" s="3">
        <v>-1847978610</v>
      </c>
      <c r="GG281" s="3">
        <v>2</v>
      </c>
      <c r="GH281" s="3">
        <v>1</v>
      </c>
      <c r="GI281" s="3">
        <v>2</v>
      </c>
      <c r="GJ281" s="3">
        <v>0</v>
      </c>
      <c r="GK281" s="3">
        <v>0</v>
      </c>
      <c r="GL281" s="3">
        <f t="shared" si="340"/>
        <v>0</v>
      </c>
      <c r="GM281" s="3">
        <f t="shared" si="341"/>
        <v>5430.26</v>
      </c>
      <c r="GN281" s="3">
        <f t="shared" si="342"/>
        <v>0</v>
      </c>
      <c r="GO281" s="3">
        <f t="shared" si="343"/>
        <v>5430.26</v>
      </c>
      <c r="GP281" s="3">
        <f t="shared" si="344"/>
        <v>0</v>
      </c>
      <c r="GR281" s="3">
        <v>0</v>
      </c>
      <c r="GS281" s="3">
        <v>3</v>
      </c>
      <c r="GT281" s="3">
        <v>0</v>
      </c>
      <c r="GU281" s="3" t="s">
        <v>3</v>
      </c>
      <c r="GV281" s="3">
        <f t="shared" si="345"/>
        <v>0</v>
      </c>
      <c r="GW281" s="3">
        <v>1</v>
      </c>
      <c r="GX281" s="3">
        <f t="shared" si="346"/>
        <v>0</v>
      </c>
      <c r="HA281" s="3">
        <v>0</v>
      </c>
      <c r="HB281" s="3">
        <v>0</v>
      </c>
      <c r="HC281" s="3">
        <f t="shared" si="347"/>
        <v>0</v>
      </c>
      <c r="HE281" s="3" t="s">
        <v>3</v>
      </c>
      <c r="HF281" s="3" t="s">
        <v>3</v>
      </c>
      <c r="HM281" s="3" t="s">
        <v>3</v>
      </c>
      <c r="HN281" s="3" t="s">
        <v>3</v>
      </c>
      <c r="HO281" s="3" t="s">
        <v>3</v>
      </c>
      <c r="HP281" s="3" t="s">
        <v>3</v>
      </c>
      <c r="HQ281" s="3" t="s">
        <v>3</v>
      </c>
      <c r="HS281" s="3">
        <v>0</v>
      </c>
      <c r="IK281" s="3">
        <v>0</v>
      </c>
    </row>
    <row r="282" spans="1:255" x14ac:dyDescent="0.2">
      <c r="A282" s="2">
        <v>17</v>
      </c>
      <c r="B282" s="2">
        <v>1</v>
      </c>
      <c r="C282" s="2">
        <f>ROW(SmtRes!A401)</f>
        <v>401</v>
      </c>
      <c r="D282" s="2">
        <f>ROW(EtalonRes!A490)</f>
        <v>490</v>
      </c>
      <c r="E282" s="2" t="s">
        <v>424</v>
      </c>
      <c r="F282" s="2" t="s">
        <v>425</v>
      </c>
      <c r="G282" s="2" t="s">
        <v>426</v>
      </c>
      <c r="H282" s="2" t="s">
        <v>427</v>
      </c>
      <c r="I282" s="2">
        <f>ROUND(2/100,9)</f>
        <v>0.02</v>
      </c>
      <c r="J282" s="2">
        <v>0</v>
      </c>
      <c r="K282" s="2">
        <f>ROUND(2/100,9)</f>
        <v>0.02</v>
      </c>
      <c r="L282" s="2"/>
      <c r="M282" s="2"/>
      <c r="N282" s="2"/>
      <c r="O282" s="2">
        <f t="shared" si="323"/>
        <v>0.4</v>
      </c>
      <c r="P282" s="2">
        <f t="shared" si="324"/>
        <v>0.01</v>
      </c>
      <c r="Q282" s="2">
        <f>(ROUND((ROUND((((ET282*1.2))*AV282*I282),2)*BB282),2)+ROUND((ROUND(((AE282-((EU282*1.2)))*AV282*I282),2)*BS282),2))</f>
        <v>0</v>
      </c>
      <c r="R282" s="2">
        <f>(ROUND((ROUND((((EU282*1.2))*AV282*I282),2)*BS282),2)+ROUND((ROUND(((AE282-((EU282*1.2)))*AV282*I282),2)*BS282),2))</f>
        <v>0</v>
      </c>
      <c r="S282" s="2">
        <f t="shared" si="325"/>
        <v>0.39</v>
      </c>
      <c r="T282" s="2">
        <f t="shared" si="326"/>
        <v>0</v>
      </c>
      <c r="U282" s="2">
        <f t="shared" si="327"/>
        <v>3.166128E-2</v>
      </c>
      <c r="V282" s="2">
        <f t="shared" si="328"/>
        <v>0</v>
      </c>
      <c r="W282" s="2">
        <f t="shared" si="329"/>
        <v>0</v>
      </c>
      <c r="X282" s="2">
        <f>(ROUND((((S282+ROUND((ROUND((((EU282*1.2))*AV282*I282),2)*BS282),2))*AT282)/100),2)+ROUND(((ROUND((ROUND(((AE282-((EU282*1.2)))*AV282*I282),2)*BS282),2)*AT282)/100),2))</f>
        <v>0.38</v>
      </c>
      <c r="Y282" s="2">
        <f>(ROUND((((S282+ROUND((ROUND((((EU282*1.2))*AV282*I282),2)*BS282),2))*AU282)/100),2)+ROUND(((ROUND((ROUND(((AE282-((EU282*1.2)))*AV282*I282),2)*BS282),2)*AU282)/100),2))</f>
        <v>0.2</v>
      </c>
      <c r="Z282" s="2"/>
      <c r="AA282" s="2">
        <v>57248835</v>
      </c>
      <c r="AB282" s="2">
        <f t="shared" si="330"/>
        <v>19.193999999999999</v>
      </c>
      <c r="AC282" s="2">
        <f>ROUND(((ES282*1)),6)</f>
        <v>0.56999999999999995</v>
      </c>
      <c r="AD282" s="2">
        <f>ROUND(((((ET282*1.2))-((EU282*1.2)))+AE282),6)</f>
        <v>0</v>
      </c>
      <c r="AE282" s="2">
        <f>ROUND(((EU282*1.2)),6)</f>
        <v>0</v>
      </c>
      <c r="AF282" s="2">
        <f>ROUND(((EV282*1.2)),6)</f>
        <v>18.623999999999999</v>
      </c>
      <c r="AG282" s="2">
        <f t="shared" si="331"/>
        <v>0</v>
      </c>
      <c r="AH282" s="2">
        <f>((EW282*1.2))</f>
        <v>1.512</v>
      </c>
      <c r="AI282" s="2">
        <f>((EX282*1.2))</f>
        <v>0</v>
      </c>
      <c r="AJ282" s="2">
        <f t="shared" si="332"/>
        <v>0</v>
      </c>
      <c r="AK282" s="2">
        <v>16.09</v>
      </c>
      <c r="AL282" s="2">
        <v>0.56999999999999995</v>
      </c>
      <c r="AM282" s="2">
        <v>0</v>
      </c>
      <c r="AN282" s="2">
        <v>0</v>
      </c>
      <c r="AO282" s="2">
        <v>15.52</v>
      </c>
      <c r="AP282" s="2">
        <v>0</v>
      </c>
      <c r="AQ282" s="2">
        <v>1.26</v>
      </c>
      <c r="AR282" s="2">
        <v>0</v>
      </c>
      <c r="AS282" s="2">
        <v>0</v>
      </c>
      <c r="AT282" s="2">
        <v>97</v>
      </c>
      <c r="AU282" s="2">
        <v>51</v>
      </c>
      <c r="AV282" s="2">
        <v>1.0469999999999999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2</v>
      </c>
      <c r="BJ282" s="2" t="s">
        <v>428</v>
      </c>
      <c r="BK282" s="2"/>
      <c r="BL282" s="2"/>
      <c r="BM282" s="2">
        <v>67</v>
      </c>
      <c r="BN282" s="2">
        <v>0</v>
      </c>
      <c r="BO282" s="2" t="s">
        <v>425</v>
      </c>
      <c r="BP282" s="2">
        <v>1</v>
      </c>
      <c r="BQ282" s="2">
        <v>40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97</v>
      </c>
      <c r="CA282" s="2">
        <v>51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820</v>
      </c>
      <c r="CO282" s="2">
        <v>0</v>
      </c>
      <c r="CP282" s="2">
        <f t="shared" si="333"/>
        <v>0.4</v>
      </c>
      <c r="CQ282" s="2">
        <f t="shared" si="334"/>
        <v>0.56999999999999995</v>
      </c>
      <c r="CR282" s="2">
        <f>(ROUND((ROUND((((ET282*1.2))*AV282*1),2)*BB282),2)+ROUND((ROUND(((AE282-((EU282*1.2)))*AV282*1),2)*BS282),2))</f>
        <v>0</v>
      </c>
      <c r="CS282" s="2">
        <f>(ROUND((ROUND((((EU282*1.2))*AV282*1),2)*BS282),2)+ROUND((ROUND(((AE282-((EU282*1.2)))*AV282*1),2)*BS282),2))</f>
        <v>0</v>
      </c>
      <c r="CT282" s="2">
        <f t="shared" si="335"/>
        <v>19.5</v>
      </c>
      <c r="CU282" s="2">
        <f t="shared" si="336"/>
        <v>0</v>
      </c>
      <c r="CV282" s="2">
        <f t="shared" si="337"/>
        <v>1.5830639999999998</v>
      </c>
      <c r="CW282" s="2">
        <f t="shared" si="338"/>
        <v>0</v>
      </c>
      <c r="CX282" s="2">
        <f t="shared" si="339"/>
        <v>0</v>
      </c>
      <c r="CY282" s="2">
        <f>(ROUND((((S282+ROUND((ROUND((((EU282*1.2))*AV282*1),2)*BS282),2))*AT282)/100),2)+ROUND(((ROUND((ROUND(((AE282-((EU282*1.2)))*AV282*1),2)*BS282),2)*AT282)/100),2))</f>
        <v>0.38</v>
      </c>
      <c r="CZ282" s="2">
        <f>(ROUND((((S282+ROUND((ROUND((((EU282*1.2))*AV282*1),2)*BS282),2))*AU282)/100),2)+ROUND(((ROUND((ROUND(((AE282-((EU282*1.2)))*AV282*1),2)*BS282),2)*AU282)/100),2))</f>
        <v>0.2</v>
      </c>
      <c r="DA282" s="2"/>
      <c r="DB282" s="2">
        <v>125</v>
      </c>
      <c r="DC282" s="2" t="s">
        <v>3</v>
      </c>
      <c r="DD282" s="2" t="s">
        <v>119</v>
      </c>
      <c r="DE282" s="2" t="s">
        <v>120</v>
      </c>
      <c r="DF282" s="2" t="s">
        <v>120</v>
      </c>
      <c r="DG282" s="2" t="s">
        <v>120</v>
      </c>
      <c r="DH282" s="2" t="s">
        <v>3</v>
      </c>
      <c r="DI282" s="2" t="s">
        <v>120</v>
      </c>
      <c r="DJ282" s="2" t="s">
        <v>120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1013</v>
      </c>
      <c r="DV282" s="2" t="s">
        <v>427</v>
      </c>
      <c r="DW282" s="2" t="s">
        <v>427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57248651</v>
      </c>
      <c r="EF282" s="2">
        <v>40</v>
      </c>
      <c r="EG282" s="2" t="s">
        <v>33</v>
      </c>
      <c r="EH282" s="2">
        <v>0</v>
      </c>
      <c r="EI282" s="2" t="s">
        <v>3</v>
      </c>
      <c r="EJ282" s="2">
        <v>2</v>
      </c>
      <c r="EK282" s="2">
        <v>67</v>
      </c>
      <c r="EL282" s="2" t="s">
        <v>69</v>
      </c>
      <c r="EM282" s="2" t="s">
        <v>70</v>
      </c>
      <c r="EN282" s="2"/>
      <c r="EO282" s="2" t="s">
        <v>124</v>
      </c>
      <c r="EP282" s="2"/>
      <c r="EQ282" s="2">
        <v>131072</v>
      </c>
      <c r="ER282" s="2">
        <v>16.09</v>
      </c>
      <c r="ES282" s="2">
        <v>0.56999999999999995</v>
      </c>
      <c r="ET282" s="2">
        <v>0</v>
      </c>
      <c r="EU282" s="2">
        <v>0</v>
      </c>
      <c r="EV282" s="2">
        <v>15.52</v>
      </c>
      <c r="EW282" s="2">
        <v>1.26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97</v>
      </c>
      <c r="FY282" s="2">
        <v>51</v>
      </c>
      <c r="FZ282" s="2"/>
      <c r="GA282" s="2" t="s">
        <v>3</v>
      </c>
      <c r="GB282" s="2"/>
      <c r="GC282" s="2"/>
      <c r="GD282" s="2">
        <v>1</v>
      </c>
      <c r="GE282" s="2"/>
      <c r="GF282" s="2">
        <v>2037938139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si="340"/>
        <v>0</v>
      </c>
      <c r="GM282" s="2">
        <f t="shared" si="341"/>
        <v>0.98</v>
      </c>
      <c r="GN282" s="2">
        <f t="shared" si="342"/>
        <v>0</v>
      </c>
      <c r="GO282" s="2">
        <f t="shared" si="343"/>
        <v>0.98</v>
      </c>
      <c r="GP282" s="2">
        <f t="shared" si="344"/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si="345"/>
        <v>0</v>
      </c>
      <c r="GW282" s="2">
        <v>1</v>
      </c>
      <c r="GX282" s="2">
        <f t="shared" si="346"/>
        <v>0</v>
      </c>
      <c r="GY282" s="2"/>
      <c r="GZ282" s="2"/>
      <c r="HA282" s="2">
        <v>0</v>
      </c>
      <c r="HB282" s="2">
        <v>0</v>
      </c>
      <c r="HC282" s="2">
        <f t="shared" si="347"/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 s="3">
        <v>17</v>
      </c>
      <c r="B283" s="3">
        <v>1</v>
      </c>
      <c r="C283" s="3">
        <f>ROW(SmtRes!A402)</f>
        <v>402</v>
      </c>
      <c r="D283" s="3">
        <f>ROW(EtalonRes!A492)</f>
        <v>492</v>
      </c>
      <c r="E283" s="3" t="s">
        <v>424</v>
      </c>
      <c r="F283" s="3" t="s">
        <v>425</v>
      </c>
      <c r="G283" s="3" t="s">
        <v>426</v>
      </c>
      <c r="H283" s="3" t="s">
        <v>427</v>
      </c>
      <c r="I283" s="3">
        <f>ROUND(2/100,9)</f>
        <v>0.02</v>
      </c>
      <c r="J283" s="3">
        <v>0</v>
      </c>
      <c r="K283" s="3">
        <f>ROUND(2/100,9)</f>
        <v>0.02</v>
      </c>
      <c r="O283" s="3">
        <f t="shared" si="323"/>
        <v>22.16</v>
      </c>
      <c r="P283" s="3">
        <f t="shared" si="324"/>
        <v>0.18</v>
      </c>
      <c r="Q283" s="3">
        <f>(ROUND((ROUND((((ET283*1.2))*AV283*I283),2)*BB283),2)+ROUND((ROUND(((AE283-((EU283*1.2)))*AV283*I283),2)*BS283),2))</f>
        <v>0</v>
      </c>
      <c r="R283" s="3">
        <f>(ROUND((ROUND((((EU283*1.2))*AV283*I283),2)*BS283),2)+ROUND((ROUND(((AE283-((EU283*1.2)))*AV283*I283),2)*BS283),2))</f>
        <v>0</v>
      </c>
      <c r="S283" s="3">
        <f t="shared" si="325"/>
        <v>21.98</v>
      </c>
      <c r="T283" s="3">
        <f t="shared" si="326"/>
        <v>0</v>
      </c>
      <c r="U283" s="3">
        <f t="shared" si="327"/>
        <v>3.166128E-2</v>
      </c>
      <c r="V283" s="3">
        <f t="shared" si="328"/>
        <v>0</v>
      </c>
      <c r="W283" s="3">
        <f t="shared" si="329"/>
        <v>0</v>
      </c>
      <c r="X283" s="3">
        <f>(ROUND((((S283+ROUND((ROUND((((EU283*1.2))*AV283*I283),2)*BS283),2))*AT283)/100),2)+ROUND(((ROUND((ROUND(((AE283-((EU283*1.2)))*AV283*I283),2)*BS283),2)*AT283)/100),2))</f>
        <v>21.32</v>
      </c>
      <c r="Y283" s="3">
        <f>(ROUND((((S283+ROUND((ROUND((((EU283*1.2))*AV283*I283),2)*BS283),2))*AU283)/100),2)+ROUND(((ROUND((ROUND(((AE283-((EU283*1.2)))*AV283*I283),2)*BS283),2)*AU283)/100),2))</f>
        <v>11.21</v>
      </c>
      <c r="AA283" s="3">
        <v>57248837</v>
      </c>
      <c r="AB283" s="3">
        <f t="shared" si="330"/>
        <v>19.193999999999999</v>
      </c>
      <c r="AC283" s="3">
        <f>ROUND(((ES283*1)),6)</f>
        <v>0.56999999999999995</v>
      </c>
      <c r="AD283" s="3">
        <f>ROUND(((((ET283*1.2))-((EU283*1.2)))+AE283),6)</f>
        <v>0</v>
      </c>
      <c r="AE283" s="3">
        <f>ROUND(((EU283*1.2)),6)</f>
        <v>0</v>
      </c>
      <c r="AF283" s="3">
        <f>ROUND(((EV283*1.2)),6)</f>
        <v>18.623999999999999</v>
      </c>
      <c r="AG283" s="3">
        <f t="shared" si="331"/>
        <v>0</v>
      </c>
      <c r="AH283" s="3">
        <f>((EW283*1.2))</f>
        <v>1.512</v>
      </c>
      <c r="AI283" s="3">
        <f>((EX283*1.2))</f>
        <v>0</v>
      </c>
      <c r="AJ283" s="3">
        <f t="shared" si="332"/>
        <v>0</v>
      </c>
      <c r="AK283" s="3">
        <v>16.09</v>
      </c>
      <c r="AL283" s="3">
        <v>0.56999999999999995</v>
      </c>
      <c r="AM283" s="3">
        <v>0</v>
      </c>
      <c r="AN283" s="3">
        <v>0</v>
      </c>
      <c r="AO283" s="3">
        <v>15.52</v>
      </c>
      <c r="AP283" s="3">
        <v>0</v>
      </c>
      <c r="AQ283" s="3">
        <v>1.26</v>
      </c>
      <c r="AR283" s="3">
        <v>0</v>
      </c>
      <c r="AS283" s="3">
        <v>0</v>
      </c>
      <c r="AT283" s="3">
        <v>97</v>
      </c>
      <c r="AU283" s="3">
        <v>51</v>
      </c>
      <c r="AV283" s="3">
        <v>1.0469999999999999</v>
      </c>
      <c r="AW283" s="3">
        <v>1</v>
      </c>
      <c r="AZ283" s="3">
        <v>1</v>
      </c>
      <c r="BA283" s="3">
        <v>56.35</v>
      </c>
      <c r="BB283" s="3">
        <v>1</v>
      </c>
      <c r="BC283" s="3">
        <v>18.190000000000001</v>
      </c>
      <c r="BD283" s="3" t="s">
        <v>3</v>
      </c>
      <c r="BE283" s="3" t="s">
        <v>3</v>
      </c>
      <c r="BF283" s="3" t="s">
        <v>3</v>
      </c>
      <c r="BG283" s="3" t="s">
        <v>3</v>
      </c>
      <c r="BH283" s="3">
        <v>0</v>
      </c>
      <c r="BI283" s="3">
        <v>2</v>
      </c>
      <c r="BJ283" s="3" t="s">
        <v>428</v>
      </c>
      <c r="BM283" s="3">
        <v>67</v>
      </c>
      <c r="BN283" s="3">
        <v>0</v>
      </c>
      <c r="BO283" s="3" t="s">
        <v>425</v>
      </c>
      <c r="BP283" s="3">
        <v>1</v>
      </c>
      <c r="BQ283" s="3">
        <v>40</v>
      </c>
      <c r="BR283" s="3">
        <v>0</v>
      </c>
      <c r="BS283" s="3">
        <v>56.35</v>
      </c>
      <c r="BT283" s="3">
        <v>1</v>
      </c>
      <c r="BU283" s="3">
        <v>1</v>
      </c>
      <c r="BV283" s="3">
        <v>1</v>
      </c>
      <c r="BW283" s="3">
        <v>1</v>
      </c>
      <c r="BX283" s="3">
        <v>1</v>
      </c>
      <c r="BY283" s="3" t="s">
        <v>3</v>
      </c>
      <c r="BZ283" s="3">
        <v>97</v>
      </c>
      <c r="CA283" s="3">
        <v>51</v>
      </c>
      <c r="CB283" s="3" t="s">
        <v>3</v>
      </c>
      <c r="CE283" s="3">
        <v>1566</v>
      </c>
      <c r="CF283" s="3">
        <v>0</v>
      </c>
      <c r="CG283" s="3">
        <v>0</v>
      </c>
      <c r="CM283" s="3">
        <v>0</v>
      </c>
      <c r="CN283" s="3" t="s">
        <v>820</v>
      </c>
      <c r="CO283" s="3">
        <v>0</v>
      </c>
      <c r="CP283" s="3">
        <f t="shared" si="333"/>
        <v>22.16</v>
      </c>
      <c r="CQ283" s="3">
        <f t="shared" si="334"/>
        <v>10.37</v>
      </c>
      <c r="CR283" s="3">
        <f>(ROUND((ROUND((((ET283*1.2))*AV283*1),2)*BB283),2)+ROUND((ROUND(((AE283-((EU283*1.2)))*AV283*1),2)*BS283),2))</f>
        <v>0</v>
      </c>
      <c r="CS283" s="3">
        <f>(ROUND((ROUND((((EU283*1.2))*AV283*1),2)*BS283),2)+ROUND((ROUND(((AE283-((EU283*1.2)))*AV283*1),2)*BS283),2))</f>
        <v>0</v>
      </c>
      <c r="CT283" s="3">
        <f t="shared" si="335"/>
        <v>1098.83</v>
      </c>
      <c r="CU283" s="3">
        <f t="shared" si="336"/>
        <v>0</v>
      </c>
      <c r="CV283" s="3">
        <f t="shared" si="337"/>
        <v>1.5830639999999998</v>
      </c>
      <c r="CW283" s="3">
        <f t="shared" si="338"/>
        <v>0</v>
      </c>
      <c r="CX283" s="3">
        <f t="shared" si="339"/>
        <v>0</v>
      </c>
      <c r="CY283" s="3">
        <f>(ROUND((((S283+ROUND((ROUND((((EU283*1.2))*AV283*1),2)*BS283),2))*AT283)/100),2)+ROUND(((ROUND((ROUND(((AE283-((EU283*1.2)))*AV283*1),2)*BS283),2)*AT283)/100),2))</f>
        <v>21.32</v>
      </c>
      <c r="CZ283" s="3">
        <f>(ROUND((((S283+ROUND((ROUND((((EU283*1.2))*AV283*1),2)*BS283),2))*AU283)/100),2)+ROUND(((ROUND((ROUND(((AE283-((EU283*1.2)))*AV283*1),2)*BS283),2)*AU283)/100),2))</f>
        <v>11.21</v>
      </c>
      <c r="DB283" s="3">
        <v>126</v>
      </c>
      <c r="DC283" s="3" t="s">
        <v>3</v>
      </c>
      <c r="DD283" s="3" t="s">
        <v>119</v>
      </c>
      <c r="DE283" s="3" t="s">
        <v>120</v>
      </c>
      <c r="DF283" s="3" t="s">
        <v>120</v>
      </c>
      <c r="DG283" s="3" t="s">
        <v>120</v>
      </c>
      <c r="DH283" s="3" t="s">
        <v>3</v>
      </c>
      <c r="DI283" s="3" t="s">
        <v>120</v>
      </c>
      <c r="DJ283" s="3" t="s">
        <v>120</v>
      </c>
      <c r="DK283" s="3" t="s">
        <v>3</v>
      </c>
      <c r="DL283" s="3" t="s">
        <v>3</v>
      </c>
      <c r="DM283" s="3" t="s">
        <v>3</v>
      </c>
      <c r="DN283" s="3">
        <v>0</v>
      </c>
      <c r="DO283" s="3">
        <v>0</v>
      </c>
      <c r="DP283" s="3">
        <v>1</v>
      </c>
      <c r="DQ283" s="3">
        <v>1</v>
      </c>
      <c r="DU283" s="3">
        <v>1013</v>
      </c>
      <c r="DV283" s="3" t="s">
        <v>427</v>
      </c>
      <c r="DW283" s="3" t="s">
        <v>427</v>
      </c>
      <c r="DX283" s="3">
        <v>1</v>
      </c>
      <c r="DZ283" s="3" t="s">
        <v>3</v>
      </c>
      <c r="EA283" s="3" t="s">
        <v>3</v>
      </c>
      <c r="EB283" s="3" t="s">
        <v>3</v>
      </c>
      <c r="EC283" s="3" t="s">
        <v>3</v>
      </c>
      <c r="EE283" s="3">
        <v>57248651</v>
      </c>
      <c r="EF283" s="3">
        <v>40</v>
      </c>
      <c r="EG283" s="3" t="s">
        <v>33</v>
      </c>
      <c r="EH283" s="3">
        <v>0</v>
      </c>
      <c r="EI283" s="3" t="s">
        <v>3</v>
      </c>
      <c r="EJ283" s="3">
        <v>2</v>
      </c>
      <c r="EK283" s="3">
        <v>67</v>
      </c>
      <c r="EL283" s="3" t="s">
        <v>69</v>
      </c>
      <c r="EM283" s="3" t="s">
        <v>70</v>
      </c>
      <c r="EO283" s="3" t="s">
        <v>124</v>
      </c>
      <c r="EQ283" s="3">
        <v>131072</v>
      </c>
      <c r="ER283" s="3">
        <v>16.09</v>
      </c>
      <c r="ES283" s="3">
        <v>0.56999999999999995</v>
      </c>
      <c r="ET283" s="3">
        <v>0</v>
      </c>
      <c r="EU283" s="3">
        <v>0</v>
      </c>
      <c r="EV283" s="3">
        <v>15.52</v>
      </c>
      <c r="EW283" s="3">
        <v>1.26</v>
      </c>
      <c r="EX283" s="3">
        <v>0</v>
      </c>
      <c r="EY283" s="3">
        <v>0</v>
      </c>
      <c r="FQ283" s="3">
        <v>0</v>
      </c>
      <c r="FR283" s="3">
        <v>0</v>
      </c>
      <c r="FS283" s="3">
        <v>0</v>
      </c>
      <c r="FX283" s="3">
        <v>97</v>
      </c>
      <c r="FY283" s="3">
        <v>51</v>
      </c>
      <c r="GA283" s="3" t="s">
        <v>3</v>
      </c>
      <c r="GD283" s="3">
        <v>1</v>
      </c>
      <c r="GF283" s="3">
        <v>2037938139</v>
      </c>
      <c r="GG283" s="3">
        <v>2</v>
      </c>
      <c r="GH283" s="3">
        <v>1</v>
      </c>
      <c r="GI283" s="3">
        <v>2</v>
      </c>
      <c r="GJ283" s="3">
        <v>0</v>
      </c>
      <c r="GK283" s="3">
        <v>0</v>
      </c>
      <c r="GL283" s="3">
        <f t="shared" si="340"/>
        <v>0</v>
      </c>
      <c r="GM283" s="3">
        <f t="shared" si="341"/>
        <v>54.69</v>
      </c>
      <c r="GN283" s="3">
        <f t="shared" si="342"/>
        <v>0</v>
      </c>
      <c r="GO283" s="3">
        <f t="shared" si="343"/>
        <v>54.69</v>
      </c>
      <c r="GP283" s="3">
        <f t="shared" si="344"/>
        <v>0</v>
      </c>
      <c r="GR283" s="3">
        <v>0</v>
      </c>
      <c r="GS283" s="3">
        <v>3</v>
      </c>
      <c r="GT283" s="3">
        <v>0</v>
      </c>
      <c r="GU283" s="3" t="s">
        <v>3</v>
      </c>
      <c r="GV283" s="3">
        <f t="shared" si="345"/>
        <v>0</v>
      </c>
      <c r="GW283" s="3">
        <v>1</v>
      </c>
      <c r="GX283" s="3">
        <f t="shared" si="346"/>
        <v>0</v>
      </c>
      <c r="HA283" s="3">
        <v>0</v>
      </c>
      <c r="HB283" s="3">
        <v>0</v>
      </c>
      <c r="HC283" s="3">
        <f t="shared" si="347"/>
        <v>0</v>
      </c>
      <c r="HE283" s="3" t="s">
        <v>3</v>
      </c>
      <c r="HF283" s="3" t="s">
        <v>3</v>
      </c>
      <c r="HM283" s="3" t="s">
        <v>3</v>
      </c>
      <c r="HN283" s="3" t="s">
        <v>3</v>
      </c>
      <c r="HO283" s="3" t="s">
        <v>3</v>
      </c>
      <c r="HP283" s="3" t="s">
        <v>3</v>
      </c>
      <c r="HQ283" s="3" t="s">
        <v>3</v>
      </c>
      <c r="HS283" s="3">
        <v>0</v>
      </c>
      <c r="IK283" s="3">
        <v>0</v>
      </c>
    </row>
    <row r="284" spans="1:255" x14ac:dyDescent="0.2">
      <c r="A284" s="2">
        <v>17</v>
      </c>
      <c r="B284" s="2">
        <v>1</v>
      </c>
      <c r="C284" s="2"/>
      <c r="D284" s="2"/>
      <c r="E284" s="2" t="s">
        <v>429</v>
      </c>
      <c r="F284" s="2" t="s">
        <v>430</v>
      </c>
      <c r="G284" s="2" t="s">
        <v>431</v>
      </c>
      <c r="H284" s="2" t="s">
        <v>298</v>
      </c>
      <c r="I284" s="2">
        <f>ROUND(I282*-0.00003,9)</f>
        <v>-5.9999999999999997E-7</v>
      </c>
      <c r="J284" s="2">
        <v>0</v>
      </c>
      <c r="K284" s="2">
        <f>ROUND(I282*-0.00003,9)</f>
        <v>-5.9999999999999997E-7</v>
      </c>
      <c r="L284" s="2"/>
      <c r="M284" s="2"/>
      <c r="N284" s="2"/>
      <c r="O284" s="2">
        <f t="shared" si="323"/>
        <v>-0.01</v>
      </c>
      <c r="P284" s="2">
        <f t="shared" si="324"/>
        <v>-0.01</v>
      </c>
      <c r="Q284" s="2">
        <f>(ROUND((ROUND(((ET284)*AV284*I284),2)*BB284),2)+ROUND((ROUND(((AE284-(EU284))*AV284*I284),2)*BS284),2))</f>
        <v>0</v>
      </c>
      <c r="R284" s="2">
        <f>(ROUND((ROUND(((EU284)*AV284*I284),2)*BS284),2)+ROUND((ROUND(((AE284-(EU284))*AV284*I284),2)*BS284),2))</f>
        <v>0</v>
      </c>
      <c r="S284" s="2">
        <f t="shared" si="325"/>
        <v>0</v>
      </c>
      <c r="T284" s="2">
        <f t="shared" si="326"/>
        <v>0</v>
      </c>
      <c r="U284" s="2">
        <f t="shared" si="327"/>
        <v>0</v>
      </c>
      <c r="V284" s="2">
        <f t="shared" si="328"/>
        <v>0</v>
      </c>
      <c r="W284" s="2">
        <f t="shared" si="329"/>
        <v>0</v>
      </c>
      <c r="X284" s="2">
        <f>(ROUND((((S284+ROUND((ROUND(((EU284)*AV284*I284),2)*BS284),2))*AT284)/100),2)+ROUND(((ROUND((ROUND(((AE284-(EU284))*AV284*I284),2)*BS284),2)*AT284)/100),2))</f>
        <v>0</v>
      </c>
      <c r="Y284" s="2">
        <f>(ROUND((((S284+ROUND((ROUND(((EU284)*AV284*I284),2)*BS284),2))*AU284)/100),2)+ROUND(((ROUND((ROUND(((AE284-(EU284))*AV284*I284),2)*BS284),2)*AU284)/100),2))</f>
        <v>0</v>
      </c>
      <c r="Z284" s="2"/>
      <c r="AA284" s="2">
        <v>57248835</v>
      </c>
      <c r="AB284" s="2">
        <f t="shared" si="330"/>
        <v>18995.22</v>
      </c>
      <c r="AC284" s="2">
        <f>ROUND((ES284),6)</f>
        <v>18995.22</v>
      </c>
      <c r="AD284" s="2">
        <f>ROUND((((ET284)-(EU284))+AE284),6)</f>
        <v>0</v>
      </c>
      <c r="AE284" s="2">
        <f t="shared" ref="AE284:AF287" si="348">ROUND((EU284),6)</f>
        <v>0</v>
      </c>
      <c r="AF284" s="2">
        <f t="shared" si="348"/>
        <v>0</v>
      </c>
      <c r="AG284" s="2">
        <f t="shared" si="331"/>
        <v>0</v>
      </c>
      <c r="AH284" s="2">
        <f t="shared" ref="AH284:AI287" si="349">(EW284)</f>
        <v>0</v>
      </c>
      <c r="AI284" s="2">
        <f t="shared" si="349"/>
        <v>0</v>
      </c>
      <c r="AJ284" s="2">
        <f t="shared" si="332"/>
        <v>0</v>
      </c>
      <c r="AK284" s="2">
        <v>18995.22</v>
      </c>
      <c r="AL284" s="2">
        <v>18995.22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1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3</v>
      </c>
      <c r="BI284" s="2">
        <v>2</v>
      </c>
      <c r="BJ284" s="2" t="s">
        <v>432</v>
      </c>
      <c r="BK284" s="2"/>
      <c r="BL284" s="2"/>
      <c r="BM284" s="2">
        <v>1617</v>
      </c>
      <c r="BN284" s="2">
        <v>0</v>
      </c>
      <c r="BO284" s="2" t="s">
        <v>3</v>
      </c>
      <c r="BP284" s="2">
        <v>0</v>
      </c>
      <c r="BQ284" s="2">
        <v>200</v>
      </c>
      <c r="BR284" s="2">
        <v>1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0</v>
      </c>
      <c r="CA284" s="2">
        <v>0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820</v>
      </c>
      <c r="CO284" s="2">
        <v>0</v>
      </c>
      <c r="CP284" s="2">
        <f t="shared" si="333"/>
        <v>-0.01</v>
      </c>
      <c r="CQ284" s="2">
        <f t="shared" si="334"/>
        <v>18995.22</v>
      </c>
      <c r="CR284" s="2">
        <f>(ROUND((ROUND(((ET284)*AV284*1),2)*BB284),2)+ROUND((ROUND(((AE284-(EU284))*AV284*1),2)*BS284),2))</f>
        <v>0</v>
      </c>
      <c r="CS284" s="2">
        <f>(ROUND((ROUND(((EU284)*AV284*1),2)*BS284),2)+ROUND((ROUND(((AE284-(EU284))*AV284*1),2)*BS284),2))</f>
        <v>0</v>
      </c>
      <c r="CT284" s="2">
        <f t="shared" si="335"/>
        <v>0</v>
      </c>
      <c r="CU284" s="2">
        <f t="shared" si="336"/>
        <v>0</v>
      </c>
      <c r="CV284" s="2">
        <f t="shared" si="337"/>
        <v>0</v>
      </c>
      <c r="CW284" s="2">
        <f t="shared" si="338"/>
        <v>0</v>
      </c>
      <c r="CX284" s="2">
        <f t="shared" si="339"/>
        <v>0</v>
      </c>
      <c r="CY284" s="2">
        <f>(ROUND((((S284+ROUND((ROUND(((EU284)*AV284*1),2)*BS284),2))*AT284)/100),2)+ROUND(((ROUND((ROUND(((AE284-(EU284))*AV284*1),2)*BS284),2)*AT284)/100),2))</f>
        <v>0</v>
      </c>
      <c r="CZ284" s="2">
        <f>(ROUND((((S284+ROUND((ROUND(((EU284)*AV284*1),2)*BS284),2))*AU284)/100),2)+ROUND(((ROUND((ROUND(((AE284-(EU284))*AV284*1),2)*BS284),2)*AU284)/100),2))</f>
        <v>0</v>
      </c>
      <c r="DA284" s="2"/>
      <c r="DB284" s="2"/>
      <c r="DC284" s="2" t="s">
        <v>3</v>
      </c>
      <c r="DD284" s="2" t="s">
        <v>3</v>
      </c>
      <c r="DE284" s="2" t="s">
        <v>3</v>
      </c>
      <c r="DF284" s="2" t="s">
        <v>3</v>
      </c>
      <c r="DG284" s="2" t="s">
        <v>3</v>
      </c>
      <c r="DH284" s="2" t="s">
        <v>3</v>
      </c>
      <c r="DI284" s="2" t="s">
        <v>3</v>
      </c>
      <c r="DJ284" s="2" t="s">
        <v>3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1009</v>
      </c>
      <c r="DV284" s="2" t="s">
        <v>298</v>
      </c>
      <c r="DW284" s="2" t="s">
        <v>298</v>
      </c>
      <c r="DX284" s="2">
        <v>1000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57248778</v>
      </c>
      <c r="EF284" s="2">
        <v>200</v>
      </c>
      <c r="EG284" s="2" t="s">
        <v>353</v>
      </c>
      <c r="EH284" s="2">
        <v>0</v>
      </c>
      <c r="EI284" s="2" t="s">
        <v>3</v>
      </c>
      <c r="EJ284" s="2">
        <v>1</v>
      </c>
      <c r="EK284" s="2">
        <v>1617</v>
      </c>
      <c r="EL284" s="2" t="s">
        <v>354</v>
      </c>
      <c r="EM284" s="2" t="s">
        <v>355</v>
      </c>
      <c r="EN284" s="2"/>
      <c r="EO284" s="2" t="s">
        <v>124</v>
      </c>
      <c r="EP284" s="2"/>
      <c r="EQ284" s="2">
        <v>163840</v>
      </c>
      <c r="ER284" s="2">
        <v>18995.22</v>
      </c>
      <c r="ES284" s="2">
        <v>18995.22</v>
      </c>
      <c r="ET284" s="2">
        <v>0</v>
      </c>
      <c r="EU284" s="2">
        <v>0</v>
      </c>
      <c r="EV284" s="2">
        <v>0</v>
      </c>
      <c r="EW284" s="2">
        <v>0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0</v>
      </c>
      <c r="FY284" s="2">
        <v>0</v>
      </c>
      <c r="FZ284" s="2"/>
      <c r="GA284" s="2" t="s">
        <v>3</v>
      </c>
      <c r="GB284" s="2"/>
      <c r="GC284" s="2"/>
      <c r="GD284" s="2">
        <v>1</v>
      </c>
      <c r="GE284" s="2"/>
      <c r="GF284" s="2">
        <v>1438006865</v>
      </c>
      <c r="GG284" s="2">
        <v>2</v>
      </c>
      <c r="GH284" s="2">
        <v>1</v>
      </c>
      <c r="GI284" s="2">
        <v>-2</v>
      </c>
      <c r="GJ284" s="2">
        <v>0</v>
      </c>
      <c r="GK284" s="2">
        <v>0</v>
      </c>
      <c r="GL284" s="2">
        <f t="shared" si="340"/>
        <v>0</v>
      </c>
      <c r="GM284" s="2">
        <f t="shared" si="341"/>
        <v>-0.01</v>
      </c>
      <c r="GN284" s="2">
        <f t="shared" si="342"/>
        <v>0</v>
      </c>
      <c r="GO284" s="2">
        <f t="shared" si="343"/>
        <v>-0.01</v>
      </c>
      <c r="GP284" s="2">
        <f t="shared" si="344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45"/>
        <v>0</v>
      </c>
      <c r="GW284" s="2">
        <v>1</v>
      </c>
      <c r="GX284" s="2">
        <f t="shared" si="346"/>
        <v>0</v>
      </c>
      <c r="GY284" s="2"/>
      <c r="GZ284" s="2"/>
      <c r="HA284" s="2">
        <v>0</v>
      </c>
      <c r="HB284" s="2">
        <v>0</v>
      </c>
      <c r="HC284" s="2">
        <f t="shared" si="347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 s="3">
        <v>17</v>
      </c>
      <c r="B285" s="3">
        <v>1</v>
      </c>
      <c r="E285" s="3" t="s">
        <v>429</v>
      </c>
      <c r="F285" s="3" t="s">
        <v>430</v>
      </c>
      <c r="G285" s="3" t="s">
        <v>431</v>
      </c>
      <c r="H285" s="3" t="s">
        <v>298</v>
      </c>
      <c r="I285" s="3">
        <f>ROUND(I283*-0.00003,9)</f>
        <v>-5.9999999999999997E-7</v>
      </c>
      <c r="J285" s="3">
        <v>0</v>
      </c>
      <c r="K285" s="3">
        <f>ROUND(I283*-0.00003,9)</f>
        <v>-5.9999999999999997E-7</v>
      </c>
      <c r="O285" s="3">
        <f t="shared" si="323"/>
        <v>-0.18</v>
      </c>
      <c r="P285" s="3">
        <f t="shared" si="324"/>
        <v>-0.18</v>
      </c>
      <c r="Q285" s="3">
        <f>(ROUND((ROUND(((ET285)*AV285*I285),2)*BB285),2)+ROUND((ROUND(((AE285-(EU285))*AV285*I285),2)*BS285),2))</f>
        <v>0</v>
      </c>
      <c r="R285" s="3">
        <f>(ROUND((ROUND(((EU285)*AV285*I285),2)*BS285),2)+ROUND((ROUND(((AE285-(EU285))*AV285*I285),2)*BS285),2))</f>
        <v>0</v>
      </c>
      <c r="S285" s="3">
        <f t="shared" si="325"/>
        <v>0</v>
      </c>
      <c r="T285" s="3">
        <f t="shared" si="326"/>
        <v>0</v>
      </c>
      <c r="U285" s="3">
        <f t="shared" si="327"/>
        <v>0</v>
      </c>
      <c r="V285" s="3">
        <f t="shared" si="328"/>
        <v>0</v>
      </c>
      <c r="W285" s="3">
        <f t="shared" si="329"/>
        <v>0</v>
      </c>
      <c r="X285" s="3">
        <f>(ROUND((((S285+ROUND((ROUND(((EU285)*AV285*I285),2)*BS285),2))*AT285)/100),2)+ROUND(((ROUND((ROUND(((AE285-(EU285))*AV285*I285),2)*BS285),2)*AT285)/100),2))</f>
        <v>0</v>
      </c>
      <c r="Y285" s="3">
        <f>(ROUND((((S285+ROUND((ROUND(((EU285)*AV285*I285),2)*BS285),2))*AU285)/100),2)+ROUND(((ROUND((ROUND(((AE285-(EU285))*AV285*I285),2)*BS285),2)*AU285)/100),2))</f>
        <v>0</v>
      </c>
      <c r="AA285" s="3">
        <v>57248837</v>
      </c>
      <c r="AB285" s="3">
        <f t="shared" si="330"/>
        <v>18995.22</v>
      </c>
      <c r="AC285" s="3">
        <f>ROUND((ES285),6)</f>
        <v>18995.22</v>
      </c>
      <c r="AD285" s="3">
        <f>ROUND((((ET285)-(EU285))+AE285),6)</f>
        <v>0</v>
      </c>
      <c r="AE285" s="3">
        <f t="shared" si="348"/>
        <v>0</v>
      </c>
      <c r="AF285" s="3">
        <f t="shared" si="348"/>
        <v>0</v>
      </c>
      <c r="AG285" s="3">
        <f t="shared" si="331"/>
        <v>0</v>
      </c>
      <c r="AH285" s="3">
        <f t="shared" si="349"/>
        <v>0</v>
      </c>
      <c r="AI285" s="3">
        <f t="shared" si="349"/>
        <v>0</v>
      </c>
      <c r="AJ285" s="3">
        <f t="shared" si="332"/>
        <v>0</v>
      </c>
      <c r="AK285" s="3">
        <v>18995.22</v>
      </c>
      <c r="AL285" s="3">
        <v>18995.22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1</v>
      </c>
      <c r="AW285" s="3">
        <v>1</v>
      </c>
      <c r="AZ285" s="3">
        <v>1</v>
      </c>
      <c r="BA285" s="3">
        <v>1</v>
      </c>
      <c r="BB285" s="3">
        <v>1</v>
      </c>
      <c r="BC285" s="3">
        <v>18.190000000000001</v>
      </c>
      <c r="BD285" s="3" t="s">
        <v>3</v>
      </c>
      <c r="BE285" s="3" t="s">
        <v>3</v>
      </c>
      <c r="BF285" s="3" t="s">
        <v>3</v>
      </c>
      <c r="BG285" s="3" t="s">
        <v>3</v>
      </c>
      <c r="BH285" s="3">
        <v>3</v>
      </c>
      <c r="BI285" s="3">
        <v>2</v>
      </c>
      <c r="BJ285" s="3" t="s">
        <v>432</v>
      </c>
      <c r="BM285" s="3">
        <v>1617</v>
      </c>
      <c r="BN285" s="3">
        <v>0</v>
      </c>
      <c r="BO285" s="3" t="s">
        <v>430</v>
      </c>
      <c r="BP285" s="3">
        <v>1</v>
      </c>
      <c r="BQ285" s="3">
        <v>200</v>
      </c>
      <c r="BR285" s="3">
        <v>1</v>
      </c>
      <c r="BS285" s="3">
        <v>1</v>
      </c>
      <c r="BT285" s="3">
        <v>1</v>
      </c>
      <c r="BU285" s="3">
        <v>1</v>
      </c>
      <c r="BV285" s="3">
        <v>1</v>
      </c>
      <c r="BW285" s="3">
        <v>1</v>
      </c>
      <c r="BX285" s="3">
        <v>1</v>
      </c>
      <c r="BY285" s="3" t="s">
        <v>3</v>
      </c>
      <c r="BZ285" s="3">
        <v>0</v>
      </c>
      <c r="CA285" s="3">
        <v>0</v>
      </c>
      <c r="CB285" s="3" t="s">
        <v>3</v>
      </c>
      <c r="CE285" s="3">
        <v>1566</v>
      </c>
      <c r="CF285" s="3">
        <v>0</v>
      </c>
      <c r="CG285" s="3">
        <v>0</v>
      </c>
      <c r="CM285" s="3">
        <v>0</v>
      </c>
      <c r="CN285" s="3" t="s">
        <v>820</v>
      </c>
      <c r="CO285" s="3">
        <v>0</v>
      </c>
      <c r="CP285" s="3">
        <f t="shared" si="333"/>
        <v>-0.18</v>
      </c>
      <c r="CQ285" s="3">
        <f t="shared" si="334"/>
        <v>345523.05</v>
      </c>
      <c r="CR285" s="3">
        <f>(ROUND((ROUND(((ET285)*AV285*1),2)*BB285),2)+ROUND((ROUND(((AE285-(EU285))*AV285*1),2)*BS285),2))</f>
        <v>0</v>
      </c>
      <c r="CS285" s="3">
        <f>(ROUND((ROUND(((EU285)*AV285*1),2)*BS285),2)+ROUND((ROUND(((AE285-(EU285))*AV285*1),2)*BS285),2))</f>
        <v>0</v>
      </c>
      <c r="CT285" s="3">
        <f t="shared" si="335"/>
        <v>0</v>
      </c>
      <c r="CU285" s="3">
        <f t="shared" si="336"/>
        <v>0</v>
      </c>
      <c r="CV285" s="3">
        <f t="shared" si="337"/>
        <v>0</v>
      </c>
      <c r="CW285" s="3">
        <f t="shared" si="338"/>
        <v>0</v>
      </c>
      <c r="CX285" s="3">
        <f t="shared" si="339"/>
        <v>0</v>
      </c>
      <c r="CY285" s="3">
        <f>(ROUND((((S285+ROUND((ROUND(((EU285)*AV285*1),2)*BS285),2))*AT285)/100),2)+ROUND(((ROUND((ROUND(((AE285-(EU285))*AV285*1),2)*BS285),2)*AT285)/100),2))</f>
        <v>0</v>
      </c>
      <c r="CZ285" s="3">
        <f>(ROUND((((S285+ROUND((ROUND(((EU285)*AV285*1),2)*BS285),2))*AU285)/100),2)+ROUND(((ROUND((ROUND(((AE285-(EU285))*AV285*1),2)*BS285),2)*AU285)/100),2))</f>
        <v>0</v>
      </c>
      <c r="DC285" s="3" t="s">
        <v>3</v>
      </c>
      <c r="DD285" s="3" t="s">
        <v>3</v>
      </c>
      <c r="DE285" s="3" t="s">
        <v>3</v>
      </c>
      <c r="DF285" s="3" t="s">
        <v>3</v>
      </c>
      <c r="DG285" s="3" t="s">
        <v>3</v>
      </c>
      <c r="DH285" s="3" t="s">
        <v>3</v>
      </c>
      <c r="DI285" s="3" t="s">
        <v>3</v>
      </c>
      <c r="DJ285" s="3" t="s">
        <v>3</v>
      </c>
      <c r="DK285" s="3" t="s">
        <v>3</v>
      </c>
      <c r="DL285" s="3" t="s">
        <v>3</v>
      </c>
      <c r="DM285" s="3" t="s">
        <v>3</v>
      </c>
      <c r="DN285" s="3">
        <v>0</v>
      </c>
      <c r="DO285" s="3">
        <v>0</v>
      </c>
      <c r="DP285" s="3">
        <v>1</v>
      </c>
      <c r="DQ285" s="3">
        <v>1</v>
      </c>
      <c r="DU285" s="3">
        <v>1009</v>
      </c>
      <c r="DV285" s="3" t="s">
        <v>298</v>
      </c>
      <c r="DW285" s="3" t="s">
        <v>298</v>
      </c>
      <c r="DX285" s="3">
        <v>1000</v>
      </c>
      <c r="DZ285" s="3" t="s">
        <v>3</v>
      </c>
      <c r="EA285" s="3" t="s">
        <v>3</v>
      </c>
      <c r="EB285" s="3" t="s">
        <v>3</v>
      </c>
      <c r="EC285" s="3" t="s">
        <v>3</v>
      </c>
      <c r="EE285" s="3">
        <v>57248778</v>
      </c>
      <c r="EF285" s="3">
        <v>200</v>
      </c>
      <c r="EG285" s="3" t="s">
        <v>353</v>
      </c>
      <c r="EH285" s="3">
        <v>0</v>
      </c>
      <c r="EI285" s="3" t="s">
        <v>3</v>
      </c>
      <c r="EJ285" s="3">
        <v>1</v>
      </c>
      <c r="EK285" s="3">
        <v>1617</v>
      </c>
      <c r="EL285" s="3" t="s">
        <v>354</v>
      </c>
      <c r="EM285" s="3" t="s">
        <v>355</v>
      </c>
      <c r="EO285" s="3" t="s">
        <v>124</v>
      </c>
      <c r="EQ285" s="3">
        <v>163840</v>
      </c>
      <c r="ER285" s="3">
        <v>18995.22</v>
      </c>
      <c r="ES285" s="3">
        <v>18995.22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FQ285" s="3">
        <v>0</v>
      </c>
      <c r="FR285" s="3">
        <v>0</v>
      </c>
      <c r="FS285" s="3">
        <v>0</v>
      </c>
      <c r="FX285" s="3">
        <v>0</v>
      </c>
      <c r="FY285" s="3">
        <v>0</v>
      </c>
      <c r="GA285" s="3" t="s">
        <v>3</v>
      </c>
      <c r="GD285" s="3">
        <v>1</v>
      </c>
      <c r="GF285" s="3">
        <v>1438006865</v>
      </c>
      <c r="GG285" s="3">
        <v>2</v>
      </c>
      <c r="GH285" s="3">
        <v>1</v>
      </c>
      <c r="GI285" s="3">
        <v>2</v>
      </c>
      <c r="GJ285" s="3">
        <v>0</v>
      </c>
      <c r="GK285" s="3">
        <v>0</v>
      </c>
      <c r="GL285" s="3">
        <f t="shared" si="340"/>
        <v>0</v>
      </c>
      <c r="GM285" s="3">
        <f t="shared" si="341"/>
        <v>-0.18</v>
      </c>
      <c r="GN285" s="3">
        <f t="shared" si="342"/>
        <v>0</v>
      </c>
      <c r="GO285" s="3">
        <f t="shared" si="343"/>
        <v>-0.18</v>
      </c>
      <c r="GP285" s="3">
        <f t="shared" si="344"/>
        <v>0</v>
      </c>
      <c r="GR285" s="3">
        <v>0</v>
      </c>
      <c r="GS285" s="3">
        <v>3</v>
      </c>
      <c r="GT285" s="3">
        <v>0</v>
      </c>
      <c r="GU285" s="3" t="s">
        <v>3</v>
      </c>
      <c r="GV285" s="3">
        <f t="shared" si="345"/>
        <v>0</v>
      </c>
      <c r="GW285" s="3">
        <v>1</v>
      </c>
      <c r="GX285" s="3">
        <f t="shared" si="346"/>
        <v>0</v>
      </c>
      <c r="HA285" s="3">
        <v>0</v>
      </c>
      <c r="HB285" s="3">
        <v>0</v>
      </c>
      <c r="HC285" s="3">
        <f t="shared" si="347"/>
        <v>0</v>
      </c>
      <c r="HE285" s="3" t="s">
        <v>3</v>
      </c>
      <c r="HF285" s="3" t="s">
        <v>3</v>
      </c>
      <c r="HM285" s="3" t="s">
        <v>3</v>
      </c>
      <c r="HN285" s="3" t="s">
        <v>3</v>
      </c>
      <c r="HO285" s="3" t="s">
        <v>3</v>
      </c>
      <c r="HP285" s="3" t="s">
        <v>3</v>
      </c>
      <c r="HQ285" s="3" t="s">
        <v>3</v>
      </c>
      <c r="HS285" s="3">
        <v>0</v>
      </c>
      <c r="IK285" s="3">
        <v>0</v>
      </c>
    </row>
    <row r="286" spans="1:255" x14ac:dyDescent="0.2">
      <c r="A286" s="2">
        <v>17</v>
      </c>
      <c r="B286" s="2">
        <v>1</v>
      </c>
      <c r="C286" s="2"/>
      <c r="D286" s="2"/>
      <c r="E286" s="2" t="s">
        <v>433</v>
      </c>
      <c r="F286" s="2" t="s">
        <v>434</v>
      </c>
      <c r="G286" s="2" t="s">
        <v>435</v>
      </c>
      <c r="H286" s="2" t="s">
        <v>192</v>
      </c>
      <c r="I286" s="2">
        <v>1</v>
      </c>
      <c r="J286" s="2">
        <v>0</v>
      </c>
      <c r="K286" s="2">
        <v>1</v>
      </c>
      <c r="L286" s="2"/>
      <c r="M286" s="2"/>
      <c r="N286" s="2"/>
      <c r="O286" s="2">
        <f t="shared" si="323"/>
        <v>105.35</v>
      </c>
      <c r="P286" s="2">
        <f t="shared" si="324"/>
        <v>105.35</v>
      </c>
      <c r="Q286" s="2">
        <f>(ROUND((ROUND(((ET286)*AV286*I286),2)*BB286),2)+ROUND((ROUND(((AE286-(EU286))*AV286*I286),2)*BS286),2))</f>
        <v>0</v>
      </c>
      <c r="R286" s="2">
        <f>(ROUND((ROUND(((EU286)*AV286*I286),2)*BS286),2)+ROUND((ROUND(((AE286-(EU286))*AV286*I286),2)*BS286),2))</f>
        <v>0</v>
      </c>
      <c r="S286" s="2">
        <f t="shared" si="325"/>
        <v>0</v>
      </c>
      <c r="T286" s="2">
        <f t="shared" si="326"/>
        <v>0</v>
      </c>
      <c r="U286" s="2">
        <f t="shared" si="327"/>
        <v>0</v>
      </c>
      <c r="V286" s="2">
        <f t="shared" si="328"/>
        <v>0</v>
      </c>
      <c r="W286" s="2">
        <f t="shared" si="329"/>
        <v>0</v>
      </c>
      <c r="X286" s="2">
        <f>(ROUND((((S286+ROUND((ROUND(((EU286)*AV286*I286),2)*BS286),2))*AT286)/100),2)+ROUND(((ROUND((ROUND(((AE286-(EU286))*AV286*I286),2)*BS286),2)*AT286)/100),2))</f>
        <v>0</v>
      </c>
      <c r="Y286" s="2">
        <f>(ROUND((((S286+ROUND((ROUND(((EU286)*AV286*I286),2)*BS286),2))*AU286)/100),2)+ROUND(((ROUND((ROUND(((AE286-(EU286))*AV286*I286),2)*BS286),2)*AU286)/100),2))</f>
        <v>0</v>
      </c>
      <c r="Z286" s="2"/>
      <c r="AA286" s="2">
        <v>57248835</v>
      </c>
      <c r="AB286" s="2">
        <f t="shared" si="330"/>
        <v>105.35</v>
      </c>
      <c r="AC286" s="2">
        <f>ROUND((ES286),6)</f>
        <v>105.35</v>
      </c>
      <c r="AD286" s="2">
        <f>ROUND((((ET286)-(EU286))+AE286),6)</f>
        <v>0</v>
      </c>
      <c r="AE286" s="2">
        <f t="shared" si="348"/>
        <v>0</v>
      </c>
      <c r="AF286" s="2">
        <f t="shared" si="348"/>
        <v>0</v>
      </c>
      <c r="AG286" s="2">
        <f t="shared" si="331"/>
        <v>0</v>
      </c>
      <c r="AH286" s="2">
        <f t="shared" si="349"/>
        <v>0</v>
      </c>
      <c r="AI286" s="2">
        <f t="shared" si="349"/>
        <v>0</v>
      </c>
      <c r="AJ286" s="2">
        <f t="shared" si="332"/>
        <v>0</v>
      </c>
      <c r="AK286" s="2">
        <v>105.35</v>
      </c>
      <c r="AL286" s="2">
        <v>105.35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2</v>
      </c>
      <c r="BJ286" s="2" t="s">
        <v>434</v>
      </c>
      <c r="BK286" s="2"/>
      <c r="BL286" s="2"/>
      <c r="BM286" s="2">
        <v>400005</v>
      </c>
      <c r="BN286" s="2">
        <v>0</v>
      </c>
      <c r="BO286" s="2" t="s">
        <v>3</v>
      </c>
      <c r="BP286" s="2">
        <v>0</v>
      </c>
      <c r="BQ286" s="2">
        <v>213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0</v>
      </c>
      <c r="CA286" s="2">
        <v>0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3</v>
      </c>
      <c r="CO286" s="2">
        <v>0</v>
      </c>
      <c r="CP286" s="2">
        <f t="shared" si="333"/>
        <v>105.35</v>
      </c>
      <c r="CQ286" s="2">
        <f t="shared" si="334"/>
        <v>105.35</v>
      </c>
      <c r="CR286" s="2">
        <f>(ROUND((ROUND(((ET286)*AV286*1),2)*BB286),2)+ROUND((ROUND(((AE286-(EU286))*AV286*1),2)*BS286),2))</f>
        <v>0</v>
      </c>
      <c r="CS286" s="2">
        <f>(ROUND((ROUND(((EU286)*AV286*1),2)*BS286),2)+ROUND((ROUND(((AE286-(EU286))*AV286*1),2)*BS286),2))</f>
        <v>0</v>
      </c>
      <c r="CT286" s="2">
        <f t="shared" si="335"/>
        <v>0</v>
      </c>
      <c r="CU286" s="2">
        <f t="shared" si="336"/>
        <v>0</v>
      </c>
      <c r="CV286" s="2">
        <f t="shared" si="337"/>
        <v>0</v>
      </c>
      <c r="CW286" s="2">
        <f t="shared" si="338"/>
        <v>0</v>
      </c>
      <c r="CX286" s="2">
        <f t="shared" si="339"/>
        <v>0</v>
      </c>
      <c r="CY286" s="2">
        <f>(ROUND((((S286+ROUND((ROUND(((EU286)*AV286*1),2)*BS286),2))*AT286)/100),2)+ROUND(((ROUND((ROUND(((AE286-(EU286))*AV286*1),2)*BS286),2)*AT286)/100),2))</f>
        <v>0</v>
      </c>
      <c r="CZ286" s="2">
        <f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1013</v>
      </c>
      <c r="DV286" s="2" t="s">
        <v>192</v>
      </c>
      <c r="DW286" s="2" t="s">
        <v>192</v>
      </c>
      <c r="DX286" s="2">
        <v>1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57248790</v>
      </c>
      <c r="EF286" s="2">
        <v>213</v>
      </c>
      <c r="EG286" s="2" t="s">
        <v>331</v>
      </c>
      <c r="EH286" s="2">
        <v>0</v>
      </c>
      <c r="EI286" s="2" t="s">
        <v>3</v>
      </c>
      <c r="EJ286" s="2">
        <v>1</v>
      </c>
      <c r="EK286" s="2">
        <v>400005</v>
      </c>
      <c r="EL286" s="2" t="s">
        <v>331</v>
      </c>
      <c r="EM286" s="2" t="s">
        <v>332</v>
      </c>
      <c r="EN286" s="2"/>
      <c r="EO286" s="2" t="s">
        <v>3</v>
      </c>
      <c r="EP286" s="2"/>
      <c r="EQ286" s="2">
        <v>131088</v>
      </c>
      <c r="ER286" s="2">
        <v>0</v>
      </c>
      <c r="ES286" s="2">
        <v>105.35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>
        <v>0</v>
      </c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0</v>
      </c>
      <c r="FY286" s="2">
        <v>0</v>
      </c>
      <c r="FZ286" s="2"/>
      <c r="GA286" s="2" t="s">
        <v>436</v>
      </c>
      <c r="GB286" s="2"/>
      <c r="GC286" s="2"/>
      <c r="GD286" s="2">
        <v>1</v>
      </c>
      <c r="GE286" s="2"/>
      <c r="GF286" s="2">
        <v>1431786813</v>
      </c>
      <c r="GG286" s="2">
        <v>2</v>
      </c>
      <c r="GH286" s="2">
        <v>4</v>
      </c>
      <c r="GI286" s="2">
        <v>-2</v>
      </c>
      <c r="GJ286" s="2">
        <v>0</v>
      </c>
      <c r="GK286" s="2">
        <v>0</v>
      </c>
      <c r="GL286" s="2">
        <f t="shared" si="340"/>
        <v>0</v>
      </c>
      <c r="GM286" s="2">
        <f t="shared" si="341"/>
        <v>105.35</v>
      </c>
      <c r="GN286" s="2">
        <f t="shared" si="342"/>
        <v>0</v>
      </c>
      <c r="GO286" s="2">
        <f t="shared" si="343"/>
        <v>105.35</v>
      </c>
      <c r="GP286" s="2">
        <f t="shared" si="344"/>
        <v>0</v>
      </c>
      <c r="GQ286" s="2"/>
      <c r="GR286" s="2">
        <v>1</v>
      </c>
      <c r="GS286" s="2">
        <v>2</v>
      </c>
      <c r="GT286" s="2">
        <v>0</v>
      </c>
      <c r="GU286" s="2" t="s">
        <v>3</v>
      </c>
      <c r="GV286" s="2">
        <f t="shared" si="345"/>
        <v>0</v>
      </c>
      <c r="GW286" s="2">
        <v>1</v>
      </c>
      <c r="GX286" s="2">
        <f t="shared" si="346"/>
        <v>0</v>
      </c>
      <c r="GY286" s="2"/>
      <c r="GZ286" s="2"/>
      <c r="HA286" s="2">
        <v>0</v>
      </c>
      <c r="HB286" s="2">
        <v>0</v>
      </c>
      <c r="HC286" s="2">
        <f t="shared" si="347"/>
        <v>0</v>
      </c>
      <c r="HD286" s="2"/>
      <c r="HE286" s="2" t="s">
        <v>334</v>
      </c>
      <c r="HF286" s="2" t="s">
        <v>37</v>
      </c>
      <c r="HG286" s="2"/>
      <c r="HH286" s="2"/>
      <c r="HI286" s="2"/>
      <c r="HJ286" s="2"/>
      <c r="HK286" s="2"/>
      <c r="HL286" s="2"/>
      <c r="HM286" s="2" t="s">
        <v>3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 s="3">
        <v>17</v>
      </c>
      <c r="B287" s="3">
        <v>1</v>
      </c>
      <c r="E287" s="3" t="s">
        <v>433</v>
      </c>
      <c r="F287" s="3" t="s">
        <v>434</v>
      </c>
      <c r="G287" s="3" t="s">
        <v>435</v>
      </c>
      <c r="H287" s="3" t="s">
        <v>192</v>
      </c>
      <c r="I287" s="3">
        <v>1</v>
      </c>
      <c r="J287" s="3">
        <v>0</v>
      </c>
      <c r="K287" s="3">
        <v>1</v>
      </c>
      <c r="O287" s="3">
        <f t="shared" si="323"/>
        <v>1036.6400000000001</v>
      </c>
      <c r="P287" s="3">
        <f t="shared" si="324"/>
        <v>1036.6400000000001</v>
      </c>
      <c r="Q287" s="3">
        <f>(ROUND((ROUND(((ET287)*AV287*I287),2)*BB287),2)+ROUND((ROUND(((AE287-(EU287))*AV287*I287),2)*BS287),2))</f>
        <v>0</v>
      </c>
      <c r="R287" s="3">
        <f>(ROUND((ROUND(((EU287)*AV287*I287),2)*BS287),2)+ROUND((ROUND(((AE287-(EU287))*AV287*I287),2)*BS287),2))</f>
        <v>0</v>
      </c>
      <c r="S287" s="3">
        <f t="shared" si="325"/>
        <v>0</v>
      </c>
      <c r="T287" s="3">
        <f t="shared" si="326"/>
        <v>0</v>
      </c>
      <c r="U287" s="3">
        <f t="shared" si="327"/>
        <v>0</v>
      </c>
      <c r="V287" s="3">
        <f t="shared" si="328"/>
        <v>0</v>
      </c>
      <c r="W287" s="3">
        <f t="shared" si="329"/>
        <v>0</v>
      </c>
      <c r="X287" s="3">
        <f>(ROUND((((S287+ROUND((ROUND(((EU287)*AV287*I287),2)*BS287),2))*AT287)/100),2)+ROUND(((ROUND((ROUND(((AE287-(EU287))*AV287*I287),2)*BS287),2)*AT287)/100),2))</f>
        <v>0</v>
      </c>
      <c r="Y287" s="3">
        <f>(ROUND((((S287+ROUND((ROUND(((EU287)*AV287*I287),2)*BS287),2))*AU287)/100),2)+ROUND(((ROUND((ROUND(((AE287-(EU287))*AV287*I287),2)*BS287),2)*AU287)/100),2))</f>
        <v>0</v>
      </c>
      <c r="AA287" s="3">
        <v>57248837</v>
      </c>
      <c r="AB287" s="3">
        <f t="shared" si="330"/>
        <v>105.35</v>
      </c>
      <c r="AC287" s="3">
        <f>ROUND((ES287),6)</f>
        <v>105.35</v>
      </c>
      <c r="AD287" s="3">
        <f>ROUND((((ET287)-(EU287))+AE287),6)</f>
        <v>0</v>
      </c>
      <c r="AE287" s="3">
        <f t="shared" si="348"/>
        <v>0</v>
      </c>
      <c r="AF287" s="3">
        <f t="shared" si="348"/>
        <v>0</v>
      </c>
      <c r="AG287" s="3">
        <f t="shared" si="331"/>
        <v>0</v>
      </c>
      <c r="AH287" s="3">
        <f t="shared" si="349"/>
        <v>0</v>
      </c>
      <c r="AI287" s="3">
        <f t="shared" si="349"/>
        <v>0</v>
      </c>
      <c r="AJ287" s="3">
        <f t="shared" si="332"/>
        <v>0</v>
      </c>
      <c r="AK287" s="3">
        <v>105.35</v>
      </c>
      <c r="AL287" s="3">
        <v>105.35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1</v>
      </c>
      <c r="AW287" s="3">
        <v>1</v>
      </c>
      <c r="AZ287" s="3">
        <v>1</v>
      </c>
      <c r="BA287" s="3">
        <v>1</v>
      </c>
      <c r="BB287" s="3">
        <v>1</v>
      </c>
      <c r="BC287" s="3">
        <v>9.84</v>
      </c>
      <c r="BD287" s="3" t="s">
        <v>3</v>
      </c>
      <c r="BE287" s="3" t="s">
        <v>3</v>
      </c>
      <c r="BF287" s="3" t="s">
        <v>3</v>
      </c>
      <c r="BG287" s="3" t="s">
        <v>3</v>
      </c>
      <c r="BH287" s="3">
        <v>3</v>
      </c>
      <c r="BI287" s="3">
        <v>2</v>
      </c>
      <c r="BJ287" s="3" t="s">
        <v>434</v>
      </c>
      <c r="BM287" s="3">
        <v>400005</v>
      </c>
      <c r="BN287" s="3">
        <v>0</v>
      </c>
      <c r="BO287" s="3" t="s">
        <v>3</v>
      </c>
      <c r="BP287" s="3">
        <v>0</v>
      </c>
      <c r="BQ287" s="3">
        <v>213</v>
      </c>
      <c r="BR287" s="3">
        <v>0</v>
      </c>
      <c r="BS287" s="3">
        <v>1</v>
      </c>
      <c r="BT287" s="3">
        <v>1</v>
      </c>
      <c r="BU287" s="3">
        <v>1</v>
      </c>
      <c r="BV287" s="3">
        <v>1</v>
      </c>
      <c r="BW287" s="3">
        <v>1</v>
      </c>
      <c r="BX287" s="3">
        <v>1</v>
      </c>
      <c r="BY287" s="3" t="s">
        <v>3</v>
      </c>
      <c r="BZ287" s="3">
        <v>0</v>
      </c>
      <c r="CA287" s="3">
        <v>0</v>
      </c>
      <c r="CB287" s="3" t="s">
        <v>3</v>
      </c>
      <c r="CE287" s="3">
        <v>1566</v>
      </c>
      <c r="CF287" s="3">
        <v>0</v>
      </c>
      <c r="CG287" s="3">
        <v>0</v>
      </c>
      <c r="CM287" s="3">
        <v>0</v>
      </c>
      <c r="CN287" s="3" t="s">
        <v>3</v>
      </c>
      <c r="CO287" s="3">
        <v>0</v>
      </c>
      <c r="CP287" s="3">
        <f t="shared" si="333"/>
        <v>1036.6400000000001</v>
      </c>
      <c r="CQ287" s="3">
        <f t="shared" si="334"/>
        <v>1036.6400000000001</v>
      </c>
      <c r="CR287" s="3">
        <f>(ROUND((ROUND(((ET287)*AV287*1),2)*BB287),2)+ROUND((ROUND(((AE287-(EU287))*AV287*1),2)*BS287),2))</f>
        <v>0</v>
      </c>
      <c r="CS287" s="3">
        <f>(ROUND((ROUND(((EU287)*AV287*1),2)*BS287),2)+ROUND((ROUND(((AE287-(EU287))*AV287*1),2)*BS287),2))</f>
        <v>0</v>
      </c>
      <c r="CT287" s="3">
        <f t="shared" si="335"/>
        <v>0</v>
      </c>
      <c r="CU287" s="3">
        <f t="shared" si="336"/>
        <v>0</v>
      </c>
      <c r="CV287" s="3">
        <f t="shared" si="337"/>
        <v>0</v>
      </c>
      <c r="CW287" s="3">
        <f t="shared" si="338"/>
        <v>0</v>
      </c>
      <c r="CX287" s="3">
        <f t="shared" si="339"/>
        <v>0</v>
      </c>
      <c r="CY287" s="3">
        <f>(ROUND((((S287+ROUND((ROUND(((EU287)*AV287*1),2)*BS287),2))*AT287)/100),2)+ROUND(((ROUND((ROUND(((AE287-(EU287))*AV287*1),2)*BS287),2)*AT287)/100),2))</f>
        <v>0</v>
      </c>
      <c r="CZ287" s="3">
        <f>(ROUND((((S287+ROUND((ROUND(((EU287)*AV287*1),2)*BS287),2))*AU287)/100),2)+ROUND(((ROUND((ROUND(((AE287-(EU287))*AV287*1),2)*BS287),2)*AU287)/100),2))</f>
        <v>0</v>
      </c>
      <c r="DC287" s="3" t="s">
        <v>3</v>
      </c>
      <c r="DD287" s="3" t="s">
        <v>3</v>
      </c>
      <c r="DE287" s="3" t="s">
        <v>3</v>
      </c>
      <c r="DF287" s="3" t="s">
        <v>3</v>
      </c>
      <c r="DG287" s="3" t="s">
        <v>3</v>
      </c>
      <c r="DH287" s="3" t="s">
        <v>3</v>
      </c>
      <c r="DI287" s="3" t="s">
        <v>3</v>
      </c>
      <c r="DJ287" s="3" t="s">
        <v>3</v>
      </c>
      <c r="DK287" s="3" t="s">
        <v>3</v>
      </c>
      <c r="DL287" s="3" t="s">
        <v>3</v>
      </c>
      <c r="DM287" s="3" t="s">
        <v>3</v>
      </c>
      <c r="DN287" s="3">
        <v>0</v>
      </c>
      <c r="DO287" s="3">
        <v>0</v>
      </c>
      <c r="DP287" s="3">
        <v>1</v>
      </c>
      <c r="DQ287" s="3">
        <v>1</v>
      </c>
      <c r="DU287" s="3">
        <v>1013</v>
      </c>
      <c r="DV287" s="3" t="s">
        <v>192</v>
      </c>
      <c r="DW287" s="3" t="s">
        <v>192</v>
      </c>
      <c r="DX287" s="3">
        <v>1</v>
      </c>
      <c r="DZ287" s="3" t="s">
        <v>3</v>
      </c>
      <c r="EA287" s="3" t="s">
        <v>3</v>
      </c>
      <c r="EB287" s="3" t="s">
        <v>3</v>
      </c>
      <c r="EC287" s="3" t="s">
        <v>3</v>
      </c>
      <c r="EE287" s="3">
        <v>57248790</v>
      </c>
      <c r="EF287" s="3">
        <v>213</v>
      </c>
      <c r="EG287" s="3" t="s">
        <v>331</v>
      </c>
      <c r="EH287" s="3">
        <v>0</v>
      </c>
      <c r="EI287" s="3" t="s">
        <v>3</v>
      </c>
      <c r="EJ287" s="3">
        <v>1</v>
      </c>
      <c r="EK287" s="3">
        <v>400005</v>
      </c>
      <c r="EL287" s="3" t="s">
        <v>331</v>
      </c>
      <c r="EM287" s="3" t="s">
        <v>332</v>
      </c>
      <c r="EO287" s="3" t="s">
        <v>3</v>
      </c>
      <c r="EQ287" s="3">
        <v>131088</v>
      </c>
      <c r="ER287" s="3">
        <v>0</v>
      </c>
      <c r="ES287" s="3">
        <v>105.35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5</v>
      </c>
      <c r="FC287" s="3">
        <v>1</v>
      </c>
      <c r="FD287" s="3">
        <v>18</v>
      </c>
      <c r="FF287" s="3">
        <v>1239.8399999999999</v>
      </c>
      <c r="FQ287" s="3">
        <v>0</v>
      </c>
      <c r="FR287" s="3">
        <v>0</v>
      </c>
      <c r="FS287" s="3">
        <v>0</v>
      </c>
      <c r="FX287" s="3">
        <v>0</v>
      </c>
      <c r="FY287" s="3">
        <v>0</v>
      </c>
      <c r="GA287" s="3" t="s">
        <v>436</v>
      </c>
      <c r="GD287" s="3">
        <v>1</v>
      </c>
      <c r="GF287" s="3">
        <v>1431786813</v>
      </c>
      <c r="GG287" s="3">
        <v>2</v>
      </c>
      <c r="GH287" s="3">
        <v>3</v>
      </c>
      <c r="GI287" s="3">
        <v>5</v>
      </c>
      <c r="GJ287" s="3">
        <v>0</v>
      </c>
      <c r="GK287" s="3">
        <v>0</v>
      </c>
      <c r="GL287" s="3">
        <f t="shared" si="340"/>
        <v>0</v>
      </c>
      <c r="GM287" s="3">
        <f t="shared" si="341"/>
        <v>1036.6400000000001</v>
      </c>
      <c r="GN287" s="3">
        <f t="shared" si="342"/>
        <v>0</v>
      </c>
      <c r="GO287" s="3">
        <f t="shared" si="343"/>
        <v>1036.6400000000001</v>
      </c>
      <c r="GP287" s="3">
        <f t="shared" si="344"/>
        <v>0</v>
      </c>
      <c r="GR287" s="3">
        <v>1</v>
      </c>
      <c r="GS287" s="3">
        <v>1</v>
      </c>
      <c r="GT287" s="3">
        <v>0</v>
      </c>
      <c r="GU287" s="3" t="s">
        <v>3</v>
      </c>
      <c r="GV287" s="3">
        <f t="shared" si="345"/>
        <v>0</v>
      </c>
      <c r="GW287" s="3">
        <v>1</v>
      </c>
      <c r="GX287" s="3">
        <f t="shared" si="346"/>
        <v>0</v>
      </c>
      <c r="HA287" s="3">
        <v>0</v>
      </c>
      <c r="HB287" s="3">
        <v>0</v>
      </c>
      <c r="HC287" s="3">
        <f t="shared" si="347"/>
        <v>0</v>
      </c>
      <c r="HE287" s="3" t="s">
        <v>334</v>
      </c>
      <c r="HF287" s="3" t="s">
        <v>37</v>
      </c>
      <c r="HM287" s="3" t="s">
        <v>3</v>
      </c>
      <c r="HN287" s="3" t="s">
        <v>3</v>
      </c>
      <c r="HO287" s="3" t="s">
        <v>3</v>
      </c>
      <c r="HP287" s="3" t="s">
        <v>3</v>
      </c>
      <c r="HQ287" s="3" t="s">
        <v>3</v>
      </c>
      <c r="HS287" s="3">
        <v>0</v>
      </c>
      <c r="IK287" s="3">
        <v>0</v>
      </c>
    </row>
    <row r="289" spans="1:206" x14ac:dyDescent="0.2">
      <c r="A289" s="11">
        <v>51</v>
      </c>
      <c r="B289" s="11">
        <f>B212</f>
        <v>1</v>
      </c>
      <c r="C289" s="11">
        <f>A212</f>
        <v>4</v>
      </c>
      <c r="D289" s="11">
        <f>ROW(A212)</f>
        <v>212</v>
      </c>
      <c r="E289" s="11"/>
      <c r="F289" s="11" t="str">
        <f>IF(F212&lt;&gt;"",F212,"")</f>
        <v>2</v>
      </c>
      <c r="G289" s="11" t="str">
        <f>IF(G212&lt;&gt;"",G212,"")</f>
        <v>Кабельные изделия</v>
      </c>
      <c r="H289" s="11">
        <v>0</v>
      </c>
      <c r="I289" s="11"/>
      <c r="J289" s="11"/>
      <c r="K289" s="11"/>
      <c r="L289" s="11"/>
      <c r="M289" s="11"/>
      <c r="N289" s="11"/>
      <c r="O289" s="11">
        <f t="shared" ref="O289:T289" si="350">ROUND(AB289,2)</f>
        <v>25383.85</v>
      </c>
      <c r="P289" s="11">
        <f t="shared" si="350"/>
        <v>21450.43</v>
      </c>
      <c r="Q289" s="11">
        <f t="shared" si="350"/>
        <v>57.5</v>
      </c>
      <c r="R289" s="11">
        <f t="shared" si="350"/>
        <v>0.6</v>
      </c>
      <c r="S289" s="11">
        <f t="shared" si="350"/>
        <v>3875.92</v>
      </c>
      <c r="T289" s="11">
        <f t="shared" si="350"/>
        <v>0</v>
      </c>
      <c r="U289" s="11">
        <f>AH289</f>
        <v>322.14864599999999</v>
      </c>
      <c r="V289" s="11">
        <f>AI289</f>
        <v>0</v>
      </c>
      <c r="W289" s="11">
        <f>ROUND(AJ289,2)</f>
        <v>0</v>
      </c>
      <c r="X289" s="11">
        <f>ROUND(AK289,2)</f>
        <v>3529.48</v>
      </c>
      <c r="Y289" s="11">
        <f>ROUND(AL289,2)</f>
        <v>1812.21</v>
      </c>
      <c r="Z289" s="11"/>
      <c r="AA289" s="11"/>
      <c r="AB289" s="11">
        <f>ROUND(SUMIF(AA216:AA287,"=57248835",O216:O287),2)</f>
        <v>25383.85</v>
      </c>
      <c r="AC289" s="11">
        <f>ROUND(SUMIF(AA216:AA287,"=57248835",P216:P287),2)</f>
        <v>21450.43</v>
      </c>
      <c r="AD289" s="11">
        <f>ROUND(SUMIF(AA216:AA287,"=57248835",Q216:Q287),2)</f>
        <v>57.5</v>
      </c>
      <c r="AE289" s="11">
        <f>ROUND(SUMIF(AA216:AA287,"=57248835",R216:R287),2)</f>
        <v>0.6</v>
      </c>
      <c r="AF289" s="11">
        <f>ROUND(SUMIF(AA216:AA287,"=57248835",S216:S287),2)</f>
        <v>3875.92</v>
      </c>
      <c r="AG289" s="11">
        <f>ROUND(SUMIF(AA216:AA287,"=57248835",T216:T287),2)</f>
        <v>0</v>
      </c>
      <c r="AH289" s="11">
        <f>SUMIF(AA216:AA287,"=57248835",U216:U287)</f>
        <v>322.14864599999999</v>
      </c>
      <c r="AI289" s="11">
        <f>SUMIF(AA216:AA287,"=57248835",V216:V287)</f>
        <v>0</v>
      </c>
      <c r="AJ289" s="11">
        <f>ROUND(SUMIF(AA216:AA287,"=57248835",W216:W287),2)</f>
        <v>0</v>
      </c>
      <c r="AK289" s="11">
        <f>ROUND(SUMIF(AA216:AA287,"=57248835",X216:X287),2)</f>
        <v>3529.48</v>
      </c>
      <c r="AL289" s="11">
        <f>ROUND(SUMIF(AA216:AA287,"=57248835",Y216:Y287),2)</f>
        <v>1812.21</v>
      </c>
      <c r="AM289" s="11"/>
      <c r="AN289" s="11"/>
      <c r="AO289" s="11">
        <f t="shared" ref="AO289:BD289" si="351">ROUND(BX289,2)</f>
        <v>0</v>
      </c>
      <c r="AP289" s="11">
        <f t="shared" si="351"/>
        <v>0</v>
      </c>
      <c r="AQ289" s="11">
        <f t="shared" si="351"/>
        <v>0</v>
      </c>
      <c r="AR289" s="11">
        <f t="shared" si="351"/>
        <v>30725.54</v>
      </c>
      <c r="AS289" s="11">
        <f t="shared" si="351"/>
        <v>0</v>
      </c>
      <c r="AT289" s="11">
        <f t="shared" si="351"/>
        <v>30725.54</v>
      </c>
      <c r="AU289" s="11">
        <f t="shared" si="351"/>
        <v>0</v>
      </c>
      <c r="AV289" s="11">
        <f t="shared" si="351"/>
        <v>21450.43</v>
      </c>
      <c r="AW289" s="11">
        <f t="shared" si="351"/>
        <v>21450.43</v>
      </c>
      <c r="AX289" s="11">
        <f t="shared" si="351"/>
        <v>0</v>
      </c>
      <c r="AY289" s="11">
        <f t="shared" si="351"/>
        <v>21450.43</v>
      </c>
      <c r="AZ289" s="11">
        <f t="shared" si="351"/>
        <v>0</v>
      </c>
      <c r="BA289" s="11">
        <f t="shared" si="351"/>
        <v>0</v>
      </c>
      <c r="BB289" s="11">
        <f t="shared" si="351"/>
        <v>0</v>
      </c>
      <c r="BC289" s="11">
        <f t="shared" si="351"/>
        <v>0</v>
      </c>
      <c r="BD289" s="11">
        <f t="shared" si="351"/>
        <v>0</v>
      </c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>
        <f>ROUND(SUMIF(AA216:AA287,"=57248835",FQ216:FQ287),2)</f>
        <v>0</v>
      </c>
      <c r="BY289" s="11">
        <f>ROUND(SUMIF(AA216:AA287,"=57248835",FR216:FR287),2)</f>
        <v>0</v>
      </c>
      <c r="BZ289" s="11">
        <f>ROUND(SUMIF(AA216:AA287,"=57248835",GL216:GL287),2)</f>
        <v>0</v>
      </c>
      <c r="CA289" s="11">
        <f>ROUND(SUMIF(AA216:AA287,"=57248835",GM216:GM287),2)</f>
        <v>30725.54</v>
      </c>
      <c r="CB289" s="11">
        <f>ROUND(SUMIF(AA216:AA287,"=57248835",GN216:GN287),2)</f>
        <v>0</v>
      </c>
      <c r="CC289" s="11">
        <f>ROUND(SUMIF(AA216:AA287,"=57248835",GO216:GO287),2)</f>
        <v>30725.54</v>
      </c>
      <c r="CD289" s="11">
        <f>ROUND(SUMIF(AA216:AA287,"=57248835",GP216:GP287),2)</f>
        <v>0</v>
      </c>
      <c r="CE289" s="11">
        <f>AC289-BX289</f>
        <v>21450.43</v>
      </c>
      <c r="CF289" s="11">
        <f>AC289-BY289</f>
        <v>21450.43</v>
      </c>
      <c r="CG289" s="11">
        <f>BX289-BZ289</f>
        <v>0</v>
      </c>
      <c r="CH289" s="11">
        <f>AC289-BX289-BY289+BZ289</f>
        <v>21450.43</v>
      </c>
      <c r="CI289" s="11">
        <f>BY289-BZ289</f>
        <v>0</v>
      </c>
      <c r="CJ289" s="11">
        <f>ROUND(SUMIF(AA216:AA287,"=57248835",GX216:GX287),2)</f>
        <v>0</v>
      </c>
      <c r="CK289" s="11">
        <f>ROUND(SUMIF(AA216:AA287,"=57248835",GY216:GY287),2)</f>
        <v>0</v>
      </c>
      <c r="CL289" s="11">
        <f>ROUND(SUMIF(AA216:AA287,"=57248835",GZ216:GZ287),2)</f>
        <v>0</v>
      </c>
      <c r="CM289" s="11">
        <f>ROUND(SUMIF(AA216:AA287,"=57248835",HD216:HD287),2)</f>
        <v>0</v>
      </c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  <c r="CZ289" s="11"/>
      <c r="DA289" s="11"/>
      <c r="DB289" s="11"/>
      <c r="DC289" s="11"/>
      <c r="DD289" s="11"/>
      <c r="DE289" s="11"/>
      <c r="DF289" s="11"/>
      <c r="DG289" s="12">
        <f t="shared" ref="DG289:DL289" si="352">ROUND(DT289,2)</f>
        <v>362827.84</v>
      </c>
      <c r="DH289" s="12">
        <f t="shared" si="352"/>
        <v>143836.74</v>
      </c>
      <c r="DI289" s="12">
        <f t="shared" si="352"/>
        <v>583.01</v>
      </c>
      <c r="DJ289" s="12">
        <f t="shared" si="352"/>
        <v>33.81</v>
      </c>
      <c r="DK289" s="12">
        <f t="shared" si="352"/>
        <v>218408.09</v>
      </c>
      <c r="DL289" s="12">
        <f t="shared" si="352"/>
        <v>0</v>
      </c>
      <c r="DM289" s="12">
        <f>DZ289</f>
        <v>322.14864599999999</v>
      </c>
      <c r="DN289" s="12">
        <f>EA289</f>
        <v>0</v>
      </c>
      <c r="DO289" s="12">
        <f>ROUND(EB289,2)</f>
        <v>0</v>
      </c>
      <c r="DP289" s="12">
        <f>ROUND(EC289,2)</f>
        <v>198885.99</v>
      </c>
      <c r="DQ289" s="12">
        <f>ROUND(ED289,2)</f>
        <v>102117.75999999999</v>
      </c>
      <c r="DR289" s="12"/>
      <c r="DS289" s="12"/>
      <c r="DT289" s="12">
        <f>ROUND(SUMIF(AA216:AA287,"=57248837",O216:O287),2)</f>
        <v>362827.84</v>
      </c>
      <c r="DU289" s="12">
        <f>ROUND(SUMIF(AA216:AA287,"=57248837",P216:P287),2)</f>
        <v>143836.74</v>
      </c>
      <c r="DV289" s="12">
        <f>ROUND(SUMIF(AA216:AA287,"=57248837",Q216:Q287),2)</f>
        <v>583.01</v>
      </c>
      <c r="DW289" s="12">
        <f>ROUND(SUMIF(AA216:AA287,"=57248837",R216:R287),2)</f>
        <v>33.81</v>
      </c>
      <c r="DX289" s="12">
        <f>ROUND(SUMIF(AA216:AA287,"=57248837",S216:S287),2)</f>
        <v>218408.09</v>
      </c>
      <c r="DY289" s="12">
        <f>ROUND(SUMIF(AA216:AA287,"=57248837",T216:T287),2)</f>
        <v>0</v>
      </c>
      <c r="DZ289" s="12">
        <f>SUMIF(AA216:AA287,"=57248837",U216:U287)</f>
        <v>322.14864599999999</v>
      </c>
      <c r="EA289" s="12">
        <f>SUMIF(AA216:AA287,"=57248837",V216:V287)</f>
        <v>0</v>
      </c>
      <c r="EB289" s="12">
        <f>ROUND(SUMIF(AA216:AA287,"=57248837",W216:W287),2)</f>
        <v>0</v>
      </c>
      <c r="EC289" s="12">
        <f>ROUND(SUMIF(AA216:AA287,"=57248837",X216:X287),2)</f>
        <v>198885.99</v>
      </c>
      <c r="ED289" s="12">
        <f>ROUND(SUMIF(AA216:AA287,"=57248837",Y216:Y287),2)</f>
        <v>102117.75999999999</v>
      </c>
      <c r="EE289" s="12"/>
      <c r="EF289" s="12"/>
      <c r="EG289" s="12">
        <f t="shared" ref="EG289:EV289" si="353">ROUND(FP289,2)</f>
        <v>0</v>
      </c>
      <c r="EH289" s="12">
        <f t="shared" si="353"/>
        <v>0</v>
      </c>
      <c r="EI289" s="12">
        <f t="shared" si="353"/>
        <v>0</v>
      </c>
      <c r="EJ289" s="12">
        <f t="shared" si="353"/>
        <v>663831.59</v>
      </c>
      <c r="EK289" s="12">
        <f t="shared" si="353"/>
        <v>0</v>
      </c>
      <c r="EL289" s="12">
        <f t="shared" si="353"/>
        <v>663831.59</v>
      </c>
      <c r="EM289" s="12">
        <f t="shared" si="353"/>
        <v>0</v>
      </c>
      <c r="EN289" s="12">
        <f t="shared" si="353"/>
        <v>143836.74</v>
      </c>
      <c r="EO289" s="12">
        <f t="shared" si="353"/>
        <v>143836.74</v>
      </c>
      <c r="EP289" s="12">
        <f t="shared" si="353"/>
        <v>0</v>
      </c>
      <c r="EQ289" s="12">
        <f t="shared" si="353"/>
        <v>143836.74</v>
      </c>
      <c r="ER289" s="12">
        <f t="shared" si="353"/>
        <v>0</v>
      </c>
      <c r="ES289" s="12">
        <f t="shared" si="353"/>
        <v>0</v>
      </c>
      <c r="ET289" s="12">
        <f t="shared" si="353"/>
        <v>0</v>
      </c>
      <c r="EU289" s="12">
        <f t="shared" si="353"/>
        <v>0</v>
      </c>
      <c r="EV289" s="12">
        <f t="shared" si="353"/>
        <v>0</v>
      </c>
      <c r="EW289" s="12"/>
      <c r="EX289" s="12"/>
      <c r="EY289" s="12"/>
      <c r="EZ289" s="12"/>
      <c r="FA289" s="12"/>
      <c r="FB289" s="12"/>
      <c r="FC289" s="12"/>
      <c r="FD289" s="12"/>
      <c r="FE289" s="12"/>
      <c r="FF289" s="12"/>
      <c r="FG289" s="12"/>
      <c r="FH289" s="12"/>
      <c r="FI289" s="12"/>
      <c r="FJ289" s="12"/>
      <c r="FK289" s="12"/>
      <c r="FL289" s="12"/>
      <c r="FM289" s="12"/>
      <c r="FN289" s="12"/>
      <c r="FO289" s="12"/>
      <c r="FP289" s="12">
        <f>ROUND(SUMIF(AA216:AA287,"=57248837",FQ216:FQ287),2)</f>
        <v>0</v>
      </c>
      <c r="FQ289" s="12">
        <f>ROUND(SUMIF(AA216:AA287,"=57248837",FR216:FR287),2)</f>
        <v>0</v>
      </c>
      <c r="FR289" s="12">
        <f>ROUND(SUMIF(AA216:AA287,"=57248837",GL216:GL287),2)</f>
        <v>0</v>
      </c>
      <c r="FS289" s="12">
        <f>ROUND(SUMIF(AA216:AA287,"=57248837",GM216:GM287),2)</f>
        <v>663831.59</v>
      </c>
      <c r="FT289" s="12">
        <f>ROUND(SUMIF(AA216:AA287,"=57248837",GN216:GN287),2)</f>
        <v>0</v>
      </c>
      <c r="FU289" s="12">
        <f>ROUND(SUMIF(AA216:AA287,"=57248837",GO216:GO287),2)</f>
        <v>663831.59</v>
      </c>
      <c r="FV289" s="12">
        <f>ROUND(SUMIF(AA216:AA287,"=57248837",GP216:GP287),2)</f>
        <v>0</v>
      </c>
      <c r="FW289" s="12">
        <f>DU289-FP289</f>
        <v>143836.74</v>
      </c>
      <c r="FX289" s="12">
        <f>DU289-FQ289</f>
        <v>143836.74</v>
      </c>
      <c r="FY289" s="12">
        <f>FP289-FR289</f>
        <v>0</v>
      </c>
      <c r="FZ289" s="12">
        <f>DU289-FP289-FQ289+FR289</f>
        <v>143836.74</v>
      </c>
      <c r="GA289" s="12">
        <f>FQ289-FR289</f>
        <v>0</v>
      </c>
      <c r="GB289" s="12">
        <f>ROUND(SUMIF(AA216:AA287,"=57248837",GX216:GX287),2)</f>
        <v>0</v>
      </c>
      <c r="GC289" s="12">
        <f>ROUND(SUMIF(AA216:AA287,"=57248837",GY216:GY287),2)</f>
        <v>0</v>
      </c>
      <c r="GD289" s="12">
        <f>ROUND(SUMIF(AA216:AA287,"=57248837",GZ216:GZ287),2)</f>
        <v>0</v>
      </c>
      <c r="GE289" s="12">
        <f>ROUND(SUMIF(AA216:AA287,"=57248837",HD216:HD287),2)</f>
        <v>0</v>
      </c>
      <c r="GF289" s="12"/>
      <c r="GG289" s="12"/>
      <c r="GH289" s="12"/>
      <c r="GI289" s="12"/>
      <c r="GJ289" s="12"/>
      <c r="GK289" s="12"/>
      <c r="GL289" s="12"/>
      <c r="GM289" s="12"/>
      <c r="GN289" s="12"/>
      <c r="GO289" s="12"/>
      <c r="GP289" s="12"/>
      <c r="GQ289" s="12"/>
      <c r="GR289" s="12"/>
      <c r="GS289" s="12"/>
      <c r="GT289" s="12"/>
      <c r="GU289" s="12"/>
      <c r="GV289" s="12"/>
      <c r="GW289" s="12"/>
      <c r="GX289" s="12">
        <v>0</v>
      </c>
    </row>
    <row r="291" spans="1:206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201</v>
      </c>
      <c r="F291" s="13">
        <f>ROUND(Source!O289,O291)</f>
        <v>25383.85</v>
      </c>
      <c r="G291" s="13" t="s">
        <v>132</v>
      </c>
      <c r="H291" s="13" t="s">
        <v>133</v>
      </c>
      <c r="I291" s="13"/>
      <c r="J291" s="13"/>
      <c r="K291" s="13">
        <v>201</v>
      </c>
      <c r="L291" s="13">
        <v>1</v>
      </c>
      <c r="M291" s="13">
        <v>3</v>
      </c>
      <c r="N291" s="13" t="s">
        <v>3</v>
      </c>
      <c r="O291" s="13">
        <v>2</v>
      </c>
      <c r="P291" s="13">
        <f>ROUND(Source!DG289,O291)</f>
        <v>362827.84</v>
      </c>
      <c r="Q291" s="13"/>
      <c r="R291" s="13"/>
      <c r="S291" s="13"/>
      <c r="T291" s="13"/>
      <c r="U291" s="13"/>
      <c r="V291" s="13"/>
      <c r="W291" s="13">
        <v>25383.85</v>
      </c>
      <c r="X291" s="13">
        <v>1</v>
      </c>
      <c r="Y291" s="13">
        <v>25383.85</v>
      </c>
      <c r="Z291" s="13">
        <v>362827.84</v>
      </c>
      <c r="AA291" s="13">
        <v>1</v>
      </c>
      <c r="AB291" s="13">
        <v>362827.84</v>
      </c>
    </row>
    <row r="292" spans="1:206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202</v>
      </c>
      <c r="F292" s="13">
        <f>ROUND(Source!P289,O292)</f>
        <v>21450.43</v>
      </c>
      <c r="G292" s="13" t="s">
        <v>134</v>
      </c>
      <c r="H292" s="13" t="s">
        <v>135</v>
      </c>
      <c r="I292" s="13"/>
      <c r="J292" s="13"/>
      <c r="K292" s="13">
        <v>202</v>
      </c>
      <c r="L292" s="13">
        <v>2</v>
      </c>
      <c r="M292" s="13">
        <v>3</v>
      </c>
      <c r="N292" s="13" t="s">
        <v>3</v>
      </c>
      <c r="O292" s="13">
        <v>2</v>
      </c>
      <c r="P292" s="13">
        <f>ROUND(Source!DH289,O292)</f>
        <v>143836.74</v>
      </c>
      <c r="Q292" s="13"/>
      <c r="R292" s="13"/>
      <c r="S292" s="13"/>
      <c r="T292" s="13"/>
      <c r="U292" s="13"/>
      <c r="V292" s="13"/>
      <c r="W292" s="13">
        <v>21450.43</v>
      </c>
      <c r="X292" s="13">
        <v>1</v>
      </c>
      <c r="Y292" s="13">
        <v>21450.43</v>
      </c>
      <c r="Z292" s="13">
        <v>143836.74</v>
      </c>
      <c r="AA292" s="13">
        <v>1</v>
      </c>
      <c r="AB292" s="13">
        <v>143836.74</v>
      </c>
    </row>
    <row r="293" spans="1:206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222</v>
      </c>
      <c r="F293" s="13">
        <f>ROUND(Source!AO289,O293)</f>
        <v>0</v>
      </c>
      <c r="G293" s="13" t="s">
        <v>136</v>
      </c>
      <c r="H293" s="13" t="s">
        <v>137</v>
      </c>
      <c r="I293" s="13"/>
      <c r="J293" s="13"/>
      <c r="K293" s="13">
        <v>222</v>
      </c>
      <c r="L293" s="13">
        <v>3</v>
      </c>
      <c r="M293" s="13">
        <v>3</v>
      </c>
      <c r="N293" s="13" t="s">
        <v>3</v>
      </c>
      <c r="O293" s="13">
        <v>2</v>
      </c>
      <c r="P293" s="13">
        <f>ROUND(Source!EG289,O293)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06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225</v>
      </c>
      <c r="F294" s="13">
        <f>ROUND(Source!AV289,O294)</f>
        <v>21450.43</v>
      </c>
      <c r="G294" s="13" t="s">
        <v>138</v>
      </c>
      <c r="H294" s="13" t="s">
        <v>139</v>
      </c>
      <c r="I294" s="13"/>
      <c r="J294" s="13"/>
      <c r="K294" s="13">
        <v>225</v>
      </c>
      <c r="L294" s="13">
        <v>4</v>
      </c>
      <c r="M294" s="13">
        <v>3</v>
      </c>
      <c r="N294" s="13" t="s">
        <v>3</v>
      </c>
      <c r="O294" s="13">
        <v>2</v>
      </c>
      <c r="P294" s="13">
        <f>ROUND(Source!EN289,O294)</f>
        <v>143836.74</v>
      </c>
      <c r="Q294" s="13"/>
      <c r="R294" s="13"/>
      <c r="S294" s="13"/>
      <c r="T294" s="13"/>
      <c r="U294" s="13"/>
      <c r="V294" s="13"/>
      <c r="W294" s="13">
        <v>21450.43</v>
      </c>
      <c r="X294" s="13">
        <v>1</v>
      </c>
      <c r="Y294" s="13">
        <v>21450.43</v>
      </c>
      <c r="Z294" s="13">
        <v>143836.74</v>
      </c>
      <c r="AA294" s="13">
        <v>1</v>
      </c>
      <c r="AB294" s="13">
        <v>143836.74</v>
      </c>
    </row>
    <row r="295" spans="1:206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226</v>
      </c>
      <c r="F295" s="13">
        <f>ROUND(Source!AW289,O295)</f>
        <v>21450.43</v>
      </c>
      <c r="G295" s="13" t="s">
        <v>140</v>
      </c>
      <c r="H295" s="13" t="s">
        <v>141</v>
      </c>
      <c r="I295" s="13"/>
      <c r="J295" s="13"/>
      <c r="K295" s="13">
        <v>226</v>
      </c>
      <c r="L295" s="13">
        <v>5</v>
      </c>
      <c r="M295" s="13">
        <v>3</v>
      </c>
      <c r="N295" s="13" t="s">
        <v>3</v>
      </c>
      <c r="O295" s="13">
        <v>2</v>
      </c>
      <c r="P295" s="13">
        <f>ROUND(Source!EO289,O295)</f>
        <v>143836.74</v>
      </c>
      <c r="Q295" s="13"/>
      <c r="R295" s="13"/>
      <c r="S295" s="13"/>
      <c r="T295" s="13"/>
      <c r="U295" s="13"/>
      <c r="V295" s="13"/>
      <c r="W295" s="13">
        <v>21450.43</v>
      </c>
      <c r="X295" s="13">
        <v>1</v>
      </c>
      <c r="Y295" s="13">
        <v>21450.43</v>
      </c>
      <c r="Z295" s="13">
        <v>143836.74</v>
      </c>
      <c r="AA295" s="13">
        <v>1</v>
      </c>
      <c r="AB295" s="13">
        <v>143836.74</v>
      </c>
    </row>
    <row r="296" spans="1:206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227</v>
      </c>
      <c r="F296" s="13">
        <f>ROUND(Source!AX289,O296)</f>
        <v>0</v>
      </c>
      <c r="G296" s="13" t="s">
        <v>142</v>
      </c>
      <c r="H296" s="13" t="s">
        <v>143</v>
      </c>
      <c r="I296" s="13"/>
      <c r="J296" s="13"/>
      <c r="K296" s="13">
        <v>227</v>
      </c>
      <c r="L296" s="13">
        <v>6</v>
      </c>
      <c r="M296" s="13">
        <v>3</v>
      </c>
      <c r="N296" s="13" t="s">
        <v>3</v>
      </c>
      <c r="O296" s="13">
        <v>2</v>
      </c>
      <c r="P296" s="13">
        <f>ROUND(Source!EP289,O296)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06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228</v>
      </c>
      <c r="F297" s="13">
        <f>ROUND(Source!AY289,O297)</f>
        <v>21450.43</v>
      </c>
      <c r="G297" s="13" t="s">
        <v>144</v>
      </c>
      <c r="H297" s="13" t="s">
        <v>145</v>
      </c>
      <c r="I297" s="13"/>
      <c r="J297" s="13"/>
      <c r="K297" s="13">
        <v>228</v>
      </c>
      <c r="L297" s="13">
        <v>7</v>
      </c>
      <c r="M297" s="13">
        <v>3</v>
      </c>
      <c r="N297" s="13" t="s">
        <v>3</v>
      </c>
      <c r="O297" s="13">
        <v>2</v>
      </c>
      <c r="P297" s="13">
        <f>ROUND(Source!EQ289,O297)</f>
        <v>143836.74</v>
      </c>
      <c r="Q297" s="13"/>
      <c r="R297" s="13"/>
      <c r="S297" s="13"/>
      <c r="T297" s="13"/>
      <c r="U297" s="13"/>
      <c r="V297" s="13"/>
      <c r="W297" s="13">
        <v>21450.43</v>
      </c>
      <c r="X297" s="13">
        <v>1</v>
      </c>
      <c r="Y297" s="13">
        <v>21450.43</v>
      </c>
      <c r="Z297" s="13">
        <v>143836.74</v>
      </c>
      <c r="AA297" s="13">
        <v>1</v>
      </c>
      <c r="AB297" s="13">
        <v>143836.74</v>
      </c>
    </row>
    <row r="298" spans="1:206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216</v>
      </c>
      <c r="F298" s="13">
        <f>ROUND(Source!AP289,O298)</f>
        <v>0</v>
      </c>
      <c r="G298" s="13" t="s">
        <v>146</v>
      </c>
      <c r="H298" s="13" t="s">
        <v>147</v>
      </c>
      <c r="I298" s="13"/>
      <c r="J298" s="13"/>
      <c r="K298" s="13">
        <v>216</v>
      </c>
      <c r="L298" s="13">
        <v>8</v>
      </c>
      <c r="M298" s="13">
        <v>3</v>
      </c>
      <c r="N298" s="13" t="s">
        <v>3</v>
      </c>
      <c r="O298" s="13">
        <v>2</v>
      </c>
      <c r="P298" s="13">
        <f>ROUND(Source!EH289,O298)</f>
        <v>0</v>
      </c>
      <c r="Q298" s="13"/>
      <c r="R298" s="13"/>
      <c r="S298" s="13"/>
      <c r="T298" s="13"/>
      <c r="U298" s="13"/>
      <c r="V298" s="13"/>
      <c r="W298" s="13">
        <v>0</v>
      </c>
      <c r="X298" s="13">
        <v>1</v>
      </c>
      <c r="Y298" s="13">
        <v>0</v>
      </c>
      <c r="Z298" s="13">
        <v>0</v>
      </c>
      <c r="AA298" s="13">
        <v>1</v>
      </c>
      <c r="AB298" s="13">
        <v>0</v>
      </c>
    </row>
    <row r="299" spans="1:206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223</v>
      </c>
      <c r="F299" s="13">
        <f>ROUND(Source!AQ289,O299)</f>
        <v>0</v>
      </c>
      <c r="G299" s="13" t="s">
        <v>148</v>
      </c>
      <c r="H299" s="13" t="s">
        <v>149</v>
      </c>
      <c r="I299" s="13"/>
      <c r="J299" s="13"/>
      <c r="K299" s="13">
        <v>223</v>
      </c>
      <c r="L299" s="13">
        <v>9</v>
      </c>
      <c r="M299" s="13">
        <v>3</v>
      </c>
      <c r="N299" s="13" t="s">
        <v>3</v>
      </c>
      <c r="O299" s="13">
        <v>2</v>
      </c>
      <c r="P299" s="13">
        <f>ROUND(Source!EI289,O299)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06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229</v>
      </c>
      <c r="F300" s="13">
        <f>ROUND(Source!AZ289,O300)</f>
        <v>0</v>
      </c>
      <c r="G300" s="13" t="s">
        <v>150</v>
      </c>
      <c r="H300" s="13" t="s">
        <v>151</v>
      </c>
      <c r="I300" s="13"/>
      <c r="J300" s="13"/>
      <c r="K300" s="13">
        <v>229</v>
      </c>
      <c r="L300" s="13">
        <v>10</v>
      </c>
      <c r="M300" s="13">
        <v>3</v>
      </c>
      <c r="N300" s="13" t="s">
        <v>3</v>
      </c>
      <c r="O300" s="13">
        <v>2</v>
      </c>
      <c r="P300" s="13">
        <f>ROUND(Source!ER289,O300)</f>
        <v>0</v>
      </c>
      <c r="Q300" s="13"/>
      <c r="R300" s="13"/>
      <c r="S300" s="13"/>
      <c r="T300" s="13"/>
      <c r="U300" s="13"/>
      <c r="V300" s="13"/>
      <c r="W300" s="13">
        <v>0</v>
      </c>
      <c r="X300" s="13">
        <v>1</v>
      </c>
      <c r="Y300" s="13">
        <v>0</v>
      </c>
      <c r="Z300" s="13">
        <v>0</v>
      </c>
      <c r="AA300" s="13">
        <v>1</v>
      </c>
      <c r="AB300" s="13">
        <v>0</v>
      </c>
    </row>
    <row r="301" spans="1:206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203</v>
      </c>
      <c r="F301" s="13">
        <f>ROUND(Source!Q289,O301)</f>
        <v>57.5</v>
      </c>
      <c r="G301" s="13" t="s">
        <v>152</v>
      </c>
      <c r="H301" s="13" t="s">
        <v>153</v>
      </c>
      <c r="I301" s="13"/>
      <c r="J301" s="13"/>
      <c r="K301" s="13">
        <v>203</v>
      </c>
      <c r="L301" s="13">
        <v>11</v>
      </c>
      <c r="M301" s="13">
        <v>3</v>
      </c>
      <c r="N301" s="13" t="s">
        <v>3</v>
      </c>
      <c r="O301" s="13">
        <v>2</v>
      </c>
      <c r="P301" s="13">
        <f>ROUND(Source!DI289,O301)</f>
        <v>583.01</v>
      </c>
      <c r="Q301" s="13"/>
      <c r="R301" s="13"/>
      <c r="S301" s="13"/>
      <c r="T301" s="13"/>
      <c r="U301" s="13"/>
      <c r="V301" s="13"/>
      <c r="W301" s="13">
        <v>57.5</v>
      </c>
      <c r="X301" s="13">
        <v>1</v>
      </c>
      <c r="Y301" s="13">
        <v>57.5</v>
      </c>
      <c r="Z301" s="13">
        <v>583.01</v>
      </c>
      <c r="AA301" s="13">
        <v>1</v>
      </c>
      <c r="AB301" s="13">
        <v>583.01</v>
      </c>
    </row>
    <row r="302" spans="1:206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231</v>
      </c>
      <c r="F302" s="13">
        <f>ROUND(Source!BB289,O302)</f>
        <v>0</v>
      </c>
      <c r="G302" s="13" t="s">
        <v>154</v>
      </c>
      <c r="H302" s="13" t="s">
        <v>155</v>
      </c>
      <c r="I302" s="13"/>
      <c r="J302" s="13"/>
      <c r="K302" s="13">
        <v>231</v>
      </c>
      <c r="L302" s="13">
        <v>12</v>
      </c>
      <c r="M302" s="13">
        <v>3</v>
      </c>
      <c r="N302" s="13" t="s">
        <v>3</v>
      </c>
      <c r="O302" s="13">
        <v>2</v>
      </c>
      <c r="P302" s="13">
        <f>ROUND(Source!ET289,O302)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06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204</v>
      </c>
      <c r="F303" s="13">
        <f>ROUND(Source!R289,O303)</f>
        <v>0.6</v>
      </c>
      <c r="G303" s="13" t="s">
        <v>156</v>
      </c>
      <c r="H303" s="13" t="s">
        <v>157</v>
      </c>
      <c r="I303" s="13"/>
      <c r="J303" s="13"/>
      <c r="K303" s="13">
        <v>204</v>
      </c>
      <c r="L303" s="13">
        <v>13</v>
      </c>
      <c r="M303" s="13">
        <v>3</v>
      </c>
      <c r="N303" s="13" t="s">
        <v>3</v>
      </c>
      <c r="O303" s="13">
        <v>2</v>
      </c>
      <c r="P303" s="13">
        <f>ROUND(Source!DJ289,O303)</f>
        <v>33.81</v>
      </c>
      <c r="Q303" s="13"/>
      <c r="R303" s="13"/>
      <c r="S303" s="13"/>
      <c r="T303" s="13"/>
      <c r="U303" s="13"/>
      <c r="V303" s="13"/>
      <c r="W303" s="13">
        <v>0.6</v>
      </c>
      <c r="X303" s="13">
        <v>1</v>
      </c>
      <c r="Y303" s="13">
        <v>0.6</v>
      </c>
      <c r="Z303" s="13">
        <v>33.81</v>
      </c>
      <c r="AA303" s="13">
        <v>1</v>
      </c>
      <c r="AB303" s="13">
        <v>33.81</v>
      </c>
    </row>
    <row r="304" spans="1:206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205</v>
      </c>
      <c r="F304" s="13">
        <f>ROUND(Source!S289,O304)</f>
        <v>3875.92</v>
      </c>
      <c r="G304" s="13" t="s">
        <v>158</v>
      </c>
      <c r="H304" s="13" t="s">
        <v>159</v>
      </c>
      <c r="I304" s="13"/>
      <c r="J304" s="13"/>
      <c r="K304" s="13">
        <v>205</v>
      </c>
      <c r="L304" s="13">
        <v>14</v>
      </c>
      <c r="M304" s="13">
        <v>3</v>
      </c>
      <c r="N304" s="13" t="s">
        <v>3</v>
      </c>
      <c r="O304" s="13">
        <v>2</v>
      </c>
      <c r="P304" s="13">
        <f>ROUND(Source!DK289,O304)</f>
        <v>218408.09</v>
      </c>
      <c r="Q304" s="13"/>
      <c r="R304" s="13"/>
      <c r="S304" s="13"/>
      <c r="T304" s="13"/>
      <c r="U304" s="13"/>
      <c r="V304" s="13"/>
      <c r="W304" s="13">
        <v>3875.92</v>
      </c>
      <c r="X304" s="13">
        <v>1</v>
      </c>
      <c r="Y304" s="13">
        <v>3875.92</v>
      </c>
      <c r="Z304" s="13">
        <v>218408.09</v>
      </c>
      <c r="AA304" s="13">
        <v>1</v>
      </c>
      <c r="AB304" s="13">
        <v>218408.09</v>
      </c>
    </row>
    <row r="305" spans="1:88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232</v>
      </c>
      <c r="F305" s="13">
        <f>ROUND(Source!BC289,O305)</f>
        <v>0</v>
      </c>
      <c r="G305" s="13" t="s">
        <v>160</v>
      </c>
      <c r="H305" s="13" t="s">
        <v>161</v>
      </c>
      <c r="I305" s="13"/>
      <c r="J305" s="13"/>
      <c r="K305" s="13">
        <v>232</v>
      </c>
      <c r="L305" s="13">
        <v>15</v>
      </c>
      <c r="M305" s="13">
        <v>3</v>
      </c>
      <c r="N305" s="13" t="s">
        <v>3</v>
      </c>
      <c r="O305" s="13">
        <v>2</v>
      </c>
      <c r="P305" s="13">
        <f>ROUND(Source!EU289,O305)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88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214</v>
      </c>
      <c r="F306" s="13">
        <f>ROUND(Source!AS289,O306)</f>
        <v>0</v>
      </c>
      <c r="G306" s="13" t="s">
        <v>162</v>
      </c>
      <c r="H306" s="13" t="s">
        <v>163</v>
      </c>
      <c r="I306" s="13"/>
      <c r="J306" s="13"/>
      <c r="K306" s="13">
        <v>214</v>
      </c>
      <c r="L306" s="13">
        <v>16</v>
      </c>
      <c r="M306" s="13">
        <v>3</v>
      </c>
      <c r="N306" s="13" t="s">
        <v>3</v>
      </c>
      <c r="O306" s="13">
        <v>2</v>
      </c>
      <c r="P306" s="13">
        <f>ROUND(Source!EK289,O306)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88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215</v>
      </c>
      <c r="F307" s="13">
        <f>ROUND(Source!AT289,O307)</f>
        <v>30725.54</v>
      </c>
      <c r="G307" s="13" t="s">
        <v>164</v>
      </c>
      <c r="H307" s="13" t="s">
        <v>165</v>
      </c>
      <c r="I307" s="13"/>
      <c r="J307" s="13"/>
      <c r="K307" s="13">
        <v>215</v>
      </c>
      <c r="L307" s="13">
        <v>17</v>
      </c>
      <c r="M307" s="13">
        <v>3</v>
      </c>
      <c r="N307" s="13" t="s">
        <v>3</v>
      </c>
      <c r="O307" s="13">
        <v>2</v>
      </c>
      <c r="P307" s="13">
        <f>ROUND(Source!EL289,O307)</f>
        <v>663831.59</v>
      </c>
      <c r="Q307" s="13"/>
      <c r="R307" s="13"/>
      <c r="S307" s="13"/>
      <c r="T307" s="13"/>
      <c r="U307" s="13"/>
      <c r="V307" s="13"/>
      <c r="W307" s="13">
        <v>30725.54</v>
      </c>
      <c r="X307" s="13">
        <v>1</v>
      </c>
      <c r="Y307" s="13">
        <v>30725.54</v>
      </c>
      <c r="Z307" s="13">
        <v>663831.59</v>
      </c>
      <c r="AA307" s="13">
        <v>1</v>
      </c>
      <c r="AB307" s="13">
        <v>663831.59</v>
      </c>
    </row>
    <row r="308" spans="1:88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217</v>
      </c>
      <c r="F308" s="13">
        <f>ROUND(Source!AU289,O308)</f>
        <v>0</v>
      </c>
      <c r="G308" s="13" t="s">
        <v>166</v>
      </c>
      <c r="H308" s="13" t="s">
        <v>167</v>
      </c>
      <c r="I308" s="13"/>
      <c r="J308" s="13"/>
      <c r="K308" s="13">
        <v>217</v>
      </c>
      <c r="L308" s="13">
        <v>18</v>
      </c>
      <c r="M308" s="13">
        <v>3</v>
      </c>
      <c r="N308" s="13" t="s">
        <v>3</v>
      </c>
      <c r="O308" s="13">
        <v>2</v>
      </c>
      <c r="P308" s="13">
        <f>ROUND(Source!EM289,O308)</f>
        <v>0</v>
      </c>
      <c r="Q308" s="13"/>
      <c r="R308" s="13"/>
      <c r="S308" s="13"/>
      <c r="T308" s="13"/>
      <c r="U308" s="13"/>
      <c r="V308" s="13"/>
      <c r="W308" s="13">
        <v>0</v>
      </c>
      <c r="X308" s="13">
        <v>1</v>
      </c>
      <c r="Y308" s="13">
        <v>0</v>
      </c>
      <c r="Z308" s="13">
        <v>0</v>
      </c>
      <c r="AA308" s="13">
        <v>1</v>
      </c>
      <c r="AB308" s="13">
        <v>0</v>
      </c>
    </row>
    <row r="309" spans="1:88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230</v>
      </c>
      <c r="F309" s="13">
        <f>ROUND(Source!BA289,O309)</f>
        <v>0</v>
      </c>
      <c r="G309" s="13" t="s">
        <v>168</v>
      </c>
      <c r="H309" s="13" t="s">
        <v>169</v>
      </c>
      <c r="I309" s="13"/>
      <c r="J309" s="13"/>
      <c r="K309" s="13">
        <v>230</v>
      </c>
      <c r="L309" s="13">
        <v>19</v>
      </c>
      <c r="M309" s="13">
        <v>3</v>
      </c>
      <c r="N309" s="13" t="s">
        <v>3</v>
      </c>
      <c r="O309" s="13">
        <v>2</v>
      </c>
      <c r="P309" s="13">
        <f>ROUND(Source!ES289,O309)</f>
        <v>0</v>
      </c>
      <c r="Q309" s="13"/>
      <c r="R309" s="13"/>
      <c r="S309" s="13"/>
      <c r="T309" s="13"/>
      <c r="U309" s="13"/>
      <c r="V309" s="13"/>
      <c r="W309" s="13">
        <v>0</v>
      </c>
      <c r="X309" s="13">
        <v>1</v>
      </c>
      <c r="Y309" s="13">
        <v>0</v>
      </c>
      <c r="Z309" s="13">
        <v>0</v>
      </c>
      <c r="AA309" s="13">
        <v>1</v>
      </c>
      <c r="AB309" s="13">
        <v>0</v>
      </c>
    </row>
    <row r="310" spans="1:88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206</v>
      </c>
      <c r="F310" s="13">
        <f>ROUND(Source!T289,O310)</f>
        <v>0</v>
      </c>
      <c r="G310" s="13" t="s">
        <v>170</v>
      </c>
      <c r="H310" s="13" t="s">
        <v>171</v>
      </c>
      <c r="I310" s="13"/>
      <c r="J310" s="13"/>
      <c r="K310" s="13">
        <v>206</v>
      </c>
      <c r="L310" s="13">
        <v>20</v>
      </c>
      <c r="M310" s="13">
        <v>3</v>
      </c>
      <c r="N310" s="13" t="s">
        <v>3</v>
      </c>
      <c r="O310" s="13">
        <v>2</v>
      </c>
      <c r="P310" s="13">
        <f>ROUND(Source!DL289,O310)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88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207</v>
      </c>
      <c r="F311" s="13">
        <f>Source!U289</f>
        <v>322.14864599999999</v>
      </c>
      <c r="G311" s="13" t="s">
        <v>172</v>
      </c>
      <c r="H311" s="13" t="s">
        <v>173</v>
      </c>
      <c r="I311" s="13"/>
      <c r="J311" s="13"/>
      <c r="K311" s="13">
        <v>207</v>
      </c>
      <c r="L311" s="13">
        <v>21</v>
      </c>
      <c r="M311" s="13">
        <v>3</v>
      </c>
      <c r="N311" s="13" t="s">
        <v>3</v>
      </c>
      <c r="O311" s="13">
        <v>-1</v>
      </c>
      <c r="P311" s="13">
        <f>Source!DM289</f>
        <v>322.14864599999999</v>
      </c>
      <c r="Q311" s="13"/>
      <c r="R311" s="13"/>
      <c r="S311" s="13"/>
      <c r="T311" s="13"/>
      <c r="U311" s="13"/>
      <c r="V311" s="13"/>
      <c r="W311" s="13">
        <v>322.14864599999999</v>
      </c>
      <c r="X311" s="13">
        <v>1</v>
      </c>
      <c r="Y311" s="13">
        <v>322.14864599999999</v>
      </c>
      <c r="Z311" s="13">
        <v>322.14864599999999</v>
      </c>
      <c r="AA311" s="13">
        <v>1</v>
      </c>
      <c r="AB311" s="13">
        <v>322.14864599999999</v>
      </c>
    </row>
    <row r="312" spans="1:88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208</v>
      </c>
      <c r="F312" s="13">
        <f>Source!V289</f>
        <v>0</v>
      </c>
      <c r="G312" s="13" t="s">
        <v>174</v>
      </c>
      <c r="H312" s="13" t="s">
        <v>175</v>
      </c>
      <c r="I312" s="13"/>
      <c r="J312" s="13"/>
      <c r="K312" s="13">
        <v>208</v>
      </c>
      <c r="L312" s="13">
        <v>22</v>
      </c>
      <c r="M312" s="13">
        <v>3</v>
      </c>
      <c r="N312" s="13" t="s">
        <v>3</v>
      </c>
      <c r="O312" s="13">
        <v>-1</v>
      </c>
      <c r="P312" s="13">
        <f>Source!DN289</f>
        <v>0</v>
      </c>
      <c r="Q312" s="13"/>
      <c r="R312" s="13"/>
      <c r="S312" s="13"/>
      <c r="T312" s="13"/>
      <c r="U312" s="13"/>
      <c r="V312" s="13"/>
      <c r="W312" s="13">
        <v>0</v>
      </c>
      <c r="X312" s="13">
        <v>1</v>
      </c>
      <c r="Y312" s="13">
        <v>0</v>
      </c>
      <c r="Z312" s="13">
        <v>0</v>
      </c>
      <c r="AA312" s="13">
        <v>1</v>
      </c>
      <c r="AB312" s="13">
        <v>0</v>
      </c>
    </row>
    <row r="313" spans="1:88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209</v>
      </c>
      <c r="F313" s="13">
        <f>ROUND(Source!W289,O313)</f>
        <v>0</v>
      </c>
      <c r="G313" s="13" t="s">
        <v>176</v>
      </c>
      <c r="H313" s="13" t="s">
        <v>177</v>
      </c>
      <c r="I313" s="13"/>
      <c r="J313" s="13"/>
      <c r="K313" s="13">
        <v>209</v>
      </c>
      <c r="L313" s="13">
        <v>23</v>
      </c>
      <c r="M313" s="13">
        <v>3</v>
      </c>
      <c r="N313" s="13" t="s">
        <v>3</v>
      </c>
      <c r="O313" s="13">
        <v>2</v>
      </c>
      <c r="P313" s="13">
        <f>ROUND(Source!DO289,O313)</f>
        <v>0</v>
      </c>
      <c r="Q313" s="13"/>
      <c r="R313" s="13"/>
      <c r="S313" s="13"/>
      <c r="T313" s="13"/>
      <c r="U313" s="13"/>
      <c r="V313" s="13"/>
      <c r="W313" s="13">
        <v>0</v>
      </c>
      <c r="X313" s="13">
        <v>1</v>
      </c>
      <c r="Y313" s="13">
        <v>0</v>
      </c>
      <c r="Z313" s="13">
        <v>0</v>
      </c>
      <c r="AA313" s="13">
        <v>1</v>
      </c>
      <c r="AB313" s="13">
        <v>0</v>
      </c>
    </row>
    <row r="314" spans="1:88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233</v>
      </c>
      <c r="F314" s="13">
        <f>ROUND(Source!BD289,O314)</f>
        <v>0</v>
      </c>
      <c r="G314" s="13" t="s">
        <v>178</v>
      </c>
      <c r="H314" s="13" t="s">
        <v>179</v>
      </c>
      <c r="I314" s="13"/>
      <c r="J314" s="13"/>
      <c r="K314" s="13">
        <v>233</v>
      </c>
      <c r="L314" s="13">
        <v>24</v>
      </c>
      <c r="M314" s="13">
        <v>3</v>
      </c>
      <c r="N314" s="13" t="s">
        <v>3</v>
      </c>
      <c r="O314" s="13">
        <v>2</v>
      </c>
      <c r="P314" s="13">
        <f>ROUND(Source!EV289,O314)</f>
        <v>0</v>
      </c>
      <c r="Q314" s="13"/>
      <c r="R314" s="13"/>
      <c r="S314" s="13"/>
      <c r="T314" s="13"/>
      <c r="U314" s="13"/>
      <c r="V314" s="13"/>
      <c r="W314" s="13">
        <v>0</v>
      </c>
      <c r="X314" s="13">
        <v>1</v>
      </c>
      <c r="Y314" s="13">
        <v>0</v>
      </c>
      <c r="Z314" s="13">
        <v>0</v>
      </c>
      <c r="AA314" s="13">
        <v>1</v>
      </c>
      <c r="AB314" s="13">
        <v>0</v>
      </c>
    </row>
    <row r="315" spans="1:88" x14ac:dyDescent="0.2">
      <c r="A315" s="13">
        <v>50</v>
      </c>
      <c r="B315" s="13">
        <v>0</v>
      </c>
      <c r="C315" s="13">
        <v>0</v>
      </c>
      <c r="D315" s="13">
        <v>1</v>
      </c>
      <c r="E315" s="13">
        <v>210</v>
      </c>
      <c r="F315" s="13">
        <f>ROUND(Source!X289,O315)</f>
        <v>3529.48</v>
      </c>
      <c r="G315" s="13" t="s">
        <v>180</v>
      </c>
      <c r="H315" s="13" t="s">
        <v>181</v>
      </c>
      <c r="I315" s="13"/>
      <c r="J315" s="13"/>
      <c r="K315" s="13">
        <v>210</v>
      </c>
      <c r="L315" s="13">
        <v>25</v>
      </c>
      <c r="M315" s="13">
        <v>3</v>
      </c>
      <c r="N315" s="13" t="s">
        <v>3</v>
      </c>
      <c r="O315" s="13">
        <v>2</v>
      </c>
      <c r="P315" s="13">
        <f>ROUND(Source!DP289,O315)</f>
        <v>198885.99</v>
      </c>
      <c r="Q315" s="13"/>
      <c r="R315" s="13"/>
      <c r="S315" s="13"/>
      <c r="T315" s="13"/>
      <c r="U315" s="13"/>
      <c r="V315" s="13"/>
      <c r="W315" s="13">
        <v>3529.48</v>
      </c>
      <c r="X315" s="13">
        <v>1</v>
      </c>
      <c r="Y315" s="13">
        <v>3529.48</v>
      </c>
      <c r="Z315" s="13">
        <v>198885.99</v>
      </c>
      <c r="AA315" s="13">
        <v>1</v>
      </c>
      <c r="AB315" s="13">
        <v>198885.99</v>
      </c>
    </row>
    <row r="316" spans="1:88" x14ac:dyDescent="0.2">
      <c r="A316" s="13">
        <v>50</v>
      </c>
      <c r="B316" s="13">
        <v>0</v>
      </c>
      <c r="C316" s="13">
        <v>0</v>
      </c>
      <c r="D316" s="13">
        <v>1</v>
      </c>
      <c r="E316" s="13">
        <v>211</v>
      </c>
      <c r="F316" s="13">
        <f>ROUND(Source!Y289,O316)</f>
        <v>1812.21</v>
      </c>
      <c r="G316" s="13" t="s">
        <v>182</v>
      </c>
      <c r="H316" s="13" t="s">
        <v>183</v>
      </c>
      <c r="I316" s="13"/>
      <c r="J316" s="13"/>
      <c r="K316" s="13">
        <v>211</v>
      </c>
      <c r="L316" s="13">
        <v>26</v>
      </c>
      <c r="M316" s="13">
        <v>3</v>
      </c>
      <c r="N316" s="13" t="s">
        <v>3</v>
      </c>
      <c r="O316" s="13">
        <v>2</v>
      </c>
      <c r="P316" s="13">
        <f>ROUND(Source!DQ289,O316)</f>
        <v>102117.75999999999</v>
      </c>
      <c r="Q316" s="13"/>
      <c r="R316" s="13"/>
      <c r="S316" s="13"/>
      <c r="T316" s="13"/>
      <c r="U316" s="13"/>
      <c r="V316" s="13"/>
      <c r="W316" s="13">
        <v>1812.21</v>
      </c>
      <c r="X316" s="13">
        <v>1</v>
      </c>
      <c r="Y316" s="13">
        <v>1812.21</v>
      </c>
      <c r="Z316" s="13">
        <v>102117.75999999999</v>
      </c>
      <c r="AA316" s="13">
        <v>1</v>
      </c>
      <c r="AB316" s="13">
        <v>102117.75999999999</v>
      </c>
    </row>
    <row r="317" spans="1:88" x14ac:dyDescent="0.2">
      <c r="A317" s="13">
        <v>50</v>
      </c>
      <c r="B317" s="13">
        <v>0</v>
      </c>
      <c r="C317" s="13">
        <v>0</v>
      </c>
      <c r="D317" s="13">
        <v>1</v>
      </c>
      <c r="E317" s="13">
        <v>224</v>
      </c>
      <c r="F317" s="13">
        <f>ROUND(Source!AR289,O317)</f>
        <v>30725.54</v>
      </c>
      <c r="G317" s="13" t="s">
        <v>184</v>
      </c>
      <c r="H317" s="13" t="s">
        <v>185</v>
      </c>
      <c r="I317" s="13"/>
      <c r="J317" s="13"/>
      <c r="K317" s="13">
        <v>224</v>
      </c>
      <c r="L317" s="13">
        <v>27</v>
      </c>
      <c r="M317" s="13">
        <v>3</v>
      </c>
      <c r="N317" s="13" t="s">
        <v>3</v>
      </c>
      <c r="O317" s="13">
        <v>2</v>
      </c>
      <c r="P317" s="13">
        <f>ROUND(Source!EJ289,O317)</f>
        <v>663831.59</v>
      </c>
      <c r="Q317" s="13"/>
      <c r="R317" s="13"/>
      <c r="S317" s="13"/>
      <c r="T317" s="13"/>
      <c r="U317" s="13"/>
      <c r="V317" s="13"/>
      <c r="W317" s="13">
        <v>30725.54</v>
      </c>
      <c r="X317" s="13">
        <v>1</v>
      </c>
      <c r="Y317" s="13">
        <v>30725.54</v>
      </c>
      <c r="Z317" s="13">
        <v>663831.59</v>
      </c>
      <c r="AA317" s="13">
        <v>1</v>
      </c>
      <c r="AB317" s="13">
        <v>663831.59</v>
      </c>
    </row>
    <row r="319" spans="1:88" x14ac:dyDescent="0.2">
      <c r="A319" s="10">
        <v>4</v>
      </c>
      <c r="B319" s="10">
        <v>1</v>
      </c>
      <c r="C319" s="10"/>
      <c r="D319" s="10">
        <f>ROW(A326)</f>
        <v>326</v>
      </c>
      <c r="E319" s="10"/>
      <c r="F319" s="10" t="s">
        <v>41</v>
      </c>
      <c r="G319" s="10" t="s">
        <v>437</v>
      </c>
      <c r="H319" s="10" t="s">
        <v>3</v>
      </c>
      <c r="I319" s="10">
        <v>0</v>
      </c>
      <c r="J319" s="10"/>
      <c r="K319" s="10">
        <v>-1</v>
      </c>
      <c r="L319" s="10"/>
      <c r="M319" s="10" t="s">
        <v>3</v>
      </c>
      <c r="N319" s="10"/>
      <c r="O319" s="10"/>
      <c r="P319" s="10"/>
      <c r="Q319" s="10"/>
      <c r="R319" s="10"/>
      <c r="S319" s="10">
        <v>0</v>
      </c>
      <c r="T319" s="10">
        <v>0</v>
      </c>
      <c r="U319" s="10" t="s">
        <v>3</v>
      </c>
      <c r="V319" s="10">
        <v>0</v>
      </c>
      <c r="W319" s="10"/>
      <c r="X319" s="10"/>
      <c r="Y319" s="10"/>
      <c r="Z319" s="10"/>
      <c r="AA319" s="10"/>
      <c r="AB319" s="10" t="s">
        <v>3</v>
      </c>
      <c r="AC319" s="10" t="s">
        <v>3</v>
      </c>
      <c r="AD319" s="10" t="s">
        <v>3</v>
      </c>
      <c r="AE319" s="10" t="s">
        <v>3</v>
      </c>
      <c r="AF319" s="10" t="s">
        <v>3</v>
      </c>
      <c r="AG319" s="10" t="s">
        <v>3</v>
      </c>
      <c r="AH319" s="10"/>
      <c r="AI319" s="10"/>
      <c r="AJ319" s="10"/>
      <c r="AK319" s="10"/>
      <c r="AL319" s="10"/>
      <c r="AM319" s="10"/>
      <c r="AN319" s="10"/>
      <c r="AO319" s="10"/>
      <c r="AP319" s="10" t="s">
        <v>3</v>
      </c>
      <c r="AQ319" s="10" t="s">
        <v>3</v>
      </c>
      <c r="AR319" s="10" t="s">
        <v>3</v>
      </c>
      <c r="AS319" s="10"/>
      <c r="AT319" s="10"/>
      <c r="AU319" s="10"/>
      <c r="AV319" s="10"/>
      <c r="AW319" s="10"/>
      <c r="AX319" s="10"/>
      <c r="AY319" s="10"/>
      <c r="AZ319" s="10" t="s">
        <v>3</v>
      </c>
      <c r="BA319" s="10"/>
      <c r="BB319" s="10" t="s">
        <v>3</v>
      </c>
      <c r="BC319" s="10" t="s">
        <v>3</v>
      </c>
      <c r="BD319" s="10" t="s">
        <v>3</v>
      </c>
      <c r="BE319" s="10" t="s">
        <v>3</v>
      </c>
      <c r="BF319" s="10" t="s">
        <v>3</v>
      </c>
      <c r="BG319" s="10" t="s">
        <v>3</v>
      </c>
      <c r="BH319" s="10" t="s">
        <v>3</v>
      </c>
      <c r="BI319" s="10" t="s">
        <v>3</v>
      </c>
      <c r="BJ319" s="10" t="s">
        <v>3</v>
      </c>
      <c r="BK319" s="10" t="s">
        <v>3</v>
      </c>
      <c r="BL319" s="10" t="s">
        <v>3</v>
      </c>
      <c r="BM319" s="10" t="s">
        <v>3</v>
      </c>
      <c r="BN319" s="10" t="s">
        <v>3</v>
      </c>
      <c r="BO319" s="10" t="s">
        <v>3</v>
      </c>
      <c r="BP319" s="10" t="s">
        <v>3</v>
      </c>
      <c r="BQ319" s="10"/>
      <c r="BR319" s="10"/>
      <c r="BS319" s="10"/>
      <c r="BT319" s="10"/>
      <c r="BU319" s="10"/>
      <c r="BV319" s="10"/>
      <c r="BW319" s="10"/>
      <c r="BX319" s="10">
        <v>0</v>
      </c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>
        <v>0</v>
      </c>
    </row>
    <row r="321" spans="1:255" x14ac:dyDescent="0.2">
      <c r="A321" s="11">
        <v>52</v>
      </c>
      <c r="B321" s="11">
        <f t="shared" ref="B321:G321" si="354">B326</f>
        <v>1</v>
      </c>
      <c r="C321" s="11">
        <f t="shared" si="354"/>
        <v>4</v>
      </c>
      <c r="D321" s="11">
        <f t="shared" si="354"/>
        <v>319</v>
      </c>
      <c r="E321" s="11">
        <f t="shared" si="354"/>
        <v>0</v>
      </c>
      <c r="F321" s="11" t="str">
        <f t="shared" si="354"/>
        <v>3</v>
      </c>
      <c r="G321" s="11" t="str">
        <f t="shared" si="354"/>
        <v>Запас на складе</v>
      </c>
      <c r="H321" s="11"/>
      <c r="I321" s="11"/>
      <c r="J321" s="11"/>
      <c r="K321" s="11"/>
      <c r="L321" s="11"/>
      <c r="M321" s="11"/>
      <c r="N321" s="11"/>
      <c r="O321" s="11">
        <f t="shared" ref="O321:AT321" si="355">O326</f>
        <v>66271.23</v>
      </c>
      <c r="P321" s="11">
        <f t="shared" si="355"/>
        <v>66271.23</v>
      </c>
      <c r="Q321" s="11">
        <f t="shared" si="355"/>
        <v>0</v>
      </c>
      <c r="R321" s="11">
        <f t="shared" si="355"/>
        <v>0</v>
      </c>
      <c r="S321" s="11">
        <f t="shared" si="355"/>
        <v>0</v>
      </c>
      <c r="T321" s="11">
        <f t="shared" si="355"/>
        <v>0</v>
      </c>
      <c r="U321" s="11">
        <f t="shared" si="355"/>
        <v>0</v>
      </c>
      <c r="V321" s="11">
        <f t="shared" si="355"/>
        <v>0</v>
      </c>
      <c r="W321" s="11">
        <f t="shared" si="355"/>
        <v>0</v>
      </c>
      <c r="X321" s="11">
        <f t="shared" si="355"/>
        <v>0</v>
      </c>
      <c r="Y321" s="11">
        <f t="shared" si="355"/>
        <v>0</v>
      </c>
      <c r="Z321" s="11">
        <f t="shared" si="355"/>
        <v>0</v>
      </c>
      <c r="AA321" s="11">
        <f t="shared" si="355"/>
        <v>0</v>
      </c>
      <c r="AB321" s="11">
        <f t="shared" si="355"/>
        <v>66271.23</v>
      </c>
      <c r="AC321" s="11">
        <f t="shared" si="355"/>
        <v>66271.23</v>
      </c>
      <c r="AD321" s="11">
        <f t="shared" si="355"/>
        <v>0</v>
      </c>
      <c r="AE321" s="11">
        <f t="shared" si="355"/>
        <v>0</v>
      </c>
      <c r="AF321" s="11">
        <f t="shared" si="355"/>
        <v>0</v>
      </c>
      <c r="AG321" s="11">
        <f t="shared" si="355"/>
        <v>0</v>
      </c>
      <c r="AH321" s="11">
        <f t="shared" si="355"/>
        <v>0</v>
      </c>
      <c r="AI321" s="11">
        <f t="shared" si="355"/>
        <v>0</v>
      </c>
      <c r="AJ321" s="11">
        <f t="shared" si="355"/>
        <v>0</v>
      </c>
      <c r="AK321" s="11">
        <f t="shared" si="355"/>
        <v>0</v>
      </c>
      <c r="AL321" s="11">
        <f t="shared" si="355"/>
        <v>0</v>
      </c>
      <c r="AM321" s="11">
        <f t="shared" si="355"/>
        <v>0</v>
      </c>
      <c r="AN321" s="11">
        <f t="shared" si="355"/>
        <v>0</v>
      </c>
      <c r="AO321" s="11">
        <f t="shared" si="355"/>
        <v>0</v>
      </c>
      <c r="AP321" s="11">
        <f t="shared" si="355"/>
        <v>66271.23</v>
      </c>
      <c r="AQ321" s="11">
        <f t="shared" si="355"/>
        <v>0</v>
      </c>
      <c r="AR321" s="11">
        <f t="shared" si="355"/>
        <v>66271.23</v>
      </c>
      <c r="AS321" s="11">
        <f t="shared" si="355"/>
        <v>0</v>
      </c>
      <c r="AT321" s="11">
        <f t="shared" si="355"/>
        <v>0</v>
      </c>
      <c r="AU321" s="11">
        <f t="shared" ref="AU321:BZ321" si="356">AU326</f>
        <v>0</v>
      </c>
      <c r="AV321" s="11">
        <f t="shared" si="356"/>
        <v>66271.23</v>
      </c>
      <c r="AW321" s="11">
        <f t="shared" si="356"/>
        <v>0</v>
      </c>
      <c r="AX321" s="11">
        <f t="shared" si="356"/>
        <v>0</v>
      </c>
      <c r="AY321" s="11">
        <f t="shared" si="356"/>
        <v>0</v>
      </c>
      <c r="AZ321" s="11">
        <f t="shared" si="356"/>
        <v>66271.23</v>
      </c>
      <c r="BA321" s="11">
        <f t="shared" si="356"/>
        <v>0</v>
      </c>
      <c r="BB321" s="11">
        <f t="shared" si="356"/>
        <v>0</v>
      </c>
      <c r="BC321" s="11">
        <f t="shared" si="356"/>
        <v>0</v>
      </c>
      <c r="BD321" s="11">
        <f t="shared" si="356"/>
        <v>0</v>
      </c>
      <c r="BE321" s="11">
        <f t="shared" si="356"/>
        <v>0</v>
      </c>
      <c r="BF321" s="11">
        <f t="shared" si="356"/>
        <v>0</v>
      </c>
      <c r="BG321" s="11">
        <f t="shared" si="356"/>
        <v>0</v>
      </c>
      <c r="BH321" s="11">
        <f t="shared" si="356"/>
        <v>0</v>
      </c>
      <c r="BI321" s="11">
        <f t="shared" si="356"/>
        <v>0</v>
      </c>
      <c r="BJ321" s="11">
        <f t="shared" si="356"/>
        <v>0</v>
      </c>
      <c r="BK321" s="11">
        <f t="shared" si="356"/>
        <v>0</v>
      </c>
      <c r="BL321" s="11">
        <f t="shared" si="356"/>
        <v>0</v>
      </c>
      <c r="BM321" s="11">
        <f t="shared" si="356"/>
        <v>0</v>
      </c>
      <c r="BN321" s="11">
        <f t="shared" si="356"/>
        <v>0</v>
      </c>
      <c r="BO321" s="11">
        <f t="shared" si="356"/>
        <v>0</v>
      </c>
      <c r="BP321" s="11">
        <f t="shared" si="356"/>
        <v>0</v>
      </c>
      <c r="BQ321" s="11">
        <f t="shared" si="356"/>
        <v>0</v>
      </c>
      <c r="BR321" s="11">
        <f t="shared" si="356"/>
        <v>0</v>
      </c>
      <c r="BS321" s="11">
        <f t="shared" si="356"/>
        <v>0</v>
      </c>
      <c r="BT321" s="11">
        <f t="shared" si="356"/>
        <v>0</v>
      </c>
      <c r="BU321" s="11">
        <f t="shared" si="356"/>
        <v>0</v>
      </c>
      <c r="BV321" s="11">
        <f t="shared" si="356"/>
        <v>0</v>
      </c>
      <c r="BW321" s="11">
        <f t="shared" si="356"/>
        <v>0</v>
      </c>
      <c r="BX321" s="11">
        <f t="shared" si="356"/>
        <v>0</v>
      </c>
      <c r="BY321" s="11">
        <f t="shared" si="356"/>
        <v>66271.23</v>
      </c>
      <c r="BZ321" s="11">
        <f t="shared" si="356"/>
        <v>0</v>
      </c>
      <c r="CA321" s="11">
        <f t="shared" ref="CA321:DF321" si="357">CA326</f>
        <v>66271.23</v>
      </c>
      <c r="CB321" s="11">
        <f t="shared" si="357"/>
        <v>0</v>
      </c>
      <c r="CC321" s="11">
        <f t="shared" si="357"/>
        <v>0</v>
      </c>
      <c r="CD321" s="11">
        <f t="shared" si="357"/>
        <v>0</v>
      </c>
      <c r="CE321" s="11">
        <f t="shared" si="357"/>
        <v>66271.23</v>
      </c>
      <c r="CF321" s="11">
        <f t="shared" si="357"/>
        <v>0</v>
      </c>
      <c r="CG321" s="11">
        <f t="shared" si="357"/>
        <v>0</v>
      </c>
      <c r="CH321" s="11">
        <f t="shared" si="357"/>
        <v>0</v>
      </c>
      <c r="CI321" s="11">
        <f t="shared" si="357"/>
        <v>66271.23</v>
      </c>
      <c r="CJ321" s="11">
        <f t="shared" si="357"/>
        <v>0</v>
      </c>
      <c r="CK321" s="11">
        <f t="shared" si="357"/>
        <v>0</v>
      </c>
      <c r="CL321" s="11">
        <f t="shared" si="357"/>
        <v>0</v>
      </c>
      <c r="CM321" s="11">
        <f t="shared" si="357"/>
        <v>0</v>
      </c>
      <c r="CN321" s="11">
        <f t="shared" si="357"/>
        <v>0</v>
      </c>
      <c r="CO321" s="11">
        <f t="shared" si="357"/>
        <v>0</v>
      </c>
      <c r="CP321" s="11">
        <f t="shared" si="357"/>
        <v>0</v>
      </c>
      <c r="CQ321" s="11">
        <f t="shared" si="357"/>
        <v>0</v>
      </c>
      <c r="CR321" s="11">
        <f t="shared" si="357"/>
        <v>0</v>
      </c>
      <c r="CS321" s="11">
        <f t="shared" si="357"/>
        <v>0</v>
      </c>
      <c r="CT321" s="11">
        <f t="shared" si="357"/>
        <v>0</v>
      </c>
      <c r="CU321" s="11">
        <f t="shared" si="357"/>
        <v>0</v>
      </c>
      <c r="CV321" s="11">
        <f t="shared" si="357"/>
        <v>0</v>
      </c>
      <c r="CW321" s="11">
        <f t="shared" si="357"/>
        <v>0</v>
      </c>
      <c r="CX321" s="11">
        <f t="shared" si="357"/>
        <v>0</v>
      </c>
      <c r="CY321" s="11">
        <f t="shared" si="357"/>
        <v>0</v>
      </c>
      <c r="CZ321" s="11">
        <f t="shared" si="357"/>
        <v>0</v>
      </c>
      <c r="DA321" s="11">
        <f t="shared" si="357"/>
        <v>0</v>
      </c>
      <c r="DB321" s="11">
        <f t="shared" si="357"/>
        <v>0</v>
      </c>
      <c r="DC321" s="11">
        <f t="shared" si="357"/>
        <v>0</v>
      </c>
      <c r="DD321" s="11">
        <f t="shared" si="357"/>
        <v>0</v>
      </c>
      <c r="DE321" s="11">
        <f t="shared" si="357"/>
        <v>0</v>
      </c>
      <c r="DF321" s="11">
        <f t="shared" si="357"/>
        <v>0</v>
      </c>
      <c r="DG321" s="12">
        <f t="shared" ref="DG321:EL321" si="358">DG326</f>
        <v>501673.21</v>
      </c>
      <c r="DH321" s="12">
        <f t="shared" si="358"/>
        <v>501673.21</v>
      </c>
      <c r="DI321" s="12">
        <f t="shared" si="358"/>
        <v>0</v>
      </c>
      <c r="DJ321" s="12">
        <f t="shared" si="358"/>
        <v>0</v>
      </c>
      <c r="DK321" s="12">
        <f t="shared" si="358"/>
        <v>0</v>
      </c>
      <c r="DL321" s="12">
        <f t="shared" si="358"/>
        <v>0</v>
      </c>
      <c r="DM321" s="12">
        <f t="shared" si="358"/>
        <v>0</v>
      </c>
      <c r="DN321" s="12">
        <f t="shared" si="358"/>
        <v>0</v>
      </c>
      <c r="DO321" s="12">
        <f t="shared" si="358"/>
        <v>0</v>
      </c>
      <c r="DP321" s="12">
        <f t="shared" si="358"/>
        <v>0</v>
      </c>
      <c r="DQ321" s="12">
        <f t="shared" si="358"/>
        <v>0</v>
      </c>
      <c r="DR321" s="12">
        <f t="shared" si="358"/>
        <v>0</v>
      </c>
      <c r="DS321" s="12">
        <f t="shared" si="358"/>
        <v>0</v>
      </c>
      <c r="DT321" s="12">
        <f t="shared" si="358"/>
        <v>501673.21</v>
      </c>
      <c r="DU321" s="12">
        <f t="shared" si="358"/>
        <v>501673.21</v>
      </c>
      <c r="DV321" s="12">
        <f t="shared" si="358"/>
        <v>0</v>
      </c>
      <c r="DW321" s="12">
        <f t="shared" si="358"/>
        <v>0</v>
      </c>
      <c r="DX321" s="12">
        <f t="shared" si="358"/>
        <v>0</v>
      </c>
      <c r="DY321" s="12">
        <f t="shared" si="358"/>
        <v>0</v>
      </c>
      <c r="DZ321" s="12">
        <f t="shared" si="358"/>
        <v>0</v>
      </c>
      <c r="EA321" s="12">
        <f t="shared" si="358"/>
        <v>0</v>
      </c>
      <c r="EB321" s="12">
        <f t="shared" si="358"/>
        <v>0</v>
      </c>
      <c r="EC321" s="12">
        <f t="shared" si="358"/>
        <v>0</v>
      </c>
      <c r="ED321" s="12">
        <f t="shared" si="358"/>
        <v>0</v>
      </c>
      <c r="EE321" s="12">
        <f t="shared" si="358"/>
        <v>0</v>
      </c>
      <c r="EF321" s="12">
        <f t="shared" si="358"/>
        <v>0</v>
      </c>
      <c r="EG321" s="12">
        <f t="shared" si="358"/>
        <v>0</v>
      </c>
      <c r="EH321" s="12">
        <f t="shared" si="358"/>
        <v>501673.21</v>
      </c>
      <c r="EI321" s="12">
        <f t="shared" si="358"/>
        <v>0</v>
      </c>
      <c r="EJ321" s="12">
        <f t="shared" si="358"/>
        <v>501673.21</v>
      </c>
      <c r="EK321" s="12">
        <f t="shared" si="358"/>
        <v>0</v>
      </c>
      <c r="EL321" s="12">
        <f t="shared" si="358"/>
        <v>0</v>
      </c>
      <c r="EM321" s="12">
        <f t="shared" ref="EM321:FR321" si="359">EM326</f>
        <v>0</v>
      </c>
      <c r="EN321" s="12">
        <f t="shared" si="359"/>
        <v>501673.21</v>
      </c>
      <c r="EO321" s="12">
        <f t="shared" si="359"/>
        <v>0</v>
      </c>
      <c r="EP321" s="12">
        <f t="shared" si="359"/>
        <v>0</v>
      </c>
      <c r="EQ321" s="12">
        <f t="shared" si="359"/>
        <v>0</v>
      </c>
      <c r="ER321" s="12">
        <f t="shared" si="359"/>
        <v>501673.21</v>
      </c>
      <c r="ES321" s="12">
        <f t="shared" si="359"/>
        <v>0</v>
      </c>
      <c r="ET321" s="12">
        <f t="shared" si="359"/>
        <v>0</v>
      </c>
      <c r="EU321" s="12">
        <f t="shared" si="359"/>
        <v>0</v>
      </c>
      <c r="EV321" s="12">
        <f t="shared" si="359"/>
        <v>0</v>
      </c>
      <c r="EW321" s="12">
        <f t="shared" si="359"/>
        <v>0</v>
      </c>
      <c r="EX321" s="12">
        <f t="shared" si="359"/>
        <v>0</v>
      </c>
      <c r="EY321" s="12">
        <f t="shared" si="359"/>
        <v>0</v>
      </c>
      <c r="EZ321" s="12">
        <f t="shared" si="359"/>
        <v>0</v>
      </c>
      <c r="FA321" s="12">
        <f t="shared" si="359"/>
        <v>0</v>
      </c>
      <c r="FB321" s="12">
        <f t="shared" si="359"/>
        <v>0</v>
      </c>
      <c r="FC321" s="12">
        <f t="shared" si="359"/>
        <v>0</v>
      </c>
      <c r="FD321" s="12">
        <f t="shared" si="359"/>
        <v>0</v>
      </c>
      <c r="FE321" s="12">
        <f t="shared" si="359"/>
        <v>0</v>
      </c>
      <c r="FF321" s="12">
        <f t="shared" si="359"/>
        <v>0</v>
      </c>
      <c r="FG321" s="12">
        <f t="shared" si="359"/>
        <v>0</v>
      </c>
      <c r="FH321" s="12">
        <f t="shared" si="359"/>
        <v>0</v>
      </c>
      <c r="FI321" s="12">
        <f t="shared" si="359"/>
        <v>0</v>
      </c>
      <c r="FJ321" s="12">
        <f t="shared" si="359"/>
        <v>0</v>
      </c>
      <c r="FK321" s="12">
        <f t="shared" si="359"/>
        <v>0</v>
      </c>
      <c r="FL321" s="12">
        <f t="shared" si="359"/>
        <v>0</v>
      </c>
      <c r="FM321" s="12">
        <f t="shared" si="359"/>
        <v>0</v>
      </c>
      <c r="FN321" s="12">
        <f t="shared" si="359"/>
        <v>0</v>
      </c>
      <c r="FO321" s="12">
        <f t="shared" si="359"/>
        <v>0</v>
      </c>
      <c r="FP321" s="12">
        <f t="shared" si="359"/>
        <v>0</v>
      </c>
      <c r="FQ321" s="12">
        <f t="shared" si="359"/>
        <v>501673.21</v>
      </c>
      <c r="FR321" s="12">
        <f t="shared" si="359"/>
        <v>0</v>
      </c>
      <c r="FS321" s="12">
        <f t="shared" ref="FS321:GX321" si="360">FS326</f>
        <v>501673.21</v>
      </c>
      <c r="FT321" s="12">
        <f t="shared" si="360"/>
        <v>0</v>
      </c>
      <c r="FU321" s="12">
        <f t="shared" si="360"/>
        <v>0</v>
      </c>
      <c r="FV321" s="12">
        <f t="shared" si="360"/>
        <v>0</v>
      </c>
      <c r="FW321" s="12">
        <f t="shared" si="360"/>
        <v>501673.21</v>
      </c>
      <c r="FX321" s="12">
        <f t="shared" si="360"/>
        <v>0</v>
      </c>
      <c r="FY321" s="12">
        <f t="shared" si="360"/>
        <v>0</v>
      </c>
      <c r="FZ321" s="12">
        <f t="shared" si="360"/>
        <v>0</v>
      </c>
      <c r="GA321" s="12">
        <f t="shared" si="360"/>
        <v>501673.21</v>
      </c>
      <c r="GB321" s="12">
        <f t="shared" si="360"/>
        <v>0</v>
      </c>
      <c r="GC321" s="12">
        <f t="shared" si="360"/>
        <v>0</v>
      </c>
      <c r="GD321" s="12">
        <f t="shared" si="360"/>
        <v>0</v>
      </c>
      <c r="GE321" s="12">
        <f t="shared" si="360"/>
        <v>0</v>
      </c>
      <c r="GF321" s="12">
        <f t="shared" si="360"/>
        <v>0</v>
      </c>
      <c r="GG321" s="12">
        <f t="shared" si="360"/>
        <v>0</v>
      </c>
      <c r="GH321" s="12">
        <f t="shared" si="360"/>
        <v>0</v>
      </c>
      <c r="GI321" s="12">
        <f t="shared" si="360"/>
        <v>0</v>
      </c>
      <c r="GJ321" s="12">
        <f t="shared" si="360"/>
        <v>0</v>
      </c>
      <c r="GK321" s="12">
        <f t="shared" si="360"/>
        <v>0</v>
      </c>
      <c r="GL321" s="12">
        <f t="shared" si="360"/>
        <v>0</v>
      </c>
      <c r="GM321" s="12">
        <f t="shared" si="360"/>
        <v>0</v>
      </c>
      <c r="GN321" s="12">
        <f t="shared" si="360"/>
        <v>0</v>
      </c>
      <c r="GO321" s="12">
        <f t="shared" si="360"/>
        <v>0</v>
      </c>
      <c r="GP321" s="12">
        <f t="shared" si="360"/>
        <v>0</v>
      </c>
      <c r="GQ321" s="12">
        <f t="shared" si="360"/>
        <v>0</v>
      </c>
      <c r="GR321" s="12">
        <f t="shared" si="360"/>
        <v>0</v>
      </c>
      <c r="GS321" s="12">
        <f t="shared" si="360"/>
        <v>0</v>
      </c>
      <c r="GT321" s="12">
        <f t="shared" si="360"/>
        <v>0</v>
      </c>
      <c r="GU321" s="12">
        <f t="shared" si="360"/>
        <v>0</v>
      </c>
      <c r="GV321" s="12">
        <f t="shared" si="360"/>
        <v>0</v>
      </c>
      <c r="GW321" s="12">
        <f t="shared" si="360"/>
        <v>0</v>
      </c>
      <c r="GX321" s="12">
        <f t="shared" si="360"/>
        <v>0</v>
      </c>
    </row>
    <row r="323" spans="1:255" x14ac:dyDescent="0.2">
      <c r="A323" s="2">
        <v>17</v>
      </c>
      <c r="B323" s="2">
        <v>1</v>
      </c>
      <c r="C323" s="2"/>
      <c r="D323" s="2"/>
      <c r="E323" s="2" t="s">
        <v>438</v>
      </c>
      <c r="F323" s="2" t="s">
        <v>266</v>
      </c>
      <c r="G323" s="2" t="s">
        <v>267</v>
      </c>
      <c r="H323" s="2" t="s">
        <v>192</v>
      </c>
      <c r="I323" s="2">
        <v>3</v>
      </c>
      <c r="J323" s="2">
        <v>0</v>
      </c>
      <c r="K323" s="2">
        <v>3</v>
      </c>
      <c r="L323" s="2"/>
      <c r="M323" s="2"/>
      <c r="N323" s="2"/>
      <c r="O323" s="2">
        <f>ROUND(CP323,2)</f>
        <v>66271.23</v>
      </c>
      <c r="P323" s="2">
        <f>ROUND((ROUND((AC323*AW323*I323),2)*BC323),2)</f>
        <v>66271.23</v>
      </c>
      <c r="Q323" s="2">
        <f>(ROUND((ROUND(((ET323)*AV323*I323),2)*BB323),2)+ROUND((ROUND(((AE323-(EU323))*AV323*I323),2)*BS323),2))</f>
        <v>0</v>
      </c>
      <c r="R323" s="2">
        <f>(ROUND((ROUND(((EU323)*AV323*I323),2)*BS323),2)+ROUND((ROUND(((AE323-(EU323))*AV323*I323),2)*BS323),2))</f>
        <v>0</v>
      </c>
      <c r="S323" s="2">
        <f>ROUND((ROUND((AF323*AV323*I323),2)*BA323),2)</f>
        <v>0</v>
      </c>
      <c r="T323" s="2">
        <f>ROUND(CU323*I323,2)</f>
        <v>0</v>
      </c>
      <c r="U323" s="2">
        <f>CV323*I323</f>
        <v>0</v>
      </c>
      <c r="V323" s="2">
        <f>CW323*I323</f>
        <v>0</v>
      </c>
      <c r="W323" s="2">
        <f>ROUND(CX323*I323,2)</f>
        <v>0</v>
      </c>
      <c r="X323" s="2">
        <f>(ROUND((((S323+ROUND((ROUND(((EU323)*AV323*I323),2)*BS323),2))*AT323)/100),2)+ROUND(((ROUND((ROUND(((AE323-(EU323))*AV323*I323),2)*BS323),2)*AT323)/100),2))</f>
        <v>0</v>
      </c>
      <c r="Y323" s="2">
        <f>(ROUND((((S323+ROUND((ROUND(((EU323)*AV323*I323),2)*BS323),2))*AU323)/100),2)+ROUND(((ROUND((ROUND(((AE323-(EU323))*AV323*I323),2)*BS323),2)*AU323)/100),2))</f>
        <v>0</v>
      </c>
      <c r="Z323" s="2"/>
      <c r="AA323" s="2">
        <v>57248835</v>
      </c>
      <c r="AB323" s="2">
        <f>ROUND((AC323+AD323+AF323),6)</f>
        <v>22090.41</v>
      </c>
      <c r="AC323" s="2">
        <f>ROUND((ES323),6)</f>
        <v>22090.41</v>
      </c>
      <c r="AD323" s="2">
        <f>ROUND((((ET323)-(EU323))+AE323),6)</f>
        <v>0</v>
      </c>
      <c r="AE323" s="2">
        <f>ROUND((EU323),6)</f>
        <v>0</v>
      </c>
      <c r="AF323" s="2">
        <f>ROUND((EV323),6)</f>
        <v>0</v>
      </c>
      <c r="AG323" s="2">
        <f>ROUND((AP323),6)</f>
        <v>0</v>
      </c>
      <c r="AH323" s="2">
        <f>(EW323)</f>
        <v>0</v>
      </c>
      <c r="AI323" s="2">
        <f>(EX323)</f>
        <v>0</v>
      </c>
      <c r="AJ323" s="2">
        <f>(AS323)</f>
        <v>0</v>
      </c>
      <c r="AK323" s="2">
        <v>22090.409999999996</v>
      </c>
      <c r="AL323" s="2">
        <v>22090.409999999996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1</v>
      </c>
      <c r="AW323" s="2">
        <v>1</v>
      </c>
      <c r="AX323" s="2"/>
      <c r="AY323" s="2"/>
      <c r="AZ323" s="2">
        <v>1</v>
      </c>
      <c r="BA323" s="2">
        <v>1</v>
      </c>
      <c r="BB323" s="2">
        <v>1</v>
      </c>
      <c r="BC323" s="2">
        <v>1</v>
      </c>
      <c r="BD323" s="2" t="s">
        <v>3</v>
      </c>
      <c r="BE323" s="2" t="s">
        <v>3</v>
      </c>
      <c r="BF323" s="2" t="s">
        <v>3</v>
      </c>
      <c r="BG323" s="2" t="s">
        <v>3</v>
      </c>
      <c r="BH323" s="2">
        <v>3</v>
      </c>
      <c r="BI323" s="2">
        <v>3</v>
      </c>
      <c r="BJ323" s="2" t="s">
        <v>266</v>
      </c>
      <c r="BK323" s="2"/>
      <c r="BL323" s="2"/>
      <c r="BM323" s="2">
        <v>400007</v>
      </c>
      <c r="BN323" s="2">
        <v>0</v>
      </c>
      <c r="BO323" s="2" t="s">
        <v>3</v>
      </c>
      <c r="BP323" s="2">
        <v>0</v>
      </c>
      <c r="BQ323" s="2">
        <v>214</v>
      </c>
      <c r="BR323" s="2">
        <v>0</v>
      </c>
      <c r="BS323" s="2">
        <v>1</v>
      </c>
      <c r="BT323" s="2">
        <v>1</v>
      </c>
      <c r="BU323" s="2">
        <v>1</v>
      </c>
      <c r="BV323" s="2">
        <v>1</v>
      </c>
      <c r="BW323" s="2">
        <v>1</v>
      </c>
      <c r="BX323" s="2">
        <v>1</v>
      </c>
      <c r="BY323" s="2" t="s">
        <v>3</v>
      </c>
      <c r="BZ323" s="2">
        <v>0</v>
      </c>
      <c r="CA323" s="2">
        <v>0</v>
      </c>
      <c r="CB323" s="2" t="s">
        <v>3</v>
      </c>
      <c r="CC323" s="2"/>
      <c r="CD323" s="2"/>
      <c r="CE323" s="2">
        <v>1566</v>
      </c>
      <c r="CF323" s="2">
        <v>0</v>
      </c>
      <c r="CG323" s="2">
        <v>0</v>
      </c>
      <c r="CH323" s="2"/>
      <c r="CI323" s="2"/>
      <c r="CJ323" s="2"/>
      <c r="CK323" s="2"/>
      <c r="CL323" s="2"/>
      <c r="CM323" s="2">
        <v>0</v>
      </c>
      <c r="CN323" s="2" t="s">
        <v>3</v>
      </c>
      <c r="CO323" s="2">
        <v>0</v>
      </c>
      <c r="CP323" s="2">
        <f>(P323+Q323+S323)</f>
        <v>66271.23</v>
      </c>
      <c r="CQ323" s="2">
        <f>ROUND((ROUND((AC323*AW323*1),2)*BC323),2)</f>
        <v>22090.41</v>
      </c>
      <c r="CR323" s="2">
        <f>(ROUND((ROUND(((ET323)*AV323*1),2)*BB323),2)+ROUND((ROUND(((AE323-(EU323))*AV323*1),2)*BS323),2))</f>
        <v>0</v>
      </c>
      <c r="CS323" s="2">
        <f>(ROUND((ROUND(((EU323)*AV323*1),2)*BS323),2)+ROUND((ROUND(((AE323-(EU323))*AV323*1),2)*BS323),2))</f>
        <v>0</v>
      </c>
      <c r="CT323" s="2">
        <f>ROUND((ROUND((AF323*AV323*1),2)*BA323),2)</f>
        <v>0</v>
      </c>
      <c r="CU323" s="2">
        <f>AG323</f>
        <v>0</v>
      </c>
      <c r="CV323" s="2">
        <f>(AH323*AV323)</f>
        <v>0</v>
      </c>
      <c r="CW323" s="2">
        <f>AI323</f>
        <v>0</v>
      </c>
      <c r="CX323" s="2">
        <f>AJ323</f>
        <v>0</v>
      </c>
      <c r="CY323" s="2">
        <f>(ROUND((((S323+ROUND((ROUND(((EU323)*AV323*1),2)*BS323),2))*AT323)/100),2)+ROUND(((ROUND((ROUND(((AE323-(EU323))*AV323*1),2)*BS323),2)*AT323)/100),2))</f>
        <v>0</v>
      </c>
      <c r="CZ323" s="2">
        <f>(ROUND((((S323+ROUND((ROUND(((EU323)*AV323*1),2)*BS323),2))*AU323)/100),2)+ROUND(((ROUND((ROUND(((AE323-(EU323))*AV323*1),2)*BS323),2)*AU323)/100),2))</f>
        <v>0</v>
      </c>
      <c r="DA323" s="2"/>
      <c r="DB323" s="2"/>
      <c r="DC323" s="2" t="s">
        <v>3</v>
      </c>
      <c r="DD323" s="2" t="s">
        <v>3</v>
      </c>
      <c r="DE323" s="2" t="s">
        <v>3</v>
      </c>
      <c r="DF323" s="2" t="s">
        <v>3</v>
      </c>
      <c r="DG323" s="2" t="s">
        <v>3</v>
      </c>
      <c r="DH323" s="2" t="s">
        <v>3</v>
      </c>
      <c r="DI323" s="2" t="s">
        <v>3</v>
      </c>
      <c r="DJ323" s="2" t="s">
        <v>3</v>
      </c>
      <c r="DK323" s="2" t="s">
        <v>3</v>
      </c>
      <c r="DL323" s="2" t="s">
        <v>3</v>
      </c>
      <c r="DM323" s="2" t="s">
        <v>3</v>
      </c>
      <c r="DN323" s="2">
        <v>0</v>
      </c>
      <c r="DO323" s="2">
        <v>0</v>
      </c>
      <c r="DP323" s="2">
        <v>1</v>
      </c>
      <c r="DQ323" s="2">
        <v>1</v>
      </c>
      <c r="DR323" s="2"/>
      <c r="DS323" s="2"/>
      <c r="DT323" s="2"/>
      <c r="DU323" s="2">
        <v>1013</v>
      </c>
      <c r="DV323" s="2" t="s">
        <v>192</v>
      </c>
      <c r="DW323" s="2" t="s">
        <v>192</v>
      </c>
      <c r="DX323" s="2">
        <v>1</v>
      </c>
      <c r="DY323" s="2"/>
      <c r="DZ323" s="2" t="s">
        <v>3</v>
      </c>
      <c r="EA323" s="2" t="s">
        <v>3</v>
      </c>
      <c r="EB323" s="2" t="s">
        <v>3</v>
      </c>
      <c r="EC323" s="2" t="s">
        <v>3</v>
      </c>
      <c r="ED323" s="2"/>
      <c r="EE323" s="2">
        <v>57248792</v>
      </c>
      <c r="EF323" s="2">
        <v>214</v>
      </c>
      <c r="EG323" s="2" t="s">
        <v>193</v>
      </c>
      <c r="EH323" s="2">
        <v>0</v>
      </c>
      <c r="EI323" s="2" t="s">
        <v>3</v>
      </c>
      <c r="EJ323" s="2">
        <v>3</v>
      </c>
      <c r="EK323" s="2">
        <v>400007</v>
      </c>
      <c r="EL323" s="2" t="s">
        <v>193</v>
      </c>
      <c r="EM323" s="2" t="s">
        <v>194</v>
      </c>
      <c r="EN323" s="2"/>
      <c r="EO323" s="2" t="s">
        <v>3</v>
      </c>
      <c r="EP323" s="2"/>
      <c r="EQ323" s="2">
        <v>131088</v>
      </c>
      <c r="ER323" s="2">
        <v>0</v>
      </c>
      <c r="ES323" s="2">
        <v>22090.409999999996</v>
      </c>
      <c r="ET323" s="2">
        <v>0</v>
      </c>
      <c r="EU323" s="2">
        <v>0</v>
      </c>
      <c r="EV323" s="2">
        <v>0</v>
      </c>
      <c r="EW323" s="2">
        <v>0</v>
      </c>
      <c r="EX323" s="2">
        <v>0</v>
      </c>
      <c r="EY323" s="2">
        <v>0</v>
      </c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>
        <v>0</v>
      </c>
      <c r="FR323" s="2">
        <f>P323</f>
        <v>66271.23</v>
      </c>
      <c r="FS323" s="2">
        <v>0</v>
      </c>
      <c r="FT323" s="2"/>
      <c r="FU323" s="2"/>
      <c r="FV323" s="2"/>
      <c r="FW323" s="2"/>
      <c r="FX323" s="2">
        <v>0</v>
      </c>
      <c r="FY323" s="2">
        <v>0</v>
      </c>
      <c r="FZ323" s="2"/>
      <c r="GA323" s="2" t="s">
        <v>268</v>
      </c>
      <c r="GB323" s="2"/>
      <c r="GC323" s="2"/>
      <c r="GD323" s="2">
        <v>1</v>
      </c>
      <c r="GE323" s="2"/>
      <c r="GF323" s="2">
        <v>-846992528</v>
      </c>
      <c r="GG323" s="2">
        <v>2</v>
      </c>
      <c r="GH323" s="2">
        <v>4</v>
      </c>
      <c r="GI323" s="2">
        <v>-2</v>
      </c>
      <c r="GJ323" s="2">
        <v>0</v>
      </c>
      <c r="GK323" s="2">
        <v>0</v>
      </c>
      <c r="GL323" s="2">
        <f>ROUND(IF(AND(BH323=3,BI323=3,FS323&lt;&gt;0),P323,0),2)</f>
        <v>0</v>
      </c>
      <c r="GM323" s="2">
        <f>ROUND(O323+X323+Y323,2)+GX323</f>
        <v>66271.23</v>
      </c>
      <c r="GN323" s="2">
        <f>IF(OR(BI323=0,BI323=1),GM323-GX323,0)</f>
        <v>0</v>
      </c>
      <c r="GO323" s="2">
        <f>IF(BI323=2,GM323-GX323,0)</f>
        <v>0</v>
      </c>
      <c r="GP323" s="2">
        <f>IF(BI323=4,GM323-GX323,0)</f>
        <v>0</v>
      </c>
      <c r="GQ323" s="2"/>
      <c r="GR323" s="2">
        <v>1</v>
      </c>
      <c r="GS323" s="2">
        <v>2</v>
      </c>
      <c r="GT323" s="2">
        <v>0</v>
      </c>
      <c r="GU323" s="2" t="s">
        <v>3</v>
      </c>
      <c r="GV323" s="2">
        <f>ROUND((GT323),6)</f>
        <v>0</v>
      </c>
      <c r="GW323" s="2">
        <v>1</v>
      </c>
      <c r="GX323" s="2">
        <f>ROUND(HC323*I323,2)</f>
        <v>0</v>
      </c>
      <c r="GY323" s="2"/>
      <c r="GZ323" s="2"/>
      <c r="HA323" s="2">
        <v>0</v>
      </c>
      <c r="HB323" s="2">
        <v>0</v>
      </c>
      <c r="HC323" s="2">
        <f>GV323*GW323</f>
        <v>0</v>
      </c>
      <c r="HD323" s="2"/>
      <c r="HE323" s="2" t="s">
        <v>41</v>
      </c>
      <c r="HF323" s="2" t="s">
        <v>196</v>
      </c>
      <c r="HG323" s="2"/>
      <c r="HH323" s="2"/>
      <c r="HI323" s="2"/>
      <c r="HJ323" s="2"/>
      <c r="HK323" s="2"/>
      <c r="HL323" s="2"/>
      <c r="HM323" s="2" t="s">
        <v>3</v>
      </c>
      <c r="HN323" s="2" t="s">
        <v>3</v>
      </c>
      <c r="HO323" s="2" t="s">
        <v>3</v>
      </c>
      <c r="HP323" s="2" t="s">
        <v>3</v>
      </c>
      <c r="HQ323" s="2" t="s">
        <v>3</v>
      </c>
      <c r="HR323" s="2"/>
      <c r="HS323" s="2">
        <v>0</v>
      </c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>
        <v>0</v>
      </c>
      <c r="IL323" s="2"/>
      <c r="IM323" s="2"/>
      <c r="IN323" s="2"/>
      <c r="IO323" s="2"/>
      <c r="IP323" s="2"/>
      <c r="IQ323" s="2"/>
      <c r="IR323" s="2"/>
      <c r="IS323" s="2"/>
      <c r="IT323" s="2"/>
      <c r="IU323" s="2"/>
    </row>
    <row r="324" spans="1:255" x14ac:dyDescent="0.2">
      <c r="A324" s="3">
        <v>17</v>
      </c>
      <c r="B324" s="3">
        <v>1</v>
      </c>
      <c r="E324" s="3" t="s">
        <v>438</v>
      </c>
      <c r="F324" s="3" t="s">
        <v>266</v>
      </c>
      <c r="G324" s="3" t="s">
        <v>267</v>
      </c>
      <c r="H324" s="3" t="s">
        <v>192</v>
      </c>
      <c r="I324" s="3">
        <v>3</v>
      </c>
      <c r="J324" s="3">
        <v>0</v>
      </c>
      <c r="K324" s="3">
        <v>3</v>
      </c>
      <c r="O324" s="3">
        <f>ROUND(CP324,2)</f>
        <v>501673.21</v>
      </c>
      <c r="P324" s="3">
        <f>ROUND((ROUND((AC324*AW324*I324),2)*BC324),2)</f>
        <v>501673.21</v>
      </c>
      <c r="Q324" s="3">
        <f>(ROUND((ROUND(((ET324)*AV324*I324),2)*BB324),2)+ROUND((ROUND(((AE324-(EU324))*AV324*I324),2)*BS324),2))</f>
        <v>0</v>
      </c>
      <c r="R324" s="3">
        <f>(ROUND((ROUND(((EU324)*AV324*I324),2)*BS324),2)+ROUND((ROUND(((AE324-(EU324))*AV324*I324),2)*BS324),2))</f>
        <v>0</v>
      </c>
      <c r="S324" s="3">
        <f>ROUND((ROUND((AF324*AV324*I324),2)*BA324),2)</f>
        <v>0</v>
      </c>
      <c r="T324" s="3">
        <f>ROUND(CU324*I324,2)</f>
        <v>0</v>
      </c>
      <c r="U324" s="3">
        <f>CV324*I324</f>
        <v>0</v>
      </c>
      <c r="V324" s="3">
        <f>CW324*I324</f>
        <v>0</v>
      </c>
      <c r="W324" s="3">
        <f>ROUND(CX324*I324,2)</f>
        <v>0</v>
      </c>
      <c r="X324" s="3">
        <f>(ROUND((((S324+ROUND((ROUND(((EU324)*AV324*I324),2)*BS324),2))*AT324)/100),2)+ROUND(((ROUND((ROUND(((AE324-(EU324))*AV324*I324),2)*BS324),2)*AT324)/100),2))</f>
        <v>0</v>
      </c>
      <c r="Y324" s="3">
        <f>(ROUND((((S324+ROUND((ROUND(((EU324)*AV324*I324),2)*BS324),2))*AU324)/100),2)+ROUND(((ROUND((ROUND(((AE324-(EU324))*AV324*I324),2)*BS324),2)*AU324)/100),2))</f>
        <v>0</v>
      </c>
      <c r="AA324" s="3">
        <v>57248837</v>
      </c>
      <c r="AB324" s="3">
        <f>ROUND((AC324+AD324+AF324),6)</f>
        <v>22090.41</v>
      </c>
      <c r="AC324" s="3">
        <f>ROUND((ES324),6)</f>
        <v>22090.41</v>
      </c>
      <c r="AD324" s="3">
        <f>ROUND((((ET324)-(EU324))+AE324),6)</f>
        <v>0</v>
      </c>
      <c r="AE324" s="3">
        <f>ROUND((EU324),6)</f>
        <v>0</v>
      </c>
      <c r="AF324" s="3">
        <f>ROUND((EV324),6)</f>
        <v>0</v>
      </c>
      <c r="AG324" s="3">
        <f>ROUND((AP324),6)</f>
        <v>0</v>
      </c>
      <c r="AH324" s="3">
        <f>(EW324)</f>
        <v>0</v>
      </c>
      <c r="AI324" s="3">
        <f>(EX324)</f>
        <v>0</v>
      </c>
      <c r="AJ324" s="3">
        <f>(AS324)</f>
        <v>0</v>
      </c>
      <c r="AK324" s="3">
        <v>22090.409999999996</v>
      </c>
      <c r="AL324" s="3">
        <v>22090.409999999996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1</v>
      </c>
      <c r="AW324" s="3">
        <v>1</v>
      </c>
      <c r="AZ324" s="3">
        <v>1</v>
      </c>
      <c r="BA324" s="3">
        <v>1</v>
      </c>
      <c r="BB324" s="3">
        <v>1</v>
      </c>
      <c r="BC324" s="3">
        <v>7.57</v>
      </c>
      <c r="BD324" s="3" t="s">
        <v>3</v>
      </c>
      <c r="BE324" s="3" t="s">
        <v>3</v>
      </c>
      <c r="BF324" s="3" t="s">
        <v>3</v>
      </c>
      <c r="BG324" s="3" t="s">
        <v>3</v>
      </c>
      <c r="BH324" s="3">
        <v>3</v>
      </c>
      <c r="BI324" s="3">
        <v>3</v>
      </c>
      <c r="BJ324" s="3" t="s">
        <v>266</v>
      </c>
      <c r="BM324" s="3">
        <v>400007</v>
      </c>
      <c r="BN324" s="3">
        <v>0</v>
      </c>
      <c r="BO324" s="3" t="s">
        <v>3</v>
      </c>
      <c r="BP324" s="3">
        <v>0</v>
      </c>
      <c r="BQ324" s="3">
        <v>214</v>
      </c>
      <c r="BR324" s="3">
        <v>0</v>
      </c>
      <c r="BS324" s="3">
        <v>1</v>
      </c>
      <c r="BT324" s="3">
        <v>1</v>
      </c>
      <c r="BU324" s="3">
        <v>1</v>
      </c>
      <c r="BV324" s="3">
        <v>1</v>
      </c>
      <c r="BW324" s="3">
        <v>1</v>
      </c>
      <c r="BX324" s="3">
        <v>1</v>
      </c>
      <c r="BY324" s="3" t="s">
        <v>3</v>
      </c>
      <c r="BZ324" s="3">
        <v>0</v>
      </c>
      <c r="CA324" s="3">
        <v>0</v>
      </c>
      <c r="CB324" s="3" t="s">
        <v>3</v>
      </c>
      <c r="CE324" s="3">
        <v>1566</v>
      </c>
      <c r="CF324" s="3">
        <v>0</v>
      </c>
      <c r="CG324" s="3">
        <v>0</v>
      </c>
      <c r="CM324" s="3">
        <v>0</v>
      </c>
      <c r="CN324" s="3" t="s">
        <v>3</v>
      </c>
      <c r="CO324" s="3">
        <v>0</v>
      </c>
      <c r="CP324" s="3">
        <f>(P324+Q324+S324)</f>
        <v>501673.21</v>
      </c>
      <c r="CQ324" s="3">
        <f>ROUND((ROUND((AC324*AW324*1),2)*BC324),2)</f>
        <v>167224.4</v>
      </c>
      <c r="CR324" s="3">
        <f>(ROUND((ROUND(((ET324)*AV324*1),2)*BB324),2)+ROUND((ROUND(((AE324-(EU324))*AV324*1),2)*BS324),2))</f>
        <v>0</v>
      </c>
      <c r="CS324" s="3">
        <f>(ROUND((ROUND(((EU324)*AV324*1),2)*BS324),2)+ROUND((ROUND(((AE324-(EU324))*AV324*1),2)*BS324),2))</f>
        <v>0</v>
      </c>
      <c r="CT324" s="3">
        <f>ROUND((ROUND((AF324*AV324*1),2)*BA324),2)</f>
        <v>0</v>
      </c>
      <c r="CU324" s="3">
        <f>AG324</f>
        <v>0</v>
      </c>
      <c r="CV324" s="3">
        <f>(AH324*AV324)</f>
        <v>0</v>
      </c>
      <c r="CW324" s="3">
        <f>AI324</f>
        <v>0</v>
      </c>
      <c r="CX324" s="3">
        <f>AJ324</f>
        <v>0</v>
      </c>
      <c r="CY324" s="3">
        <f>(ROUND((((S324+ROUND((ROUND(((EU324)*AV324*1),2)*BS324),2))*AT324)/100),2)+ROUND(((ROUND((ROUND(((AE324-(EU324))*AV324*1),2)*BS324),2)*AT324)/100),2))</f>
        <v>0</v>
      </c>
      <c r="CZ324" s="3">
        <f>(ROUND((((S324+ROUND((ROUND(((EU324)*AV324*1),2)*BS324),2))*AU324)/100),2)+ROUND(((ROUND((ROUND(((AE324-(EU324))*AV324*1),2)*BS324),2)*AU324)/100),2))</f>
        <v>0</v>
      </c>
      <c r="DC324" s="3" t="s">
        <v>3</v>
      </c>
      <c r="DD324" s="3" t="s">
        <v>3</v>
      </c>
      <c r="DE324" s="3" t="s">
        <v>3</v>
      </c>
      <c r="DF324" s="3" t="s">
        <v>3</v>
      </c>
      <c r="DG324" s="3" t="s">
        <v>3</v>
      </c>
      <c r="DH324" s="3" t="s">
        <v>3</v>
      </c>
      <c r="DI324" s="3" t="s">
        <v>3</v>
      </c>
      <c r="DJ324" s="3" t="s">
        <v>3</v>
      </c>
      <c r="DK324" s="3" t="s">
        <v>3</v>
      </c>
      <c r="DL324" s="3" t="s">
        <v>3</v>
      </c>
      <c r="DM324" s="3" t="s">
        <v>3</v>
      </c>
      <c r="DN324" s="3">
        <v>0</v>
      </c>
      <c r="DO324" s="3">
        <v>0</v>
      </c>
      <c r="DP324" s="3">
        <v>1</v>
      </c>
      <c r="DQ324" s="3">
        <v>1</v>
      </c>
      <c r="DU324" s="3">
        <v>1013</v>
      </c>
      <c r="DV324" s="3" t="s">
        <v>192</v>
      </c>
      <c r="DW324" s="3" t="s">
        <v>192</v>
      </c>
      <c r="DX324" s="3">
        <v>1</v>
      </c>
      <c r="DZ324" s="3" t="s">
        <v>3</v>
      </c>
      <c r="EA324" s="3" t="s">
        <v>3</v>
      </c>
      <c r="EB324" s="3" t="s">
        <v>3</v>
      </c>
      <c r="EC324" s="3" t="s">
        <v>3</v>
      </c>
      <c r="EE324" s="3">
        <v>57248792</v>
      </c>
      <c r="EF324" s="3">
        <v>214</v>
      </c>
      <c r="EG324" s="3" t="s">
        <v>193</v>
      </c>
      <c r="EH324" s="3">
        <v>0</v>
      </c>
      <c r="EI324" s="3" t="s">
        <v>3</v>
      </c>
      <c r="EJ324" s="3">
        <v>3</v>
      </c>
      <c r="EK324" s="3">
        <v>400007</v>
      </c>
      <c r="EL324" s="3" t="s">
        <v>193</v>
      </c>
      <c r="EM324" s="3" t="s">
        <v>194</v>
      </c>
      <c r="EO324" s="3" t="s">
        <v>3</v>
      </c>
      <c r="EQ324" s="3">
        <v>131088</v>
      </c>
      <c r="ER324" s="3">
        <v>0</v>
      </c>
      <c r="ES324" s="3">
        <v>22090.409999999996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5</v>
      </c>
      <c r="FC324" s="3">
        <v>1</v>
      </c>
      <c r="FD324" s="3">
        <v>18</v>
      </c>
      <c r="FF324" s="3">
        <v>195723</v>
      </c>
      <c r="FQ324" s="3">
        <v>0</v>
      </c>
      <c r="FR324" s="3">
        <f>P324</f>
        <v>501673.21</v>
      </c>
      <c r="FS324" s="3">
        <v>0</v>
      </c>
      <c r="FX324" s="3">
        <v>0</v>
      </c>
      <c r="FY324" s="3">
        <v>0</v>
      </c>
      <c r="GA324" s="3" t="s">
        <v>268</v>
      </c>
      <c r="GD324" s="3">
        <v>1</v>
      </c>
      <c r="GF324" s="3">
        <v>-846992528</v>
      </c>
      <c r="GG324" s="3">
        <v>2</v>
      </c>
      <c r="GH324" s="3">
        <v>3</v>
      </c>
      <c r="GI324" s="3">
        <v>5</v>
      </c>
      <c r="GJ324" s="3">
        <v>0</v>
      </c>
      <c r="GK324" s="3">
        <v>0</v>
      </c>
      <c r="GL324" s="3">
        <f>ROUND(IF(AND(BH324=3,BI324=3,FS324&lt;&gt;0),P324,0),2)</f>
        <v>0</v>
      </c>
      <c r="GM324" s="3">
        <f>ROUND(O324+X324+Y324,2)+GX324</f>
        <v>501673.21</v>
      </c>
      <c r="GN324" s="3">
        <f>IF(OR(BI324=0,BI324=1),GM324-GX324,0)</f>
        <v>0</v>
      </c>
      <c r="GO324" s="3">
        <f>IF(BI324=2,GM324-GX324,0)</f>
        <v>0</v>
      </c>
      <c r="GP324" s="3">
        <f>IF(BI324=4,GM324-GX324,0)</f>
        <v>0</v>
      </c>
      <c r="GR324" s="3">
        <v>1</v>
      </c>
      <c r="GS324" s="3">
        <v>1</v>
      </c>
      <c r="GT324" s="3">
        <v>0</v>
      </c>
      <c r="GU324" s="3" t="s">
        <v>3</v>
      </c>
      <c r="GV324" s="3">
        <f>ROUND((GT324),6)</f>
        <v>0</v>
      </c>
      <c r="GW324" s="3">
        <v>1</v>
      </c>
      <c r="GX324" s="3">
        <f>ROUND(HC324*I324,2)</f>
        <v>0</v>
      </c>
      <c r="HA324" s="3">
        <v>0</v>
      </c>
      <c r="HB324" s="3">
        <v>0</v>
      </c>
      <c r="HC324" s="3">
        <f>GV324*GW324</f>
        <v>0</v>
      </c>
      <c r="HE324" s="3" t="s">
        <v>41</v>
      </c>
      <c r="HF324" s="3" t="s">
        <v>196</v>
      </c>
      <c r="HM324" s="3" t="s">
        <v>3</v>
      </c>
      <c r="HN324" s="3" t="s">
        <v>3</v>
      </c>
      <c r="HO324" s="3" t="s">
        <v>3</v>
      </c>
      <c r="HP324" s="3" t="s">
        <v>3</v>
      </c>
      <c r="HQ324" s="3" t="s">
        <v>3</v>
      </c>
      <c r="HS324" s="3">
        <v>0</v>
      </c>
      <c r="IK324" s="3">
        <v>0</v>
      </c>
    </row>
    <row r="326" spans="1:255" x14ac:dyDescent="0.2">
      <c r="A326" s="11">
        <v>51</v>
      </c>
      <c r="B326" s="11">
        <f>B319</f>
        <v>1</v>
      </c>
      <c r="C326" s="11">
        <f>A319</f>
        <v>4</v>
      </c>
      <c r="D326" s="11">
        <f>ROW(A319)</f>
        <v>319</v>
      </c>
      <c r="E326" s="11"/>
      <c r="F326" s="11" t="str">
        <f>IF(F319&lt;&gt;"",F319,"")</f>
        <v>3</v>
      </c>
      <c r="G326" s="11" t="str">
        <f>IF(G319&lt;&gt;"",G319,"")</f>
        <v>Запас на складе</v>
      </c>
      <c r="H326" s="11">
        <v>0</v>
      </c>
      <c r="I326" s="11"/>
      <c r="J326" s="11"/>
      <c r="K326" s="11"/>
      <c r="L326" s="11"/>
      <c r="M326" s="11"/>
      <c r="N326" s="11"/>
      <c r="O326" s="11">
        <f t="shared" ref="O326:T326" si="361">ROUND(AB326,2)</f>
        <v>66271.23</v>
      </c>
      <c r="P326" s="11">
        <f t="shared" si="361"/>
        <v>66271.23</v>
      </c>
      <c r="Q326" s="11">
        <f t="shared" si="361"/>
        <v>0</v>
      </c>
      <c r="R326" s="11">
        <f t="shared" si="361"/>
        <v>0</v>
      </c>
      <c r="S326" s="11">
        <f t="shared" si="361"/>
        <v>0</v>
      </c>
      <c r="T326" s="11">
        <f t="shared" si="361"/>
        <v>0</v>
      </c>
      <c r="U326" s="11">
        <f>AH326</f>
        <v>0</v>
      </c>
      <c r="V326" s="11">
        <f>AI326</f>
        <v>0</v>
      </c>
      <c r="W326" s="11">
        <f>ROUND(AJ326,2)</f>
        <v>0</v>
      </c>
      <c r="X326" s="11">
        <f>ROUND(AK326,2)</f>
        <v>0</v>
      </c>
      <c r="Y326" s="11">
        <f>ROUND(AL326,2)</f>
        <v>0</v>
      </c>
      <c r="Z326" s="11"/>
      <c r="AA326" s="11"/>
      <c r="AB326" s="11">
        <f>ROUND(SUMIF(AA323:AA324,"=57248835",O323:O324),2)</f>
        <v>66271.23</v>
      </c>
      <c r="AC326" s="11">
        <f>ROUND(SUMIF(AA323:AA324,"=57248835",P323:P324),2)</f>
        <v>66271.23</v>
      </c>
      <c r="AD326" s="11">
        <f>ROUND(SUMIF(AA323:AA324,"=57248835",Q323:Q324),2)</f>
        <v>0</v>
      </c>
      <c r="AE326" s="11">
        <f>ROUND(SUMIF(AA323:AA324,"=57248835",R323:R324),2)</f>
        <v>0</v>
      </c>
      <c r="AF326" s="11">
        <f>ROUND(SUMIF(AA323:AA324,"=57248835",S323:S324),2)</f>
        <v>0</v>
      </c>
      <c r="AG326" s="11">
        <f>ROUND(SUMIF(AA323:AA324,"=57248835",T323:T324),2)</f>
        <v>0</v>
      </c>
      <c r="AH326" s="11">
        <f>SUMIF(AA323:AA324,"=57248835",U323:U324)</f>
        <v>0</v>
      </c>
      <c r="AI326" s="11">
        <f>SUMIF(AA323:AA324,"=57248835",V323:V324)</f>
        <v>0</v>
      </c>
      <c r="AJ326" s="11">
        <f>ROUND(SUMIF(AA323:AA324,"=57248835",W323:W324),2)</f>
        <v>0</v>
      </c>
      <c r="AK326" s="11">
        <f>ROUND(SUMIF(AA323:AA324,"=57248835",X323:X324),2)</f>
        <v>0</v>
      </c>
      <c r="AL326" s="11">
        <f>ROUND(SUMIF(AA323:AA324,"=57248835",Y323:Y324),2)</f>
        <v>0</v>
      </c>
      <c r="AM326" s="11"/>
      <c r="AN326" s="11"/>
      <c r="AO326" s="11">
        <f t="shared" ref="AO326:BD326" si="362">ROUND(BX326,2)</f>
        <v>0</v>
      </c>
      <c r="AP326" s="11">
        <f t="shared" si="362"/>
        <v>66271.23</v>
      </c>
      <c r="AQ326" s="11">
        <f t="shared" si="362"/>
        <v>0</v>
      </c>
      <c r="AR326" s="11">
        <f t="shared" si="362"/>
        <v>66271.23</v>
      </c>
      <c r="AS326" s="11">
        <f t="shared" si="362"/>
        <v>0</v>
      </c>
      <c r="AT326" s="11">
        <f t="shared" si="362"/>
        <v>0</v>
      </c>
      <c r="AU326" s="11">
        <f t="shared" si="362"/>
        <v>0</v>
      </c>
      <c r="AV326" s="11">
        <f t="shared" si="362"/>
        <v>66271.23</v>
      </c>
      <c r="AW326" s="11">
        <f t="shared" si="362"/>
        <v>0</v>
      </c>
      <c r="AX326" s="11">
        <f t="shared" si="362"/>
        <v>0</v>
      </c>
      <c r="AY326" s="11">
        <f t="shared" si="362"/>
        <v>0</v>
      </c>
      <c r="AZ326" s="11">
        <f t="shared" si="362"/>
        <v>66271.23</v>
      </c>
      <c r="BA326" s="11">
        <f t="shared" si="362"/>
        <v>0</v>
      </c>
      <c r="BB326" s="11">
        <f t="shared" si="362"/>
        <v>0</v>
      </c>
      <c r="BC326" s="11">
        <f t="shared" si="362"/>
        <v>0</v>
      </c>
      <c r="BD326" s="11">
        <f t="shared" si="362"/>
        <v>0</v>
      </c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>
        <f>ROUND(SUMIF(AA323:AA324,"=57248835",FQ323:FQ324),2)</f>
        <v>0</v>
      </c>
      <c r="BY326" s="11">
        <f>ROUND(SUMIF(AA323:AA324,"=57248835",FR323:FR324),2)</f>
        <v>66271.23</v>
      </c>
      <c r="BZ326" s="11">
        <f>ROUND(SUMIF(AA323:AA324,"=57248835",GL323:GL324),2)</f>
        <v>0</v>
      </c>
      <c r="CA326" s="11">
        <f>ROUND(SUMIF(AA323:AA324,"=57248835",GM323:GM324),2)</f>
        <v>66271.23</v>
      </c>
      <c r="CB326" s="11">
        <f>ROUND(SUMIF(AA323:AA324,"=57248835",GN323:GN324),2)</f>
        <v>0</v>
      </c>
      <c r="CC326" s="11">
        <f>ROUND(SUMIF(AA323:AA324,"=57248835",GO323:GO324),2)</f>
        <v>0</v>
      </c>
      <c r="CD326" s="11">
        <f>ROUND(SUMIF(AA323:AA324,"=57248835",GP323:GP324),2)</f>
        <v>0</v>
      </c>
      <c r="CE326" s="11">
        <f>AC326-BX326</f>
        <v>66271.23</v>
      </c>
      <c r="CF326" s="11">
        <f>AC326-BY326</f>
        <v>0</v>
      </c>
      <c r="CG326" s="11">
        <f>BX326-BZ326</f>
        <v>0</v>
      </c>
      <c r="CH326" s="11">
        <f>AC326-BX326-BY326+BZ326</f>
        <v>0</v>
      </c>
      <c r="CI326" s="11">
        <f>BY326-BZ326</f>
        <v>66271.23</v>
      </c>
      <c r="CJ326" s="11">
        <f>ROUND(SUMIF(AA323:AA324,"=57248835",GX323:GX324),2)</f>
        <v>0</v>
      </c>
      <c r="CK326" s="11">
        <f>ROUND(SUMIF(AA323:AA324,"=57248835",GY323:GY324),2)</f>
        <v>0</v>
      </c>
      <c r="CL326" s="11">
        <f>ROUND(SUMIF(AA323:AA324,"=57248835",GZ323:GZ324),2)</f>
        <v>0</v>
      </c>
      <c r="CM326" s="11">
        <f>ROUND(SUMIF(AA323:AA324,"=57248835",HD323:HD324),2)</f>
        <v>0</v>
      </c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2">
        <f t="shared" ref="DG326:DL326" si="363">ROUND(DT326,2)</f>
        <v>501673.21</v>
      </c>
      <c r="DH326" s="12">
        <f t="shared" si="363"/>
        <v>501673.21</v>
      </c>
      <c r="DI326" s="12">
        <f t="shared" si="363"/>
        <v>0</v>
      </c>
      <c r="DJ326" s="12">
        <f t="shared" si="363"/>
        <v>0</v>
      </c>
      <c r="DK326" s="12">
        <f t="shared" si="363"/>
        <v>0</v>
      </c>
      <c r="DL326" s="12">
        <f t="shared" si="363"/>
        <v>0</v>
      </c>
      <c r="DM326" s="12">
        <f>DZ326</f>
        <v>0</v>
      </c>
      <c r="DN326" s="12">
        <f>EA326</f>
        <v>0</v>
      </c>
      <c r="DO326" s="12">
        <f>ROUND(EB326,2)</f>
        <v>0</v>
      </c>
      <c r="DP326" s="12">
        <f>ROUND(EC326,2)</f>
        <v>0</v>
      </c>
      <c r="DQ326" s="12">
        <f>ROUND(ED326,2)</f>
        <v>0</v>
      </c>
      <c r="DR326" s="12"/>
      <c r="DS326" s="12"/>
      <c r="DT326" s="12">
        <f>ROUND(SUMIF(AA323:AA324,"=57248837",O323:O324),2)</f>
        <v>501673.21</v>
      </c>
      <c r="DU326" s="12">
        <f>ROUND(SUMIF(AA323:AA324,"=57248837",P323:P324),2)</f>
        <v>501673.21</v>
      </c>
      <c r="DV326" s="12">
        <f>ROUND(SUMIF(AA323:AA324,"=57248837",Q323:Q324),2)</f>
        <v>0</v>
      </c>
      <c r="DW326" s="12">
        <f>ROUND(SUMIF(AA323:AA324,"=57248837",R323:R324),2)</f>
        <v>0</v>
      </c>
      <c r="DX326" s="12">
        <f>ROUND(SUMIF(AA323:AA324,"=57248837",S323:S324),2)</f>
        <v>0</v>
      </c>
      <c r="DY326" s="12">
        <f>ROUND(SUMIF(AA323:AA324,"=57248837",T323:T324),2)</f>
        <v>0</v>
      </c>
      <c r="DZ326" s="12">
        <f>SUMIF(AA323:AA324,"=57248837",U323:U324)</f>
        <v>0</v>
      </c>
      <c r="EA326" s="12">
        <f>SUMIF(AA323:AA324,"=57248837",V323:V324)</f>
        <v>0</v>
      </c>
      <c r="EB326" s="12">
        <f>ROUND(SUMIF(AA323:AA324,"=57248837",W323:W324),2)</f>
        <v>0</v>
      </c>
      <c r="EC326" s="12">
        <f>ROUND(SUMIF(AA323:AA324,"=57248837",X323:X324),2)</f>
        <v>0</v>
      </c>
      <c r="ED326" s="12">
        <f>ROUND(SUMIF(AA323:AA324,"=57248837",Y323:Y324),2)</f>
        <v>0</v>
      </c>
      <c r="EE326" s="12"/>
      <c r="EF326" s="12"/>
      <c r="EG326" s="12">
        <f t="shared" ref="EG326:EV326" si="364">ROUND(FP326,2)</f>
        <v>0</v>
      </c>
      <c r="EH326" s="12">
        <f t="shared" si="364"/>
        <v>501673.21</v>
      </c>
      <c r="EI326" s="12">
        <f t="shared" si="364"/>
        <v>0</v>
      </c>
      <c r="EJ326" s="12">
        <f t="shared" si="364"/>
        <v>501673.21</v>
      </c>
      <c r="EK326" s="12">
        <f t="shared" si="364"/>
        <v>0</v>
      </c>
      <c r="EL326" s="12">
        <f t="shared" si="364"/>
        <v>0</v>
      </c>
      <c r="EM326" s="12">
        <f t="shared" si="364"/>
        <v>0</v>
      </c>
      <c r="EN326" s="12">
        <f t="shared" si="364"/>
        <v>501673.21</v>
      </c>
      <c r="EO326" s="12">
        <f t="shared" si="364"/>
        <v>0</v>
      </c>
      <c r="EP326" s="12">
        <f t="shared" si="364"/>
        <v>0</v>
      </c>
      <c r="EQ326" s="12">
        <f t="shared" si="364"/>
        <v>0</v>
      </c>
      <c r="ER326" s="12">
        <f t="shared" si="364"/>
        <v>501673.21</v>
      </c>
      <c r="ES326" s="12">
        <f t="shared" si="364"/>
        <v>0</v>
      </c>
      <c r="ET326" s="12">
        <f t="shared" si="364"/>
        <v>0</v>
      </c>
      <c r="EU326" s="12">
        <f t="shared" si="364"/>
        <v>0</v>
      </c>
      <c r="EV326" s="12">
        <f t="shared" si="364"/>
        <v>0</v>
      </c>
      <c r="EW326" s="12"/>
      <c r="EX326" s="12"/>
      <c r="EY326" s="12"/>
      <c r="EZ326" s="12"/>
      <c r="FA326" s="12"/>
      <c r="FB326" s="12"/>
      <c r="FC326" s="12"/>
      <c r="FD326" s="12"/>
      <c r="FE326" s="12"/>
      <c r="FF326" s="12"/>
      <c r="FG326" s="12"/>
      <c r="FH326" s="12"/>
      <c r="FI326" s="12"/>
      <c r="FJ326" s="12"/>
      <c r="FK326" s="12"/>
      <c r="FL326" s="12"/>
      <c r="FM326" s="12"/>
      <c r="FN326" s="12"/>
      <c r="FO326" s="12"/>
      <c r="FP326" s="12">
        <f>ROUND(SUMIF(AA323:AA324,"=57248837",FQ323:FQ324),2)</f>
        <v>0</v>
      </c>
      <c r="FQ326" s="12">
        <f>ROUND(SUMIF(AA323:AA324,"=57248837",FR323:FR324),2)</f>
        <v>501673.21</v>
      </c>
      <c r="FR326" s="12">
        <f>ROUND(SUMIF(AA323:AA324,"=57248837",GL323:GL324),2)</f>
        <v>0</v>
      </c>
      <c r="FS326" s="12">
        <f>ROUND(SUMIF(AA323:AA324,"=57248837",GM323:GM324),2)</f>
        <v>501673.21</v>
      </c>
      <c r="FT326" s="12">
        <f>ROUND(SUMIF(AA323:AA324,"=57248837",GN323:GN324),2)</f>
        <v>0</v>
      </c>
      <c r="FU326" s="12">
        <f>ROUND(SUMIF(AA323:AA324,"=57248837",GO323:GO324),2)</f>
        <v>0</v>
      </c>
      <c r="FV326" s="12">
        <f>ROUND(SUMIF(AA323:AA324,"=57248837",GP323:GP324),2)</f>
        <v>0</v>
      </c>
      <c r="FW326" s="12">
        <f>DU326-FP326</f>
        <v>501673.21</v>
      </c>
      <c r="FX326" s="12">
        <f>DU326-FQ326</f>
        <v>0</v>
      </c>
      <c r="FY326" s="12">
        <f>FP326-FR326</f>
        <v>0</v>
      </c>
      <c r="FZ326" s="12">
        <f>DU326-FP326-FQ326+FR326</f>
        <v>0</v>
      </c>
      <c r="GA326" s="12">
        <f>FQ326-FR326</f>
        <v>501673.21</v>
      </c>
      <c r="GB326" s="12">
        <f>ROUND(SUMIF(AA323:AA324,"=57248837",GX323:GX324),2)</f>
        <v>0</v>
      </c>
      <c r="GC326" s="12">
        <f>ROUND(SUMIF(AA323:AA324,"=57248837",GY323:GY324),2)</f>
        <v>0</v>
      </c>
      <c r="GD326" s="12">
        <f>ROUND(SUMIF(AA323:AA324,"=57248837",GZ323:GZ324),2)</f>
        <v>0</v>
      </c>
      <c r="GE326" s="12">
        <f>ROUND(SUMIF(AA323:AA324,"=57248837",HD323:HD324),2)</f>
        <v>0</v>
      </c>
      <c r="GF326" s="12"/>
      <c r="GG326" s="12"/>
      <c r="GH326" s="12"/>
      <c r="GI326" s="12"/>
      <c r="GJ326" s="12"/>
      <c r="GK326" s="12"/>
      <c r="GL326" s="12"/>
      <c r="GM326" s="12"/>
      <c r="GN326" s="12"/>
      <c r="GO326" s="12"/>
      <c r="GP326" s="12"/>
      <c r="GQ326" s="12"/>
      <c r="GR326" s="12"/>
      <c r="GS326" s="12"/>
      <c r="GT326" s="12"/>
      <c r="GU326" s="12"/>
      <c r="GV326" s="12"/>
      <c r="GW326" s="12"/>
      <c r="GX326" s="12">
        <v>0</v>
      </c>
    </row>
    <row r="328" spans="1:255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201</v>
      </c>
      <c r="F328" s="13">
        <f>ROUND(Source!O326,O328)</f>
        <v>66271.23</v>
      </c>
      <c r="G328" s="13" t="s">
        <v>132</v>
      </c>
      <c r="H328" s="13" t="s">
        <v>133</v>
      </c>
      <c r="I328" s="13"/>
      <c r="J328" s="13"/>
      <c r="K328" s="13">
        <v>201</v>
      </c>
      <c r="L328" s="13">
        <v>1</v>
      </c>
      <c r="M328" s="13">
        <v>3</v>
      </c>
      <c r="N328" s="13" t="s">
        <v>3</v>
      </c>
      <c r="O328" s="13">
        <v>2</v>
      </c>
      <c r="P328" s="13">
        <f>ROUND(Source!DG326,O328)</f>
        <v>501673.21</v>
      </c>
      <c r="Q328" s="13"/>
      <c r="R328" s="13"/>
      <c r="S328" s="13"/>
      <c r="T328" s="13"/>
      <c r="U328" s="13"/>
      <c r="V328" s="13"/>
      <c r="W328" s="13">
        <v>66271.23</v>
      </c>
      <c r="X328" s="13">
        <v>1</v>
      </c>
      <c r="Y328" s="13">
        <v>66271.23</v>
      </c>
      <c r="Z328" s="13">
        <v>501673.21</v>
      </c>
      <c r="AA328" s="13">
        <v>1</v>
      </c>
      <c r="AB328" s="13">
        <v>501673.21</v>
      </c>
    </row>
    <row r="329" spans="1:255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202</v>
      </c>
      <c r="F329" s="13">
        <f>ROUND(Source!P326,O329)</f>
        <v>66271.23</v>
      </c>
      <c r="G329" s="13" t="s">
        <v>134</v>
      </c>
      <c r="H329" s="13" t="s">
        <v>135</v>
      </c>
      <c r="I329" s="13"/>
      <c r="J329" s="13"/>
      <c r="K329" s="13">
        <v>202</v>
      </c>
      <c r="L329" s="13">
        <v>2</v>
      </c>
      <c r="M329" s="13">
        <v>3</v>
      </c>
      <c r="N329" s="13" t="s">
        <v>3</v>
      </c>
      <c r="O329" s="13">
        <v>2</v>
      </c>
      <c r="P329" s="13">
        <f>ROUND(Source!DH326,O329)</f>
        <v>501673.21</v>
      </c>
      <c r="Q329" s="13"/>
      <c r="R329" s="13"/>
      <c r="S329" s="13"/>
      <c r="T329" s="13"/>
      <c r="U329" s="13"/>
      <c r="V329" s="13"/>
      <c r="W329" s="13">
        <v>66271.23</v>
      </c>
      <c r="X329" s="13">
        <v>1</v>
      </c>
      <c r="Y329" s="13">
        <v>66271.23</v>
      </c>
      <c r="Z329" s="13">
        <v>501673.21</v>
      </c>
      <c r="AA329" s="13">
        <v>1</v>
      </c>
      <c r="AB329" s="13">
        <v>501673.21</v>
      </c>
    </row>
    <row r="330" spans="1:255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222</v>
      </c>
      <c r="F330" s="13">
        <f>ROUND(Source!AO326,O330)</f>
        <v>0</v>
      </c>
      <c r="G330" s="13" t="s">
        <v>136</v>
      </c>
      <c r="H330" s="13" t="s">
        <v>137</v>
      </c>
      <c r="I330" s="13"/>
      <c r="J330" s="13"/>
      <c r="K330" s="13">
        <v>222</v>
      </c>
      <c r="L330" s="13">
        <v>3</v>
      </c>
      <c r="M330" s="13">
        <v>3</v>
      </c>
      <c r="N330" s="13" t="s">
        <v>3</v>
      </c>
      <c r="O330" s="13">
        <v>2</v>
      </c>
      <c r="P330" s="13">
        <f>ROUND(Source!EG326,O330)</f>
        <v>0</v>
      </c>
      <c r="Q330" s="13"/>
      <c r="R330" s="13"/>
      <c r="S330" s="13"/>
      <c r="T330" s="13"/>
      <c r="U330" s="13"/>
      <c r="V330" s="13"/>
      <c r="W330" s="13">
        <v>0</v>
      </c>
      <c r="X330" s="13">
        <v>1</v>
      </c>
      <c r="Y330" s="13">
        <v>0</v>
      </c>
      <c r="Z330" s="13">
        <v>0</v>
      </c>
      <c r="AA330" s="13">
        <v>1</v>
      </c>
      <c r="AB330" s="13">
        <v>0</v>
      </c>
    </row>
    <row r="331" spans="1:255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225</v>
      </c>
      <c r="F331" s="13">
        <f>ROUND(Source!AV326,O331)</f>
        <v>66271.23</v>
      </c>
      <c r="G331" s="13" t="s">
        <v>138</v>
      </c>
      <c r="H331" s="13" t="s">
        <v>139</v>
      </c>
      <c r="I331" s="13"/>
      <c r="J331" s="13"/>
      <c r="K331" s="13">
        <v>225</v>
      </c>
      <c r="L331" s="13">
        <v>4</v>
      </c>
      <c r="M331" s="13">
        <v>3</v>
      </c>
      <c r="N331" s="13" t="s">
        <v>3</v>
      </c>
      <c r="O331" s="13">
        <v>2</v>
      </c>
      <c r="P331" s="13">
        <f>ROUND(Source!EN326,O331)</f>
        <v>501673.21</v>
      </c>
      <c r="Q331" s="13"/>
      <c r="R331" s="13"/>
      <c r="S331" s="13"/>
      <c r="T331" s="13"/>
      <c r="U331" s="13"/>
      <c r="V331" s="13"/>
      <c r="W331" s="13">
        <v>66271.23</v>
      </c>
      <c r="X331" s="13">
        <v>1</v>
      </c>
      <c r="Y331" s="13">
        <v>66271.23</v>
      </c>
      <c r="Z331" s="13">
        <v>501673.21</v>
      </c>
      <c r="AA331" s="13">
        <v>1</v>
      </c>
      <c r="AB331" s="13">
        <v>501673.21</v>
      </c>
    </row>
    <row r="332" spans="1:255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226</v>
      </c>
      <c r="F332" s="13">
        <f>ROUND(Source!AW326,O332)</f>
        <v>0</v>
      </c>
      <c r="G332" s="13" t="s">
        <v>140</v>
      </c>
      <c r="H332" s="13" t="s">
        <v>141</v>
      </c>
      <c r="I332" s="13"/>
      <c r="J332" s="13"/>
      <c r="K332" s="13">
        <v>226</v>
      </c>
      <c r="L332" s="13">
        <v>5</v>
      </c>
      <c r="M332" s="13">
        <v>3</v>
      </c>
      <c r="N332" s="13" t="s">
        <v>3</v>
      </c>
      <c r="O332" s="13">
        <v>2</v>
      </c>
      <c r="P332" s="13">
        <f>ROUND(Source!EO326,O332)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55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227</v>
      </c>
      <c r="F333" s="13">
        <f>ROUND(Source!AX326,O333)</f>
        <v>0</v>
      </c>
      <c r="G333" s="13" t="s">
        <v>142</v>
      </c>
      <c r="H333" s="13" t="s">
        <v>143</v>
      </c>
      <c r="I333" s="13"/>
      <c r="J333" s="13"/>
      <c r="K333" s="13">
        <v>227</v>
      </c>
      <c r="L333" s="13">
        <v>6</v>
      </c>
      <c r="M333" s="13">
        <v>3</v>
      </c>
      <c r="N333" s="13" t="s">
        <v>3</v>
      </c>
      <c r="O333" s="13">
        <v>2</v>
      </c>
      <c r="P333" s="13">
        <f>ROUND(Source!EP326,O333)</f>
        <v>0</v>
      </c>
      <c r="Q333" s="13"/>
      <c r="R333" s="13"/>
      <c r="S333" s="13"/>
      <c r="T333" s="13"/>
      <c r="U333" s="13"/>
      <c r="V333" s="13"/>
      <c r="W333" s="13">
        <v>0</v>
      </c>
      <c r="X333" s="13">
        <v>1</v>
      </c>
      <c r="Y333" s="13">
        <v>0</v>
      </c>
      <c r="Z333" s="13">
        <v>0</v>
      </c>
      <c r="AA333" s="13">
        <v>1</v>
      </c>
      <c r="AB333" s="13">
        <v>0</v>
      </c>
    </row>
    <row r="334" spans="1:255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228</v>
      </c>
      <c r="F334" s="13">
        <f>ROUND(Source!AY326,O334)</f>
        <v>0</v>
      </c>
      <c r="G334" s="13" t="s">
        <v>144</v>
      </c>
      <c r="H334" s="13" t="s">
        <v>145</v>
      </c>
      <c r="I334" s="13"/>
      <c r="J334" s="13"/>
      <c r="K334" s="13">
        <v>228</v>
      </c>
      <c r="L334" s="13">
        <v>7</v>
      </c>
      <c r="M334" s="13">
        <v>3</v>
      </c>
      <c r="N334" s="13" t="s">
        <v>3</v>
      </c>
      <c r="O334" s="13">
        <v>2</v>
      </c>
      <c r="P334" s="13">
        <f>ROUND(Source!EQ326,O334)</f>
        <v>0</v>
      </c>
      <c r="Q334" s="13"/>
      <c r="R334" s="13"/>
      <c r="S334" s="13"/>
      <c r="T334" s="13"/>
      <c r="U334" s="13"/>
      <c r="V334" s="13"/>
      <c r="W334" s="13">
        <v>0</v>
      </c>
      <c r="X334" s="13">
        <v>1</v>
      </c>
      <c r="Y334" s="13">
        <v>0</v>
      </c>
      <c r="Z334" s="13">
        <v>0</v>
      </c>
      <c r="AA334" s="13">
        <v>1</v>
      </c>
      <c r="AB334" s="13">
        <v>0</v>
      </c>
    </row>
    <row r="335" spans="1:255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216</v>
      </c>
      <c r="F335" s="13">
        <f>ROUND(Source!AP326,O335)</f>
        <v>66271.23</v>
      </c>
      <c r="G335" s="13" t="s">
        <v>146</v>
      </c>
      <c r="H335" s="13" t="s">
        <v>147</v>
      </c>
      <c r="I335" s="13"/>
      <c r="J335" s="13"/>
      <c r="K335" s="13">
        <v>216</v>
      </c>
      <c r="L335" s="13">
        <v>8</v>
      </c>
      <c r="M335" s="13">
        <v>3</v>
      </c>
      <c r="N335" s="13" t="s">
        <v>3</v>
      </c>
      <c r="O335" s="13">
        <v>2</v>
      </c>
      <c r="P335" s="13">
        <f>ROUND(Source!EH326,O335)</f>
        <v>501673.21</v>
      </c>
      <c r="Q335" s="13"/>
      <c r="R335" s="13"/>
      <c r="S335" s="13"/>
      <c r="T335" s="13"/>
      <c r="U335" s="13"/>
      <c r="V335" s="13"/>
      <c r="W335" s="13">
        <v>66271.23</v>
      </c>
      <c r="X335" s="13">
        <v>1</v>
      </c>
      <c r="Y335" s="13">
        <v>66271.23</v>
      </c>
      <c r="Z335" s="13">
        <v>501673.21</v>
      </c>
      <c r="AA335" s="13">
        <v>1</v>
      </c>
      <c r="AB335" s="13">
        <v>501673.21</v>
      </c>
    </row>
    <row r="336" spans="1:255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223</v>
      </c>
      <c r="F336" s="13">
        <f>ROUND(Source!AQ326,O336)</f>
        <v>0</v>
      </c>
      <c r="G336" s="13" t="s">
        <v>148</v>
      </c>
      <c r="H336" s="13" t="s">
        <v>149</v>
      </c>
      <c r="I336" s="13"/>
      <c r="J336" s="13"/>
      <c r="K336" s="13">
        <v>223</v>
      </c>
      <c r="L336" s="13">
        <v>9</v>
      </c>
      <c r="M336" s="13">
        <v>3</v>
      </c>
      <c r="N336" s="13" t="s">
        <v>3</v>
      </c>
      <c r="O336" s="13">
        <v>2</v>
      </c>
      <c r="P336" s="13">
        <f>ROUND(Source!EI326,O336)</f>
        <v>0</v>
      </c>
      <c r="Q336" s="13"/>
      <c r="R336" s="13"/>
      <c r="S336" s="13"/>
      <c r="T336" s="13"/>
      <c r="U336" s="13"/>
      <c r="V336" s="13"/>
      <c r="W336" s="13">
        <v>0</v>
      </c>
      <c r="X336" s="13">
        <v>1</v>
      </c>
      <c r="Y336" s="13">
        <v>0</v>
      </c>
      <c r="Z336" s="13">
        <v>0</v>
      </c>
      <c r="AA336" s="13">
        <v>1</v>
      </c>
      <c r="AB336" s="13">
        <v>0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229</v>
      </c>
      <c r="F337" s="13">
        <f>ROUND(Source!AZ326,O337)</f>
        <v>66271.23</v>
      </c>
      <c r="G337" s="13" t="s">
        <v>150</v>
      </c>
      <c r="H337" s="13" t="s">
        <v>151</v>
      </c>
      <c r="I337" s="13"/>
      <c r="J337" s="13"/>
      <c r="K337" s="13">
        <v>229</v>
      </c>
      <c r="L337" s="13">
        <v>10</v>
      </c>
      <c r="M337" s="13">
        <v>3</v>
      </c>
      <c r="N337" s="13" t="s">
        <v>3</v>
      </c>
      <c r="O337" s="13">
        <v>2</v>
      </c>
      <c r="P337" s="13">
        <f>ROUND(Source!ER326,O337)</f>
        <v>501673.21</v>
      </c>
      <c r="Q337" s="13"/>
      <c r="R337" s="13"/>
      <c r="S337" s="13"/>
      <c r="T337" s="13"/>
      <c r="U337" s="13"/>
      <c r="V337" s="13"/>
      <c r="W337" s="13">
        <v>66271.23</v>
      </c>
      <c r="X337" s="13">
        <v>1</v>
      </c>
      <c r="Y337" s="13">
        <v>66271.23</v>
      </c>
      <c r="Z337" s="13">
        <v>501673.21</v>
      </c>
      <c r="AA337" s="13">
        <v>1</v>
      </c>
      <c r="AB337" s="13">
        <v>501673.21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203</v>
      </c>
      <c r="F338" s="13">
        <f>ROUND(Source!Q326,O338)</f>
        <v>0</v>
      </c>
      <c r="G338" s="13" t="s">
        <v>152</v>
      </c>
      <c r="H338" s="13" t="s">
        <v>153</v>
      </c>
      <c r="I338" s="13"/>
      <c r="J338" s="13"/>
      <c r="K338" s="13">
        <v>203</v>
      </c>
      <c r="L338" s="13">
        <v>11</v>
      </c>
      <c r="M338" s="13">
        <v>3</v>
      </c>
      <c r="N338" s="13" t="s">
        <v>3</v>
      </c>
      <c r="O338" s="13">
        <v>2</v>
      </c>
      <c r="P338" s="13">
        <f>ROUND(Source!DI326,O338)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231</v>
      </c>
      <c r="F339" s="13">
        <f>ROUND(Source!BB326,O339)</f>
        <v>0</v>
      </c>
      <c r="G339" s="13" t="s">
        <v>154</v>
      </c>
      <c r="H339" s="13" t="s">
        <v>155</v>
      </c>
      <c r="I339" s="13"/>
      <c r="J339" s="13"/>
      <c r="K339" s="13">
        <v>231</v>
      </c>
      <c r="L339" s="13">
        <v>12</v>
      </c>
      <c r="M339" s="13">
        <v>3</v>
      </c>
      <c r="N339" s="13" t="s">
        <v>3</v>
      </c>
      <c r="O339" s="13">
        <v>2</v>
      </c>
      <c r="P339" s="13">
        <f>ROUND(Source!ET326,O339)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204</v>
      </c>
      <c r="F340" s="13">
        <f>ROUND(Source!R326,O340)</f>
        <v>0</v>
      </c>
      <c r="G340" s="13" t="s">
        <v>156</v>
      </c>
      <c r="H340" s="13" t="s">
        <v>157</v>
      </c>
      <c r="I340" s="13"/>
      <c r="J340" s="13"/>
      <c r="K340" s="13">
        <v>204</v>
      </c>
      <c r="L340" s="13">
        <v>13</v>
      </c>
      <c r="M340" s="13">
        <v>3</v>
      </c>
      <c r="N340" s="13" t="s">
        <v>3</v>
      </c>
      <c r="O340" s="13">
        <v>2</v>
      </c>
      <c r="P340" s="13">
        <f>ROUND(Source!DJ326,O340)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205</v>
      </c>
      <c r="F341" s="13">
        <f>ROUND(Source!S326,O341)</f>
        <v>0</v>
      </c>
      <c r="G341" s="13" t="s">
        <v>158</v>
      </c>
      <c r="H341" s="13" t="s">
        <v>159</v>
      </c>
      <c r="I341" s="13"/>
      <c r="J341" s="13"/>
      <c r="K341" s="13">
        <v>205</v>
      </c>
      <c r="L341" s="13">
        <v>14</v>
      </c>
      <c r="M341" s="13">
        <v>3</v>
      </c>
      <c r="N341" s="13" t="s">
        <v>3</v>
      </c>
      <c r="O341" s="13">
        <v>2</v>
      </c>
      <c r="P341" s="13">
        <f>ROUND(Source!DK326,O341)</f>
        <v>0</v>
      </c>
      <c r="Q341" s="13"/>
      <c r="R341" s="13"/>
      <c r="S341" s="13"/>
      <c r="T341" s="13"/>
      <c r="U341" s="13"/>
      <c r="V341" s="13"/>
      <c r="W341" s="13">
        <v>0</v>
      </c>
      <c r="X341" s="13">
        <v>1</v>
      </c>
      <c r="Y341" s="13">
        <v>0</v>
      </c>
      <c r="Z341" s="13">
        <v>0</v>
      </c>
      <c r="AA341" s="13">
        <v>1</v>
      </c>
      <c r="AB341" s="13">
        <v>0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232</v>
      </c>
      <c r="F342" s="13">
        <f>ROUND(Source!BC326,O342)</f>
        <v>0</v>
      </c>
      <c r="G342" s="13" t="s">
        <v>160</v>
      </c>
      <c r="H342" s="13" t="s">
        <v>161</v>
      </c>
      <c r="I342" s="13"/>
      <c r="J342" s="13"/>
      <c r="K342" s="13">
        <v>232</v>
      </c>
      <c r="L342" s="13">
        <v>15</v>
      </c>
      <c r="M342" s="13">
        <v>3</v>
      </c>
      <c r="N342" s="13" t="s">
        <v>3</v>
      </c>
      <c r="O342" s="13">
        <v>2</v>
      </c>
      <c r="P342" s="13">
        <f>ROUND(Source!EU326,O342)</f>
        <v>0</v>
      </c>
      <c r="Q342" s="13"/>
      <c r="R342" s="13"/>
      <c r="S342" s="13"/>
      <c r="T342" s="13"/>
      <c r="U342" s="13"/>
      <c r="V342" s="13"/>
      <c r="W342" s="13">
        <v>0</v>
      </c>
      <c r="X342" s="13">
        <v>1</v>
      </c>
      <c r="Y342" s="13">
        <v>0</v>
      </c>
      <c r="Z342" s="13">
        <v>0</v>
      </c>
      <c r="AA342" s="13">
        <v>1</v>
      </c>
      <c r="AB342" s="13">
        <v>0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214</v>
      </c>
      <c r="F343" s="13">
        <f>ROUND(Source!AS326,O343)</f>
        <v>0</v>
      </c>
      <c r="G343" s="13" t="s">
        <v>162</v>
      </c>
      <c r="H343" s="13" t="s">
        <v>163</v>
      </c>
      <c r="I343" s="13"/>
      <c r="J343" s="13"/>
      <c r="K343" s="13">
        <v>214</v>
      </c>
      <c r="L343" s="13">
        <v>16</v>
      </c>
      <c r="M343" s="13">
        <v>3</v>
      </c>
      <c r="N343" s="13" t="s">
        <v>3</v>
      </c>
      <c r="O343" s="13">
        <v>2</v>
      </c>
      <c r="P343" s="13">
        <f>ROUND(Source!EK326,O343)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8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215</v>
      </c>
      <c r="F344" s="13">
        <f>ROUND(Source!AT326,O344)</f>
        <v>0</v>
      </c>
      <c r="G344" s="13" t="s">
        <v>164</v>
      </c>
      <c r="H344" s="13" t="s">
        <v>165</v>
      </c>
      <c r="I344" s="13"/>
      <c r="J344" s="13"/>
      <c r="K344" s="13">
        <v>215</v>
      </c>
      <c r="L344" s="13">
        <v>17</v>
      </c>
      <c r="M344" s="13">
        <v>3</v>
      </c>
      <c r="N344" s="13" t="s">
        <v>3</v>
      </c>
      <c r="O344" s="13">
        <v>2</v>
      </c>
      <c r="P344" s="13">
        <f>ROUND(Source!EL326,O344)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217</v>
      </c>
      <c r="F345" s="13">
        <f>ROUND(Source!AU326,O345)</f>
        <v>0</v>
      </c>
      <c r="G345" s="13" t="s">
        <v>166</v>
      </c>
      <c r="H345" s="13" t="s">
        <v>167</v>
      </c>
      <c r="I345" s="13"/>
      <c r="J345" s="13"/>
      <c r="K345" s="13">
        <v>217</v>
      </c>
      <c r="L345" s="13">
        <v>18</v>
      </c>
      <c r="M345" s="13">
        <v>3</v>
      </c>
      <c r="N345" s="13" t="s">
        <v>3</v>
      </c>
      <c r="O345" s="13">
        <v>2</v>
      </c>
      <c r="P345" s="13">
        <f>ROUND(Source!EM326,O345)</f>
        <v>0</v>
      </c>
      <c r="Q345" s="13"/>
      <c r="R345" s="13"/>
      <c r="S345" s="13"/>
      <c r="T345" s="13"/>
      <c r="U345" s="13"/>
      <c r="V345" s="13"/>
      <c r="W345" s="13">
        <v>0</v>
      </c>
      <c r="X345" s="13">
        <v>1</v>
      </c>
      <c r="Y345" s="13">
        <v>0</v>
      </c>
      <c r="Z345" s="13">
        <v>0</v>
      </c>
      <c r="AA345" s="13">
        <v>1</v>
      </c>
      <c r="AB345" s="13">
        <v>0</v>
      </c>
    </row>
    <row r="346" spans="1:28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230</v>
      </c>
      <c r="F346" s="13">
        <f>ROUND(Source!BA326,O346)</f>
        <v>0</v>
      </c>
      <c r="G346" s="13" t="s">
        <v>168</v>
      </c>
      <c r="H346" s="13" t="s">
        <v>169</v>
      </c>
      <c r="I346" s="13"/>
      <c r="J346" s="13"/>
      <c r="K346" s="13">
        <v>230</v>
      </c>
      <c r="L346" s="13">
        <v>19</v>
      </c>
      <c r="M346" s="13">
        <v>3</v>
      </c>
      <c r="N346" s="13" t="s">
        <v>3</v>
      </c>
      <c r="O346" s="13">
        <v>2</v>
      </c>
      <c r="P346" s="13">
        <f>ROUND(Source!ES326,O346)</f>
        <v>0</v>
      </c>
      <c r="Q346" s="13"/>
      <c r="R346" s="13"/>
      <c r="S346" s="13"/>
      <c r="T346" s="13"/>
      <c r="U346" s="13"/>
      <c r="V346" s="13"/>
      <c r="W346" s="13">
        <v>0</v>
      </c>
      <c r="X346" s="13">
        <v>1</v>
      </c>
      <c r="Y346" s="13">
        <v>0</v>
      </c>
      <c r="Z346" s="13">
        <v>0</v>
      </c>
      <c r="AA346" s="13">
        <v>1</v>
      </c>
      <c r="AB346" s="13">
        <v>0</v>
      </c>
    </row>
    <row r="347" spans="1:28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206</v>
      </c>
      <c r="F347" s="13">
        <f>ROUND(Source!T326,O347)</f>
        <v>0</v>
      </c>
      <c r="G347" s="13" t="s">
        <v>170</v>
      </c>
      <c r="H347" s="13" t="s">
        <v>171</v>
      </c>
      <c r="I347" s="13"/>
      <c r="J347" s="13"/>
      <c r="K347" s="13">
        <v>206</v>
      </c>
      <c r="L347" s="13">
        <v>20</v>
      </c>
      <c r="M347" s="13">
        <v>3</v>
      </c>
      <c r="N347" s="13" t="s">
        <v>3</v>
      </c>
      <c r="O347" s="13">
        <v>2</v>
      </c>
      <c r="P347" s="13">
        <f>ROUND(Source!DL326,O347)</f>
        <v>0</v>
      </c>
      <c r="Q347" s="13"/>
      <c r="R347" s="13"/>
      <c r="S347" s="13"/>
      <c r="T347" s="13"/>
      <c r="U347" s="13"/>
      <c r="V347" s="13"/>
      <c r="W347" s="13">
        <v>0</v>
      </c>
      <c r="X347" s="13">
        <v>1</v>
      </c>
      <c r="Y347" s="13">
        <v>0</v>
      </c>
      <c r="Z347" s="13">
        <v>0</v>
      </c>
      <c r="AA347" s="13">
        <v>1</v>
      </c>
      <c r="AB347" s="13">
        <v>0</v>
      </c>
    </row>
    <row r="348" spans="1:28" x14ac:dyDescent="0.2">
      <c r="A348" s="13">
        <v>50</v>
      </c>
      <c r="B348" s="13">
        <v>0</v>
      </c>
      <c r="C348" s="13">
        <v>0</v>
      </c>
      <c r="D348" s="13">
        <v>1</v>
      </c>
      <c r="E348" s="13">
        <v>207</v>
      </c>
      <c r="F348" s="13">
        <f>Source!U326</f>
        <v>0</v>
      </c>
      <c r="G348" s="13" t="s">
        <v>172</v>
      </c>
      <c r="H348" s="13" t="s">
        <v>173</v>
      </c>
      <c r="I348" s="13"/>
      <c r="J348" s="13"/>
      <c r="K348" s="13">
        <v>207</v>
      </c>
      <c r="L348" s="13">
        <v>21</v>
      </c>
      <c r="M348" s="13">
        <v>3</v>
      </c>
      <c r="N348" s="13" t="s">
        <v>3</v>
      </c>
      <c r="O348" s="13">
        <v>-1</v>
      </c>
      <c r="P348" s="13">
        <f>Source!DM326</f>
        <v>0</v>
      </c>
      <c r="Q348" s="13"/>
      <c r="R348" s="13"/>
      <c r="S348" s="13"/>
      <c r="T348" s="13"/>
      <c r="U348" s="13"/>
      <c r="V348" s="13"/>
      <c r="W348" s="13">
        <v>0</v>
      </c>
      <c r="X348" s="13">
        <v>1</v>
      </c>
      <c r="Y348" s="13">
        <v>0</v>
      </c>
      <c r="Z348" s="13">
        <v>0</v>
      </c>
      <c r="AA348" s="13">
        <v>1</v>
      </c>
      <c r="AB348" s="13">
        <v>0</v>
      </c>
    </row>
    <row r="349" spans="1:28" x14ac:dyDescent="0.2">
      <c r="A349" s="13">
        <v>50</v>
      </c>
      <c r="B349" s="13">
        <v>0</v>
      </c>
      <c r="C349" s="13">
        <v>0</v>
      </c>
      <c r="D349" s="13">
        <v>1</v>
      </c>
      <c r="E349" s="13">
        <v>208</v>
      </c>
      <c r="F349" s="13">
        <f>Source!V326</f>
        <v>0</v>
      </c>
      <c r="G349" s="13" t="s">
        <v>174</v>
      </c>
      <c r="H349" s="13" t="s">
        <v>175</v>
      </c>
      <c r="I349" s="13"/>
      <c r="J349" s="13"/>
      <c r="K349" s="13">
        <v>208</v>
      </c>
      <c r="L349" s="13">
        <v>22</v>
      </c>
      <c r="M349" s="13">
        <v>3</v>
      </c>
      <c r="N349" s="13" t="s">
        <v>3</v>
      </c>
      <c r="O349" s="13">
        <v>-1</v>
      </c>
      <c r="P349" s="13">
        <f>Source!DN326</f>
        <v>0</v>
      </c>
      <c r="Q349" s="13"/>
      <c r="R349" s="13"/>
      <c r="S349" s="13"/>
      <c r="T349" s="13"/>
      <c r="U349" s="13"/>
      <c r="V349" s="13"/>
      <c r="W349" s="13">
        <v>0</v>
      </c>
      <c r="X349" s="13">
        <v>1</v>
      </c>
      <c r="Y349" s="13">
        <v>0</v>
      </c>
      <c r="Z349" s="13">
        <v>0</v>
      </c>
      <c r="AA349" s="13">
        <v>1</v>
      </c>
      <c r="AB349" s="13">
        <v>0</v>
      </c>
    </row>
    <row r="350" spans="1:28" x14ac:dyDescent="0.2">
      <c r="A350" s="13">
        <v>50</v>
      </c>
      <c r="B350" s="13">
        <v>0</v>
      </c>
      <c r="C350" s="13">
        <v>0</v>
      </c>
      <c r="D350" s="13">
        <v>1</v>
      </c>
      <c r="E350" s="13">
        <v>209</v>
      </c>
      <c r="F350" s="13">
        <f>ROUND(Source!W326,O350)</f>
        <v>0</v>
      </c>
      <c r="G350" s="13" t="s">
        <v>176</v>
      </c>
      <c r="H350" s="13" t="s">
        <v>177</v>
      </c>
      <c r="I350" s="13"/>
      <c r="J350" s="13"/>
      <c r="K350" s="13">
        <v>209</v>
      </c>
      <c r="L350" s="13">
        <v>23</v>
      </c>
      <c r="M350" s="13">
        <v>3</v>
      </c>
      <c r="N350" s="13" t="s">
        <v>3</v>
      </c>
      <c r="O350" s="13">
        <v>2</v>
      </c>
      <c r="P350" s="13">
        <f>ROUND(Source!DO326,O350)</f>
        <v>0</v>
      </c>
      <c r="Q350" s="13"/>
      <c r="R350" s="13"/>
      <c r="S350" s="13"/>
      <c r="T350" s="13"/>
      <c r="U350" s="13"/>
      <c r="V350" s="13"/>
      <c r="W350" s="13">
        <v>0</v>
      </c>
      <c r="X350" s="13">
        <v>1</v>
      </c>
      <c r="Y350" s="13">
        <v>0</v>
      </c>
      <c r="Z350" s="13">
        <v>0</v>
      </c>
      <c r="AA350" s="13">
        <v>1</v>
      </c>
      <c r="AB350" s="13">
        <v>0</v>
      </c>
    </row>
    <row r="351" spans="1:28" x14ac:dyDescent="0.2">
      <c r="A351" s="13">
        <v>50</v>
      </c>
      <c r="B351" s="13">
        <v>0</v>
      </c>
      <c r="C351" s="13">
        <v>0</v>
      </c>
      <c r="D351" s="13">
        <v>1</v>
      </c>
      <c r="E351" s="13">
        <v>233</v>
      </c>
      <c r="F351" s="13">
        <f>ROUND(Source!BD326,O351)</f>
        <v>0</v>
      </c>
      <c r="G351" s="13" t="s">
        <v>178</v>
      </c>
      <c r="H351" s="13" t="s">
        <v>179</v>
      </c>
      <c r="I351" s="13"/>
      <c r="J351" s="13"/>
      <c r="K351" s="13">
        <v>233</v>
      </c>
      <c r="L351" s="13">
        <v>24</v>
      </c>
      <c r="M351" s="13">
        <v>3</v>
      </c>
      <c r="N351" s="13" t="s">
        <v>3</v>
      </c>
      <c r="O351" s="13">
        <v>2</v>
      </c>
      <c r="P351" s="13">
        <f>ROUND(Source!EV326,O351)</f>
        <v>0</v>
      </c>
      <c r="Q351" s="13"/>
      <c r="R351" s="13"/>
      <c r="S351" s="13"/>
      <c r="T351" s="13"/>
      <c r="U351" s="13"/>
      <c r="V351" s="13"/>
      <c r="W351" s="13">
        <v>0</v>
      </c>
      <c r="X351" s="13">
        <v>1</v>
      </c>
      <c r="Y351" s="13">
        <v>0</v>
      </c>
      <c r="Z351" s="13">
        <v>0</v>
      </c>
      <c r="AA351" s="13">
        <v>1</v>
      </c>
      <c r="AB351" s="13">
        <v>0</v>
      </c>
    </row>
    <row r="352" spans="1:28" x14ac:dyDescent="0.2">
      <c r="A352" s="13">
        <v>50</v>
      </c>
      <c r="B352" s="13">
        <v>0</v>
      </c>
      <c r="C352" s="13">
        <v>0</v>
      </c>
      <c r="D352" s="13">
        <v>1</v>
      </c>
      <c r="E352" s="13">
        <v>210</v>
      </c>
      <c r="F352" s="13">
        <f>ROUND(Source!X326,O352)</f>
        <v>0</v>
      </c>
      <c r="G352" s="13" t="s">
        <v>180</v>
      </c>
      <c r="H352" s="13" t="s">
        <v>181</v>
      </c>
      <c r="I352" s="13"/>
      <c r="J352" s="13"/>
      <c r="K352" s="13">
        <v>210</v>
      </c>
      <c r="L352" s="13">
        <v>25</v>
      </c>
      <c r="M352" s="13">
        <v>3</v>
      </c>
      <c r="N352" s="13" t="s">
        <v>3</v>
      </c>
      <c r="O352" s="13">
        <v>2</v>
      </c>
      <c r="P352" s="13">
        <f>ROUND(Source!DP326,O352)</f>
        <v>0</v>
      </c>
      <c r="Q352" s="13"/>
      <c r="R352" s="13"/>
      <c r="S352" s="13"/>
      <c r="T352" s="13"/>
      <c r="U352" s="13"/>
      <c r="V352" s="13"/>
      <c r="W352" s="13">
        <v>0</v>
      </c>
      <c r="X352" s="13">
        <v>1</v>
      </c>
      <c r="Y352" s="13">
        <v>0</v>
      </c>
      <c r="Z352" s="13">
        <v>0</v>
      </c>
      <c r="AA352" s="13">
        <v>1</v>
      </c>
      <c r="AB352" s="13">
        <v>0</v>
      </c>
    </row>
    <row r="353" spans="1:206" x14ac:dyDescent="0.2">
      <c r="A353" s="13">
        <v>50</v>
      </c>
      <c r="B353" s="13">
        <v>0</v>
      </c>
      <c r="C353" s="13">
        <v>0</v>
      </c>
      <c r="D353" s="13">
        <v>1</v>
      </c>
      <c r="E353" s="13">
        <v>211</v>
      </c>
      <c r="F353" s="13">
        <f>ROUND(Source!Y326,O353)</f>
        <v>0</v>
      </c>
      <c r="G353" s="13" t="s">
        <v>182</v>
      </c>
      <c r="H353" s="13" t="s">
        <v>183</v>
      </c>
      <c r="I353" s="13"/>
      <c r="J353" s="13"/>
      <c r="K353" s="13">
        <v>211</v>
      </c>
      <c r="L353" s="13">
        <v>26</v>
      </c>
      <c r="M353" s="13">
        <v>3</v>
      </c>
      <c r="N353" s="13" t="s">
        <v>3</v>
      </c>
      <c r="O353" s="13">
        <v>2</v>
      </c>
      <c r="P353" s="13">
        <f>ROUND(Source!DQ326,O353)</f>
        <v>0</v>
      </c>
      <c r="Q353" s="13"/>
      <c r="R353" s="13"/>
      <c r="S353" s="13"/>
      <c r="T353" s="13"/>
      <c r="U353" s="13"/>
      <c r="V353" s="13"/>
      <c r="W353" s="13">
        <v>0</v>
      </c>
      <c r="X353" s="13">
        <v>1</v>
      </c>
      <c r="Y353" s="13">
        <v>0</v>
      </c>
      <c r="Z353" s="13">
        <v>0</v>
      </c>
      <c r="AA353" s="13">
        <v>1</v>
      </c>
      <c r="AB353" s="13">
        <v>0</v>
      </c>
    </row>
    <row r="354" spans="1:206" x14ac:dyDescent="0.2">
      <c r="A354" s="13">
        <v>50</v>
      </c>
      <c r="B354" s="13">
        <v>0</v>
      </c>
      <c r="C354" s="13">
        <v>0</v>
      </c>
      <c r="D354" s="13">
        <v>1</v>
      </c>
      <c r="E354" s="13">
        <v>224</v>
      </c>
      <c r="F354" s="13">
        <f>ROUND(Source!AR326,O354)</f>
        <v>66271.23</v>
      </c>
      <c r="G354" s="13" t="s">
        <v>184</v>
      </c>
      <c r="H354" s="13" t="s">
        <v>185</v>
      </c>
      <c r="I354" s="13"/>
      <c r="J354" s="13"/>
      <c r="K354" s="13">
        <v>224</v>
      </c>
      <c r="L354" s="13">
        <v>27</v>
      </c>
      <c r="M354" s="13">
        <v>3</v>
      </c>
      <c r="N354" s="13" t="s">
        <v>3</v>
      </c>
      <c r="O354" s="13">
        <v>2</v>
      </c>
      <c r="P354" s="13">
        <f>ROUND(Source!EJ326,O354)</f>
        <v>501673.21</v>
      </c>
      <c r="Q354" s="13"/>
      <c r="R354" s="13"/>
      <c r="S354" s="13"/>
      <c r="T354" s="13"/>
      <c r="U354" s="13"/>
      <c r="V354" s="13"/>
      <c r="W354" s="13">
        <v>66271.23</v>
      </c>
      <c r="X354" s="13">
        <v>1</v>
      </c>
      <c r="Y354" s="13">
        <v>66271.23</v>
      </c>
      <c r="Z354" s="13">
        <v>501673.21</v>
      </c>
      <c r="AA354" s="13">
        <v>1</v>
      </c>
      <c r="AB354" s="13">
        <v>501673.21</v>
      </c>
    </row>
    <row r="356" spans="1:206" x14ac:dyDescent="0.2">
      <c r="A356" s="11">
        <v>51</v>
      </c>
      <c r="B356" s="11">
        <f>B20</f>
        <v>1</v>
      </c>
      <c r="C356" s="11">
        <f>A20</f>
        <v>3</v>
      </c>
      <c r="D356" s="11">
        <f>ROW(A20)</f>
        <v>20</v>
      </c>
      <c r="E356" s="11"/>
      <c r="F356" s="11" t="str">
        <f>IF(F20&lt;&gt;"",F20,"")</f>
        <v>02-01-19</v>
      </c>
      <c r="G356" s="11" t="str">
        <f>IF(G20&lt;&gt;"",G20,"")</f>
        <v>Автоматическая установка газового пожаротушения</v>
      </c>
      <c r="H356" s="11">
        <v>0</v>
      </c>
      <c r="I356" s="11"/>
      <c r="J356" s="11"/>
      <c r="K356" s="11"/>
      <c r="L356" s="11"/>
      <c r="M356" s="11"/>
      <c r="N356" s="11"/>
      <c r="O356" s="11">
        <f t="shared" ref="O356:T356" si="365">ROUND(O65+O182+O289+O326+AB356,2)</f>
        <v>364009.96</v>
      </c>
      <c r="P356" s="11">
        <f t="shared" si="365"/>
        <v>356815.44</v>
      </c>
      <c r="Q356" s="11">
        <f t="shared" si="365"/>
        <v>213.12</v>
      </c>
      <c r="R356" s="11">
        <f t="shared" si="365"/>
        <v>21.53</v>
      </c>
      <c r="S356" s="11">
        <f t="shared" si="365"/>
        <v>6981.4</v>
      </c>
      <c r="T356" s="11">
        <f t="shared" si="365"/>
        <v>0</v>
      </c>
      <c r="U356" s="11">
        <f>U65+U182+U289+U326+AH356</f>
        <v>571.16713245599999</v>
      </c>
      <c r="V356" s="11">
        <f>V65+V182+V289+V326+AI356</f>
        <v>0</v>
      </c>
      <c r="W356" s="11">
        <f>ROUND(W65+W182+W289+W326+AJ356,2)</f>
        <v>0</v>
      </c>
      <c r="X356" s="11">
        <f>ROUND(X65+X182+X289+X326+AK356,2)</f>
        <v>6414.44</v>
      </c>
      <c r="Y356" s="11">
        <f>ROUND(Y65+Y182+Y289+Y326+AL356,2)</f>
        <v>3343.59</v>
      </c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>
        <f t="shared" ref="AO356:BD356" si="366">ROUND(AO65+AO182+AO289+AO326+BX356,2)</f>
        <v>0</v>
      </c>
      <c r="AP356" s="11">
        <f t="shared" si="366"/>
        <v>312261.27</v>
      </c>
      <c r="AQ356" s="11">
        <f t="shared" si="366"/>
        <v>0</v>
      </c>
      <c r="AR356" s="11">
        <f t="shared" si="366"/>
        <v>373767.99</v>
      </c>
      <c r="AS356" s="11">
        <f t="shared" si="366"/>
        <v>24325.5</v>
      </c>
      <c r="AT356" s="11">
        <f t="shared" si="366"/>
        <v>37181.22</v>
      </c>
      <c r="AU356" s="11">
        <f t="shared" si="366"/>
        <v>0</v>
      </c>
      <c r="AV356" s="11">
        <f t="shared" si="366"/>
        <v>356815.44</v>
      </c>
      <c r="AW356" s="11">
        <f t="shared" si="366"/>
        <v>44554.17</v>
      </c>
      <c r="AX356" s="11">
        <f t="shared" si="366"/>
        <v>0</v>
      </c>
      <c r="AY356" s="11">
        <f t="shared" si="366"/>
        <v>44554.17</v>
      </c>
      <c r="AZ356" s="11">
        <f t="shared" si="366"/>
        <v>312261.27</v>
      </c>
      <c r="BA356" s="11">
        <f t="shared" si="366"/>
        <v>0</v>
      </c>
      <c r="BB356" s="11">
        <f t="shared" si="366"/>
        <v>0</v>
      </c>
      <c r="BC356" s="11">
        <f t="shared" si="366"/>
        <v>0</v>
      </c>
      <c r="BD356" s="11">
        <f t="shared" si="366"/>
        <v>0</v>
      </c>
      <c r="BE356" s="11"/>
      <c r="BF356" s="11"/>
      <c r="BG356" s="11"/>
      <c r="BH356" s="11"/>
      <c r="BI356" s="11"/>
      <c r="BJ356" s="11"/>
      <c r="BK356" s="11"/>
      <c r="BL356" s="11"/>
      <c r="BM356" s="11"/>
      <c r="BN356" s="11"/>
      <c r="BO356" s="11"/>
      <c r="BP356" s="11"/>
      <c r="BQ356" s="11"/>
      <c r="BR356" s="11"/>
      <c r="BS356" s="11"/>
      <c r="BT356" s="11"/>
      <c r="BU356" s="11"/>
      <c r="BV356" s="11"/>
      <c r="BW356" s="11"/>
      <c r="BX356" s="11"/>
      <c r="BY356" s="11"/>
      <c r="BZ356" s="11"/>
      <c r="CA356" s="11"/>
      <c r="CB356" s="11"/>
      <c r="CC356" s="11"/>
      <c r="CD356" s="11"/>
      <c r="CE356" s="11"/>
      <c r="CF356" s="11"/>
      <c r="CG356" s="11"/>
      <c r="CH356" s="11"/>
      <c r="CI356" s="11"/>
      <c r="CJ356" s="11"/>
      <c r="CK356" s="11"/>
      <c r="CL356" s="11"/>
      <c r="CM356" s="11"/>
      <c r="CN356" s="11"/>
      <c r="CO356" s="11"/>
      <c r="CP356" s="11"/>
      <c r="CQ356" s="11"/>
      <c r="CR356" s="11"/>
      <c r="CS356" s="11"/>
      <c r="CT356" s="11"/>
      <c r="CU356" s="11"/>
      <c r="CV356" s="11"/>
      <c r="CW356" s="11"/>
      <c r="CX356" s="11"/>
      <c r="CY356" s="11"/>
      <c r="CZ356" s="11"/>
      <c r="DA356" s="11"/>
      <c r="DB356" s="11"/>
      <c r="DC356" s="11"/>
      <c r="DD356" s="11"/>
      <c r="DE356" s="11"/>
      <c r="DF356" s="11"/>
      <c r="DG356" s="12">
        <f t="shared" ref="DG356:DL356" si="367">ROUND(DG65+DG182+DG289+DG326+DT356,2)</f>
        <v>2967464.39</v>
      </c>
      <c r="DH356" s="12">
        <f t="shared" si="367"/>
        <v>2570957.58</v>
      </c>
      <c r="DI356" s="12">
        <f t="shared" si="367"/>
        <v>3104.91</v>
      </c>
      <c r="DJ356" s="12">
        <f t="shared" si="367"/>
        <v>1213.23</v>
      </c>
      <c r="DK356" s="12">
        <f t="shared" si="367"/>
        <v>393401.9</v>
      </c>
      <c r="DL356" s="12">
        <f t="shared" si="367"/>
        <v>0</v>
      </c>
      <c r="DM356" s="12">
        <f>DM65+DM182+DM289+DM326+DZ356</f>
        <v>571.16713245599999</v>
      </c>
      <c r="DN356" s="12">
        <f>DN65+DN182+DN289+DN326+EA356</f>
        <v>0</v>
      </c>
      <c r="DO356" s="12">
        <f>ROUND(DO65+DO182+DO289+DO326+EB356,2)</f>
        <v>0</v>
      </c>
      <c r="DP356" s="12">
        <f>ROUND(DP65+DP182+DP289+DP326+EC356,2)</f>
        <v>361454.49</v>
      </c>
      <c r="DQ356" s="12">
        <f>ROUND(DQ65+DQ182+DQ289+DQ326+ED356,2)</f>
        <v>188412.01</v>
      </c>
      <c r="DR356" s="12"/>
      <c r="DS356" s="12"/>
      <c r="DT356" s="12"/>
      <c r="DU356" s="12"/>
      <c r="DV356" s="12"/>
      <c r="DW356" s="12"/>
      <c r="DX356" s="12"/>
      <c r="DY356" s="12"/>
      <c r="DZ356" s="12"/>
      <c r="EA356" s="12"/>
      <c r="EB356" s="12"/>
      <c r="EC356" s="12"/>
      <c r="ED356" s="12"/>
      <c r="EE356" s="12"/>
      <c r="EF356" s="12"/>
      <c r="EG356" s="12">
        <f t="shared" ref="EG356:EV356" si="368">ROUND(EG65+EG182+EG289+EG326+FP356,2)</f>
        <v>0</v>
      </c>
      <c r="EH356" s="12">
        <f t="shared" si="368"/>
        <v>2351591.1</v>
      </c>
      <c r="EI356" s="12">
        <f t="shared" si="368"/>
        <v>0</v>
      </c>
      <c r="EJ356" s="12">
        <f t="shared" si="368"/>
        <v>3517330.89</v>
      </c>
      <c r="EK356" s="12">
        <f t="shared" si="368"/>
        <v>144820.94</v>
      </c>
      <c r="EL356" s="12">
        <f t="shared" si="368"/>
        <v>1020918.85</v>
      </c>
      <c r="EM356" s="12">
        <f t="shared" si="368"/>
        <v>0</v>
      </c>
      <c r="EN356" s="12">
        <f t="shared" si="368"/>
        <v>2570957.58</v>
      </c>
      <c r="EO356" s="12">
        <f t="shared" si="368"/>
        <v>219366.48</v>
      </c>
      <c r="EP356" s="12">
        <f t="shared" si="368"/>
        <v>0</v>
      </c>
      <c r="EQ356" s="12">
        <f t="shared" si="368"/>
        <v>219366.48</v>
      </c>
      <c r="ER356" s="12">
        <f t="shared" si="368"/>
        <v>2351591.1</v>
      </c>
      <c r="ES356" s="12">
        <f t="shared" si="368"/>
        <v>0</v>
      </c>
      <c r="ET356" s="12">
        <f t="shared" si="368"/>
        <v>0</v>
      </c>
      <c r="EU356" s="12">
        <f t="shared" si="368"/>
        <v>0</v>
      </c>
      <c r="EV356" s="12">
        <f t="shared" si="368"/>
        <v>0</v>
      </c>
      <c r="EW356" s="12"/>
      <c r="EX356" s="12"/>
      <c r="EY356" s="12"/>
      <c r="EZ356" s="12"/>
      <c r="FA356" s="12"/>
      <c r="FB356" s="12"/>
      <c r="FC356" s="12"/>
      <c r="FD356" s="12"/>
      <c r="FE356" s="12"/>
      <c r="FF356" s="12"/>
      <c r="FG356" s="12"/>
      <c r="FH356" s="12"/>
      <c r="FI356" s="12"/>
      <c r="FJ356" s="12"/>
      <c r="FK356" s="12"/>
      <c r="FL356" s="12"/>
      <c r="FM356" s="12"/>
      <c r="FN356" s="12"/>
      <c r="FO356" s="12"/>
      <c r="FP356" s="12"/>
      <c r="FQ356" s="12"/>
      <c r="FR356" s="12"/>
      <c r="FS356" s="12"/>
      <c r="FT356" s="12"/>
      <c r="FU356" s="12"/>
      <c r="FV356" s="12"/>
      <c r="FW356" s="12"/>
      <c r="FX356" s="12"/>
      <c r="FY356" s="12"/>
      <c r="FZ356" s="12"/>
      <c r="GA356" s="12"/>
      <c r="GB356" s="12"/>
      <c r="GC356" s="12"/>
      <c r="GD356" s="12"/>
      <c r="GE356" s="12"/>
      <c r="GF356" s="12"/>
      <c r="GG356" s="12"/>
      <c r="GH356" s="12"/>
      <c r="GI356" s="12"/>
      <c r="GJ356" s="12"/>
      <c r="GK356" s="12"/>
      <c r="GL356" s="12"/>
      <c r="GM356" s="12"/>
      <c r="GN356" s="12"/>
      <c r="GO356" s="12"/>
      <c r="GP356" s="12"/>
      <c r="GQ356" s="12"/>
      <c r="GR356" s="12"/>
      <c r="GS356" s="12"/>
      <c r="GT356" s="12"/>
      <c r="GU356" s="12"/>
      <c r="GV356" s="12"/>
      <c r="GW356" s="12"/>
      <c r="GX356" s="12">
        <v>0</v>
      </c>
    </row>
    <row r="358" spans="1:206" x14ac:dyDescent="0.2">
      <c r="A358" s="13">
        <v>50</v>
      </c>
      <c r="B358" s="13">
        <v>0</v>
      </c>
      <c r="C358" s="13">
        <v>0</v>
      </c>
      <c r="D358" s="13">
        <v>1</v>
      </c>
      <c r="E358" s="13">
        <v>201</v>
      </c>
      <c r="F358" s="13">
        <f>ROUND(Source!O356,O358)</f>
        <v>364009.96</v>
      </c>
      <c r="G358" s="13" t="s">
        <v>132</v>
      </c>
      <c r="H358" s="13" t="s">
        <v>133</v>
      </c>
      <c r="I358" s="13"/>
      <c r="J358" s="13"/>
      <c r="K358" s="13">
        <v>201</v>
      </c>
      <c r="L358" s="13">
        <v>1</v>
      </c>
      <c r="M358" s="13">
        <v>3</v>
      </c>
      <c r="N358" s="13" t="s">
        <v>3</v>
      </c>
      <c r="O358" s="13">
        <v>2</v>
      </c>
      <c r="P358" s="13">
        <f>ROUND(Source!DG356,O358)</f>
        <v>2967464.39</v>
      </c>
      <c r="Q358" s="13"/>
      <c r="R358" s="13"/>
      <c r="S358" s="13"/>
      <c r="T358" s="13"/>
      <c r="U358" s="13"/>
      <c r="V358" s="13"/>
      <c r="W358" s="13">
        <v>364009.96</v>
      </c>
      <c r="X358" s="13">
        <v>1</v>
      </c>
      <c r="Y358" s="13">
        <v>364009.96</v>
      </c>
      <c r="Z358" s="13">
        <v>2967464.39</v>
      </c>
      <c r="AA358" s="13">
        <v>1</v>
      </c>
      <c r="AB358" s="13">
        <v>2967464.39</v>
      </c>
    </row>
    <row r="359" spans="1:206" x14ac:dyDescent="0.2">
      <c r="A359" s="13">
        <v>50</v>
      </c>
      <c r="B359" s="13">
        <v>0</v>
      </c>
      <c r="C359" s="13">
        <v>0</v>
      </c>
      <c r="D359" s="13">
        <v>1</v>
      </c>
      <c r="E359" s="13">
        <v>202</v>
      </c>
      <c r="F359" s="13">
        <f>ROUND(Source!P356,O359)</f>
        <v>356815.44</v>
      </c>
      <c r="G359" s="13" t="s">
        <v>134</v>
      </c>
      <c r="H359" s="13" t="s">
        <v>135</v>
      </c>
      <c r="I359" s="13"/>
      <c r="J359" s="13"/>
      <c r="K359" s="13">
        <v>202</v>
      </c>
      <c r="L359" s="13">
        <v>2</v>
      </c>
      <c r="M359" s="13">
        <v>3</v>
      </c>
      <c r="N359" s="13" t="s">
        <v>3</v>
      </c>
      <c r="O359" s="13">
        <v>2</v>
      </c>
      <c r="P359" s="13">
        <f>ROUND(Source!DH356,O359)</f>
        <v>2570957.58</v>
      </c>
      <c r="Q359" s="13"/>
      <c r="R359" s="13"/>
      <c r="S359" s="13"/>
      <c r="T359" s="13"/>
      <c r="U359" s="13"/>
      <c r="V359" s="13"/>
      <c r="W359" s="13">
        <v>356815.44</v>
      </c>
      <c r="X359" s="13">
        <v>1</v>
      </c>
      <c r="Y359" s="13">
        <v>356815.44</v>
      </c>
      <c r="Z359" s="13">
        <v>2570957.58</v>
      </c>
      <c r="AA359" s="13">
        <v>1</v>
      </c>
      <c r="AB359" s="13">
        <v>2570957.58</v>
      </c>
    </row>
    <row r="360" spans="1:206" x14ac:dyDescent="0.2">
      <c r="A360" s="13">
        <v>50</v>
      </c>
      <c r="B360" s="13">
        <v>0</v>
      </c>
      <c r="C360" s="13">
        <v>0</v>
      </c>
      <c r="D360" s="13">
        <v>1</v>
      </c>
      <c r="E360" s="13">
        <v>222</v>
      </c>
      <c r="F360" s="13">
        <f>ROUND(Source!AO356,O360)</f>
        <v>0</v>
      </c>
      <c r="G360" s="13" t="s">
        <v>136</v>
      </c>
      <c r="H360" s="13" t="s">
        <v>137</v>
      </c>
      <c r="I360" s="13"/>
      <c r="J360" s="13"/>
      <c r="K360" s="13">
        <v>222</v>
      </c>
      <c r="L360" s="13">
        <v>3</v>
      </c>
      <c r="M360" s="13">
        <v>3</v>
      </c>
      <c r="N360" s="13" t="s">
        <v>3</v>
      </c>
      <c r="O360" s="13">
        <v>2</v>
      </c>
      <c r="P360" s="13">
        <f>ROUND(Source!EG356,O360)</f>
        <v>0</v>
      </c>
      <c r="Q360" s="13"/>
      <c r="R360" s="13"/>
      <c r="S360" s="13"/>
      <c r="T360" s="13"/>
      <c r="U360" s="13"/>
      <c r="V360" s="13"/>
      <c r="W360" s="13">
        <v>0</v>
      </c>
      <c r="X360" s="13">
        <v>1</v>
      </c>
      <c r="Y360" s="13">
        <v>0</v>
      </c>
      <c r="Z360" s="13">
        <v>0</v>
      </c>
      <c r="AA360" s="13">
        <v>1</v>
      </c>
      <c r="AB360" s="13">
        <v>0</v>
      </c>
    </row>
    <row r="361" spans="1:206" x14ac:dyDescent="0.2">
      <c r="A361" s="13">
        <v>50</v>
      </c>
      <c r="B361" s="13">
        <v>0</v>
      </c>
      <c r="C361" s="13">
        <v>0</v>
      </c>
      <c r="D361" s="13">
        <v>1</v>
      </c>
      <c r="E361" s="13">
        <v>225</v>
      </c>
      <c r="F361" s="13">
        <f>ROUND(Source!AV356,O361)</f>
        <v>356815.44</v>
      </c>
      <c r="G361" s="13" t="s">
        <v>138</v>
      </c>
      <c r="H361" s="13" t="s">
        <v>139</v>
      </c>
      <c r="I361" s="13"/>
      <c r="J361" s="13"/>
      <c r="K361" s="13">
        <v>225</v>
      </c>
      <c r="L361" s="13">
        <v>4</v>
      </c>
      <c r="M361" s="13">
        <v>3</v>
      </c>
      <c r="N361" s="13" t="s">
        <v>3</v>
      </c>
      <c r="O361" s="13">
        <v>2</v>
      </c>
      <c r="P361" s="13">
        <f>ROUND(Source!EN356,O361)</f>
        <v>2570957.58</v>
      </c>
      <c r="Q361" s="13"/>
      <c r="R361" s="13"/>
      <c r="S361" s="13"/>
      <c r="T361" s="13"/>
      <c r="U361" s="13"/>
      <c r="V361" s="13"/>
      <c r="W361" s="13">
        <v>356815.44</v>
      </c>
      <c r="X361" s="13">
        <v>1</v>
      </c>
      <c r="Y361" s="13">
        <v>356815.44</v>
      </c>
      <c r="Z361" s="13">
        <v>2570957.58</v>
      </c>
      <c r="AA361" s="13">
        <v>1</v>
      </c>
      <c r="AB361" s="13">
        <v>2570957.58</v>
      </c>
    </row>
    <row r="362" spans="1:206" x14ac:dyDescent="0.2">
      <c r="A362" s="13">
        <v>50</v>
      </c>
      <c r="B362" s="13">
        <v>0</v>
      </c>
      <c r="C362" s="13">
        <v>0</v>
      </c>
      <c r="D362" s="13">
        <v>1</v>
      </c>
      <c r="E362" s="13">
        <v>226</v>
      </c>
      <c r="F362" s="13">
        <f>ROUND(Source!AW356,O362)</f>
        <v>44554.17</v>
      </c>
      <c r="G362" s="13" t="s">
        <v>140</v>
      </c>
      <c r="H362" s="13" t="s">
        <v>141</v>
      </c>
      <c r="I362" s="13"/>
      <c r="J362" s="13"/>
      <c r="K362" s="13">
        <v>226</v>
      </c>
      <c r="L362" s="13">
        <v>5</v>
      </c>
      <c r="M362" s="13">
        <v>3</v>
      </c>
      <c r="N362" s="13" t="s">
        <v>3</v>
      </c>
      <c r="O362" s="13">
        <v>2</v>
      </c>
      <c r="P362" s="13">
        <f>ROUND(Source!EO356,O362)</f>
        <v>219366.48</v>
      </c>
      <c r="Q362" s="13"/>
      <c r="R362" s="13"/>
      <c r="S362" s="13"/>
      <c r="T362" s="13"/>
      <c r="U362" s="13"/>
      <c r="V362" s="13"/>
      <c r="W362" s="13">
        <v>44554.17</v>
      </c>
      <c r="X362" s="13">
        <v>1</v>
      </c>
      <c r="Y362" s="13">
        <v>44554.17</v>
      </c>
      <c r="Z362" s="13">
        <v>219366.48</v>
      </c>
      <c r="AA362" s="13">
        <v>1</v>
      </c>
      <c r="AB362" s="13">
        <v>219366.48</v>
      </c>
    </row>
    <row r="363" spans="1:206" x14ac:dyDescent="0.2">
      <c r="A363" s="13">
        <v>50</v>
      </c>
      <c r="B363" s="13">
        <v>0</v>
      </c>
      <c r="C363" s="13">
        <v>0</v>
      </c>
      <c r="D363" s="13">
        <v>1</v>
      </c>
      <c r="E363" s="13">
        <v>227</v>
      </c>
      <c r="F363" s="13">
        <f>ROUND(Source!AX356,O363)</f>
        <v>0</v>
      </c>
      <c r="G363" s="13" t="s">
        <v>142</v>
      </c>
      <c r="H363" s="13" t="s">
        <v>143</v>
      </c>
      <c r="I363" s="13"/>
      <c r="J363" s="13"/>
      <c r="K363" s="13">
        <v>227</v>
      </c>
      <c r="L363" s="13">
        <v>6</v>
      </c>
      <c r="M363" s="13">
        <v>3</v>
      </c>
      <c r="N363" s="13" t="s">
        <v>3</v>
      </c>
      <c r="O363" s="13">
        <v>2</v>
      </c>
      <c r="P363" s="13">
        <f>ROUND(Source!EP356,O363)</f>
        <v>0</v>
      </c>
      <c r="Q363" s="13"/>
      <c r="R363" s="13"/>
      <c r="S363" s="13"/>
      <c r="T363" s="13"/>
      <c r="U363" s="13"/>
      <c r="V363" s="13"/>
      <c r="W363" s="13">
        <v>0</v>
      </c>
      <c r="X363" s="13">
        <v>1</v>
      </c>
      <c r="Y363" s="13">
        <v>0</v>
      </c>
      <c r="Z363" s="13">
        <v>0</v>
      </c>
      <c r="AA363" s="13">
        <v>1</v>
      </c>
      <c r="AB363" s="13">
        <v>0</v>
      </c>
    </row>
    <row r="364" spans="1:206" x14ac:dyDescent="0.2">
      <c r="A364" s="13">
        <v>50</v>
      </c>
      <c r="B364" s="13">
        <v>0</v>
      </c>
      <c r="C364" s="13">
        <v>0</v>
      </c>
      <c r="D364" s="13">
        <v>1</v>
      </c>
      <c r="E364" s="13">
        <v>228</v>
      </c>
      <c r="F364" s="13">
        <f>ROUND(Source!AY356,O364)</f>
        <v>44554.17</v>
      </c>
      <c r="G364" s="13" t="s">
        <v>144</v>
      </c>
      <c r="H364" s="13" t="s">
        <v>145</v>
      </c>
      <c r="I364" s="13"/>
      <c r="J364" s="13"/>
      <c r="K364" s="13">
        <v>228</v>
      </c>
      <c r="L364" s="13">
        <v>7</v>
      </c>
      <c r="M364" s="13">
        <v>3</v>
      </c>
      <c r="N364" s="13" t="s">
        <v>3</v>
      </c>
      <c r="O364" s="13">
        <v>2</v>
      </c>
      <c r="P364" s="13">
        <f>ROUND(Source!EQ356,O364)</f>
        <v>219366.48</v>
      </c>
      <c r="Q364" s="13"/>
      <c r="R364" s="13"/>
      <c r="S364" s="13"/>
      <c r="T364" s="13"/>
      <c r="U364" s="13"/>
      <c r="V364" s="13"/>
      <c r="W364" s="13">
        <v>44554.17</v>
      </c>
      <c r="X364" s="13">
        <v>1</v>
      </c>
      <c r="Y364" s="13">
        <v>44554.17</v>
      </c>
      <c r="Z364" s="13">
        <v>219366.48</v>
      </c>
      <c r="AA364" s="13">
        <v>1</v>
      </c>
      <c r="AB364" s="13">
        <v>219366.48</v>
      </c>
    </row>
    <row r="365" spans="1:206" x14ac:dyDescent="0.2">
      <c r="A365" s="13">
        <v>50</v>
      </c>
      <c r="B365" s="13">
        <v>0</v>
      </c>
      <c r="C365" s="13">
        <v>0</v>
      </c>
      <c r="D365" s="13">
        <v>1</v>
      </c>
      <c r="E365" s="13">
        <v>216</v>
      </c>
      <c r="F365" s="13">
        <f>ROUND(Source!AP356,O365)</f>
        <v>312261.27</v>
      </c>
      <c r="G365" s="13" t="s">
        <v>146</v>
      </c>
      <c r="H365" s="13" t="s">
        <v>147</v>
      </c>
      <c r="I365" s="13"/>
      <c r="J365" s="13"/>
      <c r="K365" s="13">
        <v>216</v>
      </c>
      <c r="L365" s="13">
        <v>8</v>
      </c>
      <c r="M365" s="13">
        <v>3</v>
      </c>
      <c r="N365" s="13" t="s">
        <v>3</v>
      </c>
      <c r="O365" s="13">
        <v>2</v>
      </c>
      <c r="P365" s="13">
        <f>ROUND(Source!EH356,O365)</f>
        <v>2351591.1</v>
      </c>
      <c r="Q365" s="13"/>
      <c r="R365" s="13"/>
      <c r="S365" s="13"/>
      <c r="T365" s="13"/>
      <c r="U365" s="13"/>
      <c r="V365" s="13"/>
      <c r="W365" s="13">
        <v>312261.27</v>
      </c>
      <c r="X365" s="13">
        <v>1</v>
      </c>
      <c r="Y365" s="13">
        <v>312261.27</v>
      </c>
      <c r="Z365" s="13">
        <v>2351591.1</v>
      </c>
      <c r="AA365" s="13">
        <v>1</v>
      </c>
      <c r="AB365" s="13">
        <v>2351591.1</v>
      </c>
    </row>
    <row r="366" spans="1:206" x14ac:dyDescent="0.2">
      <c r="A366" s="13">
        <v>50</v>
      </c>
      <c r="B366" s="13">
        <v>0</v>
      </c>
      <c r="C366" s="13">
        <v>0</v>
      </c>
      <c r="D366" s="13">
        <v>1</v>
      </c>
      <c r="E366" s="13">
        <v>223</v>
      </c>
      <c r="F366" s="13">
        <f>ROUND(Source!AQ356,O366)</f>
        <v>0</v>
      </c>
      <c r="G366" s="13" t="s">
        <v>148</v>
      </c>
      <c r="H366" s="13" t="s">
        <v>149</v>
      </c>
      <c r="I366" s="13"/>
      <c r="J366" s="13"/>
      <c r="K366" s="13">
        <v>223</v>
      </c>
      <c r="L366" s="13">
        <v>9</v>
      </c>
      <c r="M366" s="13">
        <v>3</v>
      </c>
      <c r="N366" s="13" t="s">
        <v>3</v>
      </c>
      <c r="O366" s="13">
        <v>2</v>
      </c>
      <c r="P366" s="13">
        <f>ROUND(Source!EI356,O366)</f>
        <v>0</v>
      </c>
      <c r="Q366" s="13"/>
      <c r="R366" s="13"/>
      <c r="S366" s="13"/>
      <c r="T366" s="13"/>
      <c r="U366" s="13"/>
      <c r="V366" s="13"/>
      <c r="W366" s="13">
        <v>0</v>
      </c>
      <c r="X366" s="13">
        <v>1</v>
      </c>
      <c r="Y366" s="13">
        <v>0</v>
      </c>
      <c r="Z366" s="13">
        <v>0</v>
      </c>
      <c r="AA366" s="13">
        <v>1</v>
      </c>
      <c r="AB366" s="13">
        <v>0</v>
      </c>
    </row>
    <row r="367" spans="1:206" x14ac:dyDescent="0.2">
      <c r="A367" s="13">
        <v>50</v>
      </c>
      <c r="B367" s="13">
        <v>0</v>
      </c>
      <c r="C367" s="13">
        <v>0</v>
      </c>
      <c r="D367" s="13">
        <v>1</v>
      </c>
      <c r="E367" s="13">
        <v>229</v>
      </c>
      <c r="F367" s="13">
        <f>ROUND(Source!AZ356,O367)</f>
        <v>312261.27</v>
      </c>
      <c r="G367" s="13" t="s">
        <v>150</v>
      </c>
      <c r="H367" s="13" t="s">
        <v>151</v>
      </c>
      <c r="I367" s="13"/>
      <c r="J367" s="13"/>
      <c r="K367" s="13">
        <v>229</v>
      </c>
      <c r="L367" s="13">
        <v>10</v>
      </c>
      <c r="M367" s="13">
        <v>3</v>
      </c>
      <c r="N367" s="13" t="s">
        <v>3</v>
      </c>
      <c r="O367" s="13">
        <v>2</v>
      </c>
      <c r="P367" s="13">
        <f>ROUND(Source!ER356,O367)</f>
        <v>2351591.1</v>
      </c>
      <c r="Q367" s="13"/>
      <c r="R367" s="13"/>
      <c r="S367" s="13"/>
      <c r="T367" s="13"/>
      <c r="U367" s="13"/>
      <c r="V367" s="13"/>
      <c r="W367" s="13">
        <v>312261.27</v>
      </c>
      <c r="X367" s="13">
        <v>1</v>
      </c>
      <c r="Y367" s="13">
        <v>312261.27</v>
      </c>
      <c r="Z367" s="13">
        <v>2351591.1</v>
      </c>
      <c r="AA367" s="13">
        <v>1</v>
      </c>
      <c r="AB367" s="13">
        <v>2351591.1</v>
      </c>
    </row>
    <row r="368" spans="1:206" x14ac:dyDescent="0.2">
      <c r="A368" s="13">
        <v>50</v>
      </c>
      <c r="B368" s="13">
        <v>0</v>
      </c>
      <c r="C368" s="13">
        <v>0</v>
      </c>
      <c r="D368" s="13">
        <v>1</v>
      </c>
      <c r="E368" s="13">
        <v>203</v>
      </c>
      <c r="F368" s="13">
        <f>ROUND(Source!Q356,O368)</f>
        <v>213.12</v>
      </c>
      <c r="G368" s="13" t="s">
        <v>152</v>
      </c>
      <c r="H368" s="13" t="s">
        <v>153</v>
      </c>
      <c r="I368" s="13"/>
      <c r="J368" s="13"/>
      <c r="K368" s="13">
        <v>203</v>
      </c>
      <c r="L368" s="13">
        <v>11</v>
      </c>
      <c r="M368" s="13">
        <v>3</v>
      </c>
      <c r="N368" s="13" t="s">
        <v>3</v>
      </c>
      <c r="O368" s="13">
        <v>2</v>
      </c>
      <c r="P368" s="13">
        <f>ROUND(Source!DI356,O368)</f>
        <v>3104.91</v>
      </c>
      <c r="Q368" s="13"/>
      <c r="R368" s="13"/>
      <c r="S368" s="13"/>
      <c r="T368" s="13"/>
      <c r="U368" s="13"/>
      <c r="V368" s="13"/>
      <c r="W368" s="13">
        <v>213.12</v>
      </c>
      <c r="X368" s="13">
        <v>1</v>
      </c>
      <c r="Y368" s="13">
        <v>213.12</v>
      </c>
      <c r="Z368" s="13">
        <v>3104.91</v>
      </c>
      <c r="AA368" s="13">
        <v>1</v>
      </c>
      <c r="AB368" s="13">
        <v>3104.91</v>
      </c>
    </row>
    <row r="369" spans="1:28" x14ac:dyDescent="0.2">
      <c r="A369" s="13">
        <v>50</v>
      </c>
      <c r="B369" s="13">
        <v>0</v>
      </c>
      <c r="C369" s="13">
        <v>0</v>
      </c>
      <c r="D369" s="13">
        <v>1</v>
      </c>
      <c r="E369" s="13">
        <v>231</v>
      </c>
      <c r="F369" s="13">
        <f>ROUND(Source!BB356,O369)</f>
        <v>0</v>
      </c>
      <c r="G369" s="13" t="s">
        <v>154</v>
      </c>
      <c r="H369" s="13" t="s">
        <v>155</v>
      </c>
      <c r="I369" s="13"/>
      <c r="J369" s="13"/>
      <c r="K369" s="13">
        <v>231</v>
      </c>
      <c r="L369" s="13">
        <v>12</v>
      </c>
      <c r="M369" s="13">
        <v>3</v>
      </c>
      <c r="N369" s="13" t="s">
        <v>3</v>
      </c>
      <c r="O369" s="13">
        <v>2</v>
      </c>
      <c r="P369" s="13">
        <f>ROUND(Source!ET356,O369)</f>
        <v>0</v>
      </c>
      <c r="Q369" s="13"/>
      <c r="R369" s="13"/>
      <c r="S369" s="13"/>
      <c r="T369" s="13"/>
      <c r="U369" s="13"/>
      <c r="V369" s="13"/>
      <c r="W369" s="13">
        <v>0</v>
      </c>
      <c r="X369" s="13">
        <v>1</v>
      </c>
      <c r="Y369" s="13">
        <v>0</v>
      </c>
      <c r="Z369" s="13">
        <v>0</v>
      </c>
      <c r="AA369" s="13">
        <v>1</v>
      </c>
      <c r="AB369" s="13">
        <v>0</v>
      </c>
    </row>
    <row r="370" spans="1:28" x14ac:dyDescent="0.2">
      <c r="A370" s="13">
        <v>50</v>
      </c>
      <c r="B370" s="13">
        <v>0</v>
      </c>
      <c r="C370" s="13">
        <v>0</v>
      </c>
      <c r="D370" s="13">
        <v>1</v>
      </c>
      <c r="E370" s="13">
        <v>204</v>
      </c>
      <c r="F370" s="13">
        <f>ROUND(Source!R356,O370)</f>
        <v>21.53</v>
      </c>
      <c r="G370" s="13" t="s">
        <v>156</v>
      </c>
      <c r="H370" s="13" t="s">
        <v>157</v>
      </c>
      <c r="I370" s="13"/>
      <c r="J370" s="13"/>
      <c r="K370" s="13">
        <v>204</v>
      </c>
      <c r="L370" s="13">
        <v>13</v>
      </c>
      <c r="M370" s="13">
        <v>3</v>
      </c>
      <c r="N370" s="13" t="s">
        <v>3</v>
      </c>
      <c r="O370" s="13">
        <v>2</v>
      </c>
      <c r="P370" s="13">
        <f>ROUND(Source!DJ356,O370)</f>
        <v>1213.23</v>
      </c>
      <c r="Q370" s="13"/>
      <c r="R370" s="13"/>
      <c r="S370" s="13"/>
      <c r="T370" s="13"/>
      <c r="U370" s="13"/>
      <c r="V370" s="13"/>
      <c r="W370" s="13">
        <v>21.53</v>
      </c>
      <c r="X370" s="13">
        <v>1</v>
      </c>
      <c r="Y370" s="13">
        <v>21.53</v>
      </c>
      <c r="Z370" s="13">
        <v>1213.23</v>
      </c>
      <c r="AA370" s="13">
        <v>1</v>
      </c>
      <c r="AB370" s="13">
        <v>1213.23</v>
      </c>
    </row>
    <row r="371" spans="1:28" x14ac:dyDescent="0.2">
      <c r="A371" s="13">
        <v>50</v>
      </c>
      <c r="B371" s="13">
        <v>0</v>
      </c>
      <c r="C371" s="13">
        <v>0</v>
      </c>
      <c r="D371" s="13">
        <v>1</v>
      </c>
      <c r="E371" s="13">
        <v>205</v>
      </c>
      <c r="F371" s="13">
        <f>ROUND(Source!S356,O371)</f>
        <v>6981.4</v>
      </c>
      <c r="G371" s="13" t="s">
        <v>158</v>
      </c>
      <c r="H371" s="13" t="s">
        <v>159</v>
      </c>
      <c r="I371" s="13"/>
      <c r="J371" s="13"/>
      <c r="K371" s="13">
        <v>205</v>
      </c>
      <c r="L371" s="13">
        <v>14</v>
      </c>
      <c r="M371" s="13">
        <v>3</v>
      </c>
      <c r="N371" s="13" t="s">
        <v>3</v>
      </c>
      <c r="O371" s="13">
        <v>2</v>
      </c>
      <c r="P371" s="13">
        <f>ROUND(Source!DK356,O371)</f>
        <v>393401.9</v>
      </c>
      <c r="Q371" s="13"/>
      <c r="R371" s="13"/>
      <c r="S371" s="13"/>
      <c r="T371" s="13"/>
      <c r="U371" s="13"/>
      <c r="V371" s="13"/>
      <c r="W371" s="13">
        <v>6981.4</v>
      </c>
      <c r="X371" s="13">
        <v>1</v>
      </c>
      <c r="Y371" s="13">
        <v>6981.4</v>
      </c>
      <c r="Z371" s="13">
        <v>393401.9</v>
      </c>
      <c r="AA371" s="13">
        <v>1</v>
      </c>
      <c r="AB371" s="13">
        <v>393401.9</v>
      </c>
    </row>
    <row r="372" spans="1:28" x14ac:dyDescent="0.2">
      <c r="A372" s="13">
        <v>50</v>
      </c>
      <c r="B372" s="13">
        <v>0</v>
      </c>
      <c r="C372" s="13">
        <v>0</v>
      </c>
      <c r="D372" s="13">
        <v>1</v>
      </c>
      <c r="E372" s="13">
        <v>232</v>
      </c>
      <c r="F372" s="13">
        <f>ROUND(Source!BC356,O372)</f>
        <v>0</v>
      </c>
      <c r="G372" s="13" t="s">
        <v>160</v>
      </c>
      <c r="H372" s="13" t="s">
        <v>161</v>
      </c>
      <c r="I372" s="13"/>
      <c r="J372" s="13"/>
      <c r="K372" s="13">
        <v>232</v>
      </c>
      <c r="L372" s="13">
        <v>15</v>
      </c>
      <c r="M372" s="13">
        <v>3</v>
      </c>
      <c r="N372" s="13" t="s">
        <v>3</v>
      </c>
      <c r="O372" s="13">
        <v>2</v>
      </c>
      <c r="P372" s="13">
        <f>ROUND(Source!EU356,O372)</f>
        <v>0</v>
      </c>
      <c r="Q372" s="13"/>
      <c r="R372" s="13"/>
      <c r="S372" s="13"/>
      <c r="T372" s="13"/>
      <c r="U372" s="13"/>
      <c r="V372" s="13"/>
      <c r="W372" s="13">
        <v>0</v>
      </c>
      <c r="X372" s="13">
        <v>1</v>
      </c>
      <c r="Y372" s="13">
        <v>0</v>
      </c>
      <c r="Z372" s="13">
        <v>0</v>
      </c>
      <c r="AA372" s="13">
        <v>1</v>
      </c>
      <c r="AB372" s="13">
        <v>0</v>
      </c>
    </row>
    <row r="373" spans="1:28" x14ac:dyDescent="0.2">
      <c r="A373" s="13">
        <v>50</v>
      </c>
      <c r="B373" s="13">
        <v>0</v>
      </c>
      <c r="C373" s="13">
        <v>0</v>
      </c>
      <c r="D373" s="13">
        <v>1</v>
      </c>
      <c r="E373" s="13">
        <v>214</v>
      </c>
      <c r="F373" s="13">
        <f>ROUND(Source!AS356,O373)</f>
        <v>24325.5</v>
      </c>
      <c r="G373" s="13" t="s">
        <v>162</v>
      </c>
      <c r="H373" s="13" t="s">
        <v>163</v>
      </c>
      <c r="I373" s="13"/>
      <c r="J373" s="13"/>
      <c r="K373" s="13">
        <v>214</v>
      </c>
      <c r="L373" s="13">
        <v>16</v>
      </c>
      <c r="M373" s="13">
        <v>3</v>
      </c>
      <c r="N373" s="13" t="s">
        <v>3</v>
      </c>
      <c r="O373" s="13">
        <v>2</v>
      </c>
      <c r="P373" s="13">
        <f>ROUND(Source!EK356,O373)</f>
        <v>144820.94</v>
      </c>
      <c r="Q373" s="13"/>
      <c r="R373" s="13"/>
      <c r="S373" s="13"/>
      <c r="T373" s="13"/>
      <c r="U373" s="13"/>
      <c r="V373" s="13"/>
      <c r="W373" s="13">
        <v>24325.5</v>
      </c>
      <c r="X373" s="13">
        <v>1</v>
      </c>
      <c r="Y373" s="13">
        <v>24325.5</v>
      </c>
      <c r="Z373" s="13">
        <v>144820.94</v>
      </c>
      <c r="AA373" s="13">
        <v>1</v>
      </c>
      <c r="AB373" s="13">
        <v>144820.94</v>
      </c>
    </row>
    <row r="374" spans="1:28" x14ac:dyDescent="0.2">
      <c r="A374" s="13">
        <v>50</v>
      </c>
      <c r="B374" s="13">
        <v>0</v>
      </c>
      <c r="C374" s="13">
        <v>0</v>
      </c>
      <c r="D374" s="13">
        <v>1</v>
      </c>
      <c r="E374" s="13">
        <v>215</v>
      </c>
      <c r="F374" s="13">
        <f>ROUND(Source!AT356,O374)</f>
        <v>37181.22</v>
      </c>
      <c r="G374" s="13" t="s">
        <v>164</v>
      </c>
      <c r="H374" s="13" t="s">
        <v>165</v>
      </c>
      <c r="I374" s="13"/>
      <c r="J374" s="13"/>
      <c r="K374" s="13">
        <v>215</v>
      </c>
      <c r="L374" s="13">
        <v>17</v>
      </c>
      <c r="M374" s="13">
        <v>3</v>
      </c>
      <c r="N374" s="13" t="s">
        <v>3</v>
      </c>
      <c r="O374" s="13">
        <v>2</v>
      </c>
      <c r="P374" s="13">
        <f>ROUND(Source!EL356,O374)</f>
        <v>1020918.85</v>
      </c>
      <c r="Q374" s="13"/>
      <c r="R374" s="13"/>
      <c r="S374" s="13"/>
      <c r="T374" s="13"/>
      <c r="U374" s="13"/>
      <c r="V374" s="13"/>
      <c r="W374" s="13">
        <v>37181.22</v>
      </c>
      <c r="X374" s="13">
        <v>1</v>
      </c>
      <c r="Y374" s="13">
        <v>37181.22</v>
      </c>
      <c r="Z374" s="13">
        <v>1020918.85</v>
      </c>
      <c r="AA374" s="13">
        <v>1</v>
      </c>
      <c r="AB374" s="13">
        <v>1020918.85</v>
      </c>
    </row>
    <row r="375" spans="1:28" x14ac:dyDescent="0.2">
      <c r="A375" s="13">
        <v>50</v>
      </c>
      <c r="B375" s="13">
        <v>0</v>
      </c>
      <c r="C375" s="13">
        <v>0</v>
      </c>
      <c r="D375" s="13">
        <v>1</v>
      </c>
      <c r="E375" s="13">
        <v>217</v>
      </c>
      <c r="F375" s="13">
        <f>ROUND(Source!AU356,O375)</f>
        <v>0</v>
      </c>
      <c r="G375" s="13" t="s">
        <v>166</v>
      </c>
      <c r="H375" s="13" t="s">
        <v>167</v>
      </c>
      <c r="I375" s="13"/>
      <c r="J375" s="13"/>
      <c r="K375" s="13">
        <v>217</v>
      </c>
      <c r="L375" s="13">
        <v>18</v>
      </c>
      <c r="M375" s="13">
        <v>3</v>
      </c>
      <c r="N375" s="13" t="s">
        <v>3</v>
      </c>
      <c r="O375" s="13">
        <v>2</v>
      </c>
      <c r="P375" s="13">
        <f>ROUND(Source!EM356,O375)</f>
        <v>0</v>
      </c>
      <c r="Q375" s="13"/>
      <c r="R375" s="13"/>
      <c r="S375" s="13"/>
      <c r="T375" s="13"/>
      <c r="U375" s="13"/>
      <c r="V375" s="13"/>
      <c r="W375" s="13">
        <v>0</v>
      </c>
      <c r="X375" s="13">
        <v>1</v>
      </c>
      <c r="Y375" s="13">
        <v>0</v>
      </c>
      <c r="Z375" s="13">
        <v>0</v>
      </c>
      <c r="AA375" s="13">
        <v>1</v>
      </c>
      <c r="AB375" s="13">
        <v>0</v>
      </c>
    </row>
    <row r="376" spans="1:28" x14ac:dyDescent="0.2">
      <c r="A376" s="13">
        <v>50</v>
      </c>
      <c r="B376" s="13">
        <v>0</v>
      </c>
      <c r="C376" s="13">
        <v>0</v>
      </c>
      <c r="D376" s="13">
        <v>1</v>
      </c>
      <c r="E376" s="13">
        <v>230</v>
      </c>
      <c r="F376" s="13">
        <f>ROUND(Source!BA356,O376)</f>
        <v>0</v>
      </c>
      <c r="G376" s="13" t="s">
        <v>168</v>
      </c>
      <c r="H376" s="13" t="s">
        <v>169</v>
      </c>
      <c r="I376" s="13"/>
      <c r="J376" s="13"/>
      <c r="K376" s="13">
        <v>230</v>
      </c>
      <c r="L376" s="13">
        <v>19</v>
      </c>
      <c r="M376" s="13">
        <v>3</v>
      </c>
      <c r="N376" s="13" t="s">
        <v>3</v>
      </c>
      <c r="O376" s="13">
        <v>2</v>
      </c>
      <c r="P376" s="13">
        <f>ROUND(Source!ES356,O376)</f>
        <v>0</v>
      </c>
      <c r="Q376" s="13"/>
      <c r="R376" s="13"/>
      <c r="S376" s="13"/>
      <c r="T376" s="13"/>
      <c r="U376" s="13"/>
      <c r="V376" s="13"/>
      <c r="W376" s="13">
        <v>0</v>
      </c>
      <c r="X376" s="13">
        <v>1</v>
      </c>
      <c r="Y376" s="13">
        <v>0</v>
      </c>
      <c r="Z376" s="13">
        <v>0</v>
      </c>
      <c r="AA376" s="13">
        <v>1</v>
      </c>
      <c r="AB376" s="13">
        <v>0</v>
      </c>
    </row>
    <row r="377" spans="1:28" x14ac:dyDescent="0.2">
      <c r="A377" s="13">
        <v>50</v>
      </c>
      <c r="B377" s="13">
        <v>0</v>
      </c>
      <c r="C377" s="13">
        <v>0</v>
      </c>
      <c r="D377" s="13">
        <v>1</v>
      </c>
      <c r="E377" s="13">
        <v>206</v>
      </c>
      <c r="F377" s="13">
        <f>ROUND(Source!T356,O377)</f>
        <v>0</v>
      </c>
      <c r="G377" s="13" t="s">
        <v>170</v>
      </c>
      <c r="H377" s="13" t="s">
        <v>171</v>
      </c>
      <c r="I377" s="13"/>
      <c r="J377" s="13"/>
      <c r="K377" s="13">
        <v>206</v>
      </c>
      <c r="L377" s="13">
        <v>20</v>
      </c>
      <c r="M377" s="13">
        <v>3</v>
      </c>
      <c r="N377" s="13" t="s">
        <v>3</v>
      </c>
      <c r="O377" s="13">
        <v>2</v>
      </c>
      <c r="P377" s="13">
        <f>ROUND(Source!DL356,O377)</f>
        <v>0</v>
      </c>
      <c r="Q377" s="13"/>
      <c r="R377" s="13"/>
      <c r="S377" s="13"/>
      <c r="T377" s="13"/>
      <c r="U377" s="13"/>
      <c r="V377" s="13"/>
      <c r="W377" s="13">
        <v>0</v>
      </c>
      <c r="X377" s="13">
        <v>1</v>
      </c>
      <c r="Y377" s="13">
        <v>0</v>
      </c>
      <c r="Z377" s="13">
        <v>0</v>
      </c>
      <c r="AA377" s="13">
        <v>1</v>
      </c>
      <c r="AB377" s="13">
        <v>0</v>
      </c>
    </row>
    <row r="378" spans="1:28" x14ac:dyDescent="0.2">
      <c r="A378" s="13">
        <v>50</v>
      </c>
      <c r="B378" s="13">
        <v>0</v>
      </c>
      <c r="C378" s="13">
        <v>0</v>
      </c>
      <c r="D378" s="13">
        <v>1</v>
      </c>
      <c r="E378" s="13">
        <v>207</v>
      </c>
      <c r="F378" s="13">
        <f>Source!U356</f>
        <v>571.16713245599999</v>
      </c>
      <c r="G378" s="13" t="s">
        <v>172</v>
      </c>
      <c r="H378" s="13" t="s">
        <v>173</v>
      </c>
      <c r="I378" s="13"/>
      <c r="J378" s="13"/>
      <c r="K378" s="13">
        <v>207</v>
      </c>
      <c r="L378" s="13">
        <v>21</v>
      </c>
      <c r="M378" s="13">
        <v>3</v>
      </c>
      <c r="N378" s="13" t="s">
        <v>3</v>
      </c>
      <c r="O378" s="13">
        <v>-1</v>
      </c>
      <c r="P378" s="13">
        <f>Source!DM356</f>
        <v>571.16713245599999</v>
      </c>
      <c r="Q378" s="13"/>
      <c r="R378" s="13"/>
      <c r="S378" s="13"/>
      <c r="T378" s="13"/>
      <c r="U378" s="13"/>
      <c r="V378" s="13"/>
      <c r="W378" s="13">
        <v>571.16713245599999</v>
      </c>
      <c r="X378" s="13">
        <v>1</v>
      </c>
      <c r="Y378" s="13">
        <v>571.16713245599999</v>
      </c>
      <c r="Z378" s="13">
        <v>571.16713245599999</v>
      </c>
      <c r="AA378" s="13">
        <v>1</v>
      </c>
      <c r="AB378" s="13">
        <v>571.16713245599999</v>
      </c>
    </row>
    <row r="379" spans="1:28" x14ac:dyDescent="0.2">
      <c r="A379" s="13">
        <v>50</v>
      </c>
      <c r="B379" s="13">
        <v>0</v>
      </c>
      <c r="C379" s="13">
        <v>0</v>
      </c>
      <c r="D379" s="13">
        <v>1</v>
      </c>
      <c r="E379" s="13">
        <v>208</v>
      </c>
      <c r="F379" s="13">
        <f>Source!V356</f>
        <v>0</v>
      </c>
      <c r="G379" s="13" t="s">
        <v>174</v>
      </c>
      <c r="H379" s="13" t="s">
        <v>175</v>
      </c>
      <c r="I379" s="13"/>
      <c r="J379" s="13"/>
      <c r="K379" s="13">
        <v>208</v>
      </c>
      <c r="L379" s="13">
        <v>22</v>
      </c>
      <c r="M379" s="13">
        <v>3</v>
      </c>
      <c r="N379" s="13" t="s">
        <v>3</v>
      </c>
      <c r="O379" s="13">
        <v>-1</v>
      </c>
      <c r="P379" s="13">
        <f>Source!DN356</f>
        <v>0</v>
      </c>
      <c r="Q379" s="13"/>
      <c r="R379" s="13"/>
      <c r="S379" s="13"/>
      <c r="T379" s="13"/>
      <c r="U379" s="13"/>
      <c r="V379" s="13"/>
      <c r="W379" s="13">
        <v>0</v>
      </c>
      <c r="X379" s="13">
        <v>1</v>
      </c>
      <c r="Y379" s="13">
        <v>0</v>
      </c>
      <c r="Z379" s="13">
        <v>0</v>
      </c>
      <c r="AA379" s="13">
        <v>1</v>
      </c>
      <c r="AB379" s="13">
        <v>0</v>
      </c>
    </row>
    <row r="380" spans="1:28" x14ac:dyDescent="0.2">
      <c r="A380" s="13">
        <v>50</v>
      </c>
      <c r="B380" s="13">
        <v>0</v>
      </c>
      <c r="C380" s="13">
        <v>0</v>
      </c>
      <c r="D380" s="13">
        <v>1</v>
      </c>
      <c r="E380" s="13">
        <v>209</v>
      </c>
      <c r="F380" s="13">
        <f>ROUND(Source!W356,O380)</f>
        <v>0</v>
      </c>
      <c r="G380" s="13" t="s">
        <v>176</v>
      </c>
      <c r="H380" s="13" t="s">
        <v>177</v>
      </c>
      <c r="I380" s="13"/>
      <c r="J380" s="13"/>
      <c r="K380" s="13">
        <v>209</v>
      </c>
      <c r="L380" s="13">
        <v>23</v>
      </c>
      <c r="M380" s="13">
        <v>3</v>
      </c>
      <c r="N380" s="13" t="s">
        <v>3</v>
      </c>
      <c r="O380" s="13">
        <v>2</v>
      </c>
      <c r="P380" s="13">
        <f>ROUND(Source!DO356,O380)</f>
        <v>0</v>
      </c>
      <c r="Q380" s="13"/>
      <c r="R380" s="13"/>
      <c r="S380" s="13"/>
      <c r="T380" s="13"/>
      <c r="U380" s="13"/>
      <c r="V380" s="13"/>
      <c r="W380" s="13">
        <v>0</v>
      </c>
      <c r="X380" s="13">
        <v>1</v>
      </c>
      <c r="Y380" s="13">
        <v>0</v>
      </c>
      <c r="Z380" s="13">
        <v>0</v>
      </c>
      <c r="AA380" s="13">
        <v>1</v>
      </c>
      <c r="AB380" s="13">
        <v>0</v>
      </c>
    </row>
    <row r="381" spans="1:28" x14ac:dyDescent="0.2">
      <c r="A381" s="13">
        <v>50</v>
      </c>
      <c r="B381" s="13">
        <v>0</v>
      </c>
      <c r="C381" s="13">
        <v>0</v>
      </c>
      <c r="D381" s="13">
        <v>1</v>
      </c>
      <c r="E381" s="13">
        <v>233</v>
      </c>
      <c r="F381" s="13">
        <f>ROUND(Source!BD356,O381)</f>
        <v>0</v>
      </c>
      <c r="G381" s="13" t="s">
        <v>178</v>
      </c>
      <c r="H381" s="13" t="s">
        <v>179</v>
      </c>
      <c r="I381" s="13"/>
      <c r="J381" s="13"/>
      <c r="K381" s="13">
        <v>233</v>
      </c>
      <c r="L381" s="13">
        <v>24</v>
      </c>
      <c r="M381" s="13">
        <v>3</v>
      </c>
      <c r="N381" s="13" t="s">
        <v>3</v>
      </c>
      <c r="O381" s="13">
        <v>2</v>
      </c>
      <c r="P381" s="13">
        <f>ROUND(Source!EV356,O381)</f>
        <v>0</v>
      </c>
      <c r="Q381" s="13"/>
      <c r="R381" s="13"/>
      <c r="S381" s="13"/>
      <c r="T381" s="13"/>
      <c r="U381" s="13"/>
      <c r="V381" s="13"/>
      <c r="W381" s="13">
        <v>0</v>
      </c>
      <c r="X381" s="13">
        <v>1</v>
      </c>
      <c r="Y381" s="13">
        <v>0</v>
      </c>
      <c r="Z381" s="13">
        <v>0</v>
      </c>
      <c r="AA381" s="13">
        <v>1</v>
      </c>
      <c r="AB381" s="13">
        <v>0</v>
      </c>
    </row>
    <row r="382" spans="1:28" x14ac:dyDescent="0.2">
      <c r="A382" s="13">
        <v>50</v>
      </c>
      <c r="B382" s="13">
        <v>0</v>
      </c>
      <c r="C382" s="13">
        <v>0</v>
      </c>
      <c r="D382" s="13">
        <v>1</v>
      </c>
      <c r="E382" s="13">
        <v>210</v>
      </c>
      <c r="F382" s="13">
        <f>ROUND(Source!X356,O382)</f>
        <v>6414.44</v>
      </c>
      <c r="G382" s="13" t="s">
        <v>180</v>
      </c>
      <c r="H382" s="13" t="s">
        <v>181</v>
      </c>
      <c r="I382" s="13"/>
      <c r="J382" s="13"/>
      <c r="K382" s="13">
        <v>210</v>
      </c>
      <c r="L382" s="13">
        <v>25</v>
      </c>
      <c r="M382" s="13">
        <v>3</v>
      </c>
      <c r="N382" s="13" t="s">
        <v>3</v>
      </c>
      <c r="O382" s="13">
        <v>2</v>
      </c>
      <c r="P382" s="13">
        <f>ROUND(Source!DP356,O382)</f>
        <v>361454.49</v>
      </c>
      <c r="Q382" s="13"/>
      <c r="R382" s="13"/>
      <c r="S382" s="13"/>
      <c r="T382" s="13"/>
      <c r="U382" s="13"/>
      <c r="V382" s="13"/>
      <c r="W382" s="13">
        <v>6414.44</v>
      </c>
      <c r="X382" s="13">
        <v>1</v>
      </c>
      <c r="Y382" s="13">
        <v>6414.44</v>
      </c>
      <c r="Z382" s="13">
        <v>361454.49</v>
      </c>
      <c r="AA382" s="13">
        <v>1</v>
      </c>
      <c r="AB382" s="13">
        <v>361454.49</v>
      </c>
    </row>
    <row r="383" spans="1:28" x14ac:dyDescent="0.2">
      <c r="A383" s="13">
        <v>50</v>
      </c>
      <c r="B383" s="13">
        <v>0</v>
      </c>
      <c r="C383" s="13">
        <v>0</v>
      </c>
      <c r="D383" s="13">
        <v>1</v>
      </c>
      <c r="E383" s="13">
        <v>211</v>
      </c>
      <c r="F383" s="13">
        <f>ROUND(Source!Y356,O383)</f>
        <v>3343.59</v>
      </c>
      <c r="G383" s="13" t="s">
        <v>182</v>
      </c>
      <c r="H383" s="13" t="s">
        <v>183</v>
      </c>
      <c r="I383" s="13"/>
      <c r="J383" s="13"/>
      <c r="K383" s="13">
        <v>211</v>
      </c>
      <c r="L383" s="13">
        <v>26</v>
      </c>
      <c r="M383" s="13">
        <v>3</v>
      </c>
      <c r="N383" s="13" t="s">
        <v>3</v>
      </c>
      <c r="O383" s="13">
        <v>2</v>
      </c>
      <c r="P383" s="13">
        <f>ROUND(Source!DQ356,O383)</f>
        <v>188412.01</v>
      </c>
      <c r="Q383" s="13"/>
      <c r="R383" s="13"/>
      <c r="S383" s="13"/>
      <c r="T383" s="13"/>
      <c r="U383" s="13"/>
      <c r="V383" s="13"/>
      <c r="W383" s="13">
        <v>3343.59</v>
      </c>
      <c r="X383" s="13">
        <v>1</v>
      </c>
      <c r="Y383" s="13">
        <v>3343.59</v>
      </c>
      <c r="Z383" s="13">
        <v>188412.01</v>
      </c>
      <c r="AA383" s="13">
        <v>1</v>
      </c>
      <c r="AB383" s="13">
        <v>188412.01</v>
      </c>
    </row>
    <row r="384" spans="1:28" x14ac:dyDescent="0.2">
      <c r="A384" s="13">
        <v>50</v>
      </c>
      <c r="B384" s="13">
        <v>0</v>
      </c>
      <c r="C384" s="13">
        <v>0</v>
      </c>
      <c r="D384" s="13">
        <v>1</v>
      </c>
      <c r="E384" s="13">
        <v>224</v>
      </c>
      <c r="F384" s="13">
        <f>ROUND(Source!AR356,O384)</f>
        <v>373767.99</v>
      </c>
      <c r="G384" s="13" t="s">
        <v>184</v>
      </c>
      <c r="H384" s="13" t="s">
        <v>185</v>
      </c>
      <c r="I384" s="13"/>
      <c r="J384" s="13"/>
      <c r="K384" s="13">
        <v>224</v>
      </c>
      <c r="L384" s="13">
        <v>27</v>
      </c>
      <c r="M384" s="13">
        <v>3</v>
      </c>
      <c r="N384" s="13" t="s">
        <v>3</v>
      </c>
      <c r="O384" s="13">
        <v>2</v>
      </c>
      <c r="P384" s="13">
        <f>ROUND(Source!EJ356,O384)</f>
        <v>3517330.89</v>
      </c>
      <c r="Q384" s="13"/>
      <c r="R384" s="13"/>
      <c r="S384" s="13"/>
      <c r="T384" s="13"/>
      <c r="U384" s="13"/>
      <c r="V384" s="13"/>
      <c r="W384" s="13">
        <v>373767.99</v>
      </c>
      <c r="X384" s="13">
        <v>1</v>
      </c>
      <c r="Y384" s="13">
        <v>373767.99</v>
      </c>
      <c r="Z384" s="13">
        <v>3517330.89</v>
      </c>
      <c r="AA384" s="13">
        <v>1</v>
      </c>
      <c r="AB384" s="13">
        <v>3517330.89</v>
      </c>
    </row>
    <row r="386" spans="1:206" x14ac:dyDescent="0.2">
      <c r="A386" s="11">
        <v>51</v>
      </c>
      <c r="B386" s="11">
        <f>B12</f>
        <v>425</v>
      </c>
      <c r="C386" s="11">
        <f>A12</f>
        <v>1</v>
      </c>
      <c r="D386" s="11">
        <f>ROW(A12)</f>
        <v>12</v>
      </c>
      <c r="E386" s="11"/>
      <c r="F386" s="11" t="str">
        <f>IF(F12&lt;&gt;"",F12,"")</f>
        <v>02-01-19</v>
      </c>
      <c r="G386" s="11" t="str">
        <f>IF(G12&lt;&gt;"",G12,"")</f>
        <v>02-01-19 АУГП</v>
      </c>
      <c r="H386" s="11">
        <v>0</v>
      </c>
      <c r="I386" s="11"/>
      <c r="J386" s="11"/>
      <c r="K386" s="11"/>
      <c r="L386" s="11"/>
      <c r="M386" s="11"/>
      <c r="N386" s="11"/>
      <c r="O386" s="11">
        <f t="shared" ref="O386:T386" si="369">ROUND(O356,2)</f>
        <v>364009.96</v>
      </c>
      <c r="P386" s="11">
        <f t="shared" si="369"/>
        <v>356815.44</v>
      </c>
      <c r="Q386" s="11">
        <f t="shared" si="369"/>
        <v>213.12</v>
      </c>
      <c r="R386" s="11">
        <f t="shared" si="369"/>
        <v>21.53</v>
      </c>
      <c r="S386" s="11">
        <f t="shared" si="369"/>
        <v>6981.4</v>
      </c>
      <c r="T386" s="11">
        <f t="shared" si="369"/>
        <v>0</v>
      </c>
      <c r="U386" s="11">
        <f>U356</f>
        <v>571.16713245599999</v>
      </c>
      <c r="V386" s="11">
        <f>V356</f>
        <v>0</v>
      </c>
      <c r="W386" s="11">
        <f>ROUND(W356,2)</f>
        <v>0</v>
      </c>
      <c r="X386" s="11">
        <f>ROUND(X356,2)</f>
        <v>6414.44</v>
      </c>
      <c r="Y386" s="11">
        <f>ROUND(Y356,2)</f>
        <v>3343.59</v>
      </c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>
        <f t="shared" ref="AO386:BD386" si="370">ROUND(AO356,2)</f>
        <v>0</v>
      </c>
      <c r="AP386" s="11">
        <f t="shared" si="370"/>
        <v>312261.27</v>
      </c>
      <c r="AQ386" s="11">
        <f t="shared" si="370"/>
        <v>0</v>
      </c>
      <c r="AR386" s="11">
        <f t="shared" si="370"/>
        <v>373767.99</v>
      </c>
      <c r="AS386" s="11">
        <f t="shared" si="370"/>
        <v>24325.5</v>
      </c>
      <c r="AT386" s="11">
        <f t="shared" si="370"/>
        <v>37181.22</v>
      </c>
      <c r="AU386" s="11">
        <f t="shared" si="370"/>
        <v>0</v>
      </c>
      <c r="AV386" s="11">
        <f t="shared" si="370"/>
        <v>356815.44</v>
      </c>
      <c r="AW386" s="11">
        <f t="shared" si="370"/>
        <v>44554.17</v>
      </c>
      <c r="AX386" s="11">
        <f t="shared" si="370"/>
        <v>0</v>
      </c>
      <c r="AY386" s="11">
        <f t="shared" si="370"/>
        <v>44554.17</v>
      </c>
      <c r="AZ386" s="11">
        <f t="shared" si="370"/>
        <v>312261.27</v>
      </c>
      <c r="BA386" s="11">
        <f t="shared" si="370"/>
        <v>0</v>
      </c>
      <c r="BB386" s="11">
        <f t="shared" si="370"/>
        <v>0</v>
      </c>
      <c r="BC386" s="11">
        <f t="shared" si="370"/>
        <v>0</v>
      </c>
      <c r="BD386" s="11">
        <f t="shared" si="370"/>
        <v>0</v>
      </c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/>
      <c r="CV386" s="11"/>
      <c r="CW386" s="11"/>
      <c r="CX386" s="11"/>
      <c r="CY386" s="11"/>
      <c r="CZ386" s="11"/>
      <c r="DA386" s="11"/>
      <c r="DB386" s="11"/>
      <c r="DC386" s="11"/>
      <c r="DD386" s="11"/>
      <c r="DE386" s="11"/>
      <c r="DF386" s="11"/>
      <c r="DG386" s="12">
        <f t="shared" ref="DG386:DL386" si="371">ROUND(DG356,2)</f>
        <v>2967464.39</v>
      </c>
      <c r="DH386" s="12">
        <f t="shared" si="371"/>
        <v>2570957.58</v>
      </c>
      <c r="DI386" s="12">
        <f t="shared" si="371"/>
        <v>3104.91</v>
      </c>
      <c r="DJ386" s="12">
        <f t="shared" si="371"/>
        <v>1213.23</v>
      </c>
      <c r="DK386" s="12">
        <f t="shared" si="371"/>
        <v>393401.9</v>
      </c>
      <c r="DL386" s="12">
        <f t="shared" si="371"/>
        <v>0</v>
      </c>
      <c r="DM386" s="12">
        <f>DM356</f>
        <v>571.16713245599999</v>
      </c>
      <c r="DN386" s="12">
        <f>DN356</f>
        <v>0</v>
      </c>
      <c r="DO386" s="12">
        <f>ROUND(DO356,2)</f>
        <v>0</v>
      </c>
      <c r="DP386" s="12">
        <f>ROUND(DP356,2)</f>
        <v>361454.49</v>
      </c>
      <c r="DQ386" s="12">
        <f>ROUND(DQ356,2)</f>
        <v>188412.01</v>
      </c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>
        <f t="shared" ref="EG386:EV386" si="372">ROUND(EG356,2)</f>
        <v>0</v>
      </c>
      <c r="EH386" s="12">
        <f t="shared" si="372"/>
        <v>2351591.1</v>
      </c>
      <c r="EI386" s="12">
        <f t="shared" si="372"/>
        <v>0</v>
      </c>
      <c r="EJ386" s="12">
        <f t="shared" si="372"/>
        <v>3517330.89</v>
      </c>
      <c r="EK386" s="12">
        <f t="shared" si="372"/>
        <v>144820.94</v>
      </c>
      <c r="EL386" s="12">
        <f t="shared" si="372"/>
        <v>1020918.85</v>
      </c>
      <c r="EM386" s="12">
        <f t="shared" si="372"/>
        <v>0</v>
      </c>
      <c r="EN386" s="12">
        <f t="shared" si="372"/>
        <v>2570957.58</v>
      </c>
      <c r="EO386" s="12">
        <f t="shared" si="372"/>
        <v>219366.48</v>
      </c>
      <c r="EP386" s="12">
        <f t="shared" si="372"/>
        <v>0</v>
      </c>
      <c r="EQ386" s="12">
        <f t="shared" si="372"/>
        <v>219366.48</v>
      </c>
      <c r="ER386" s="12">
        <f t="shared" si="372"/>
        <v>2351591.1</v>
      </c>
      <c r="ES386" s="12">
        <f t="shared" si="372"/>
        <v>0</v>
      </c>
      <c r="ET386" s="12">
        <f t="shared" si="372"/>
        <v>0</v>
      </c>
      <c r="EU386" s="12">
        <f t="shared" si="372"/>
        <v>0</v>
      </c>
      <c r="EV386" s="12">
        <f t="shared" si="372"/>
        <v>0</v>
      </c>
      <c r="EW386" s="12"/>
      <c r="EX386" s="12"/>
      <c r="EY386" s="12"/>
      <c r="EZ386" s="12"/>
      <c r="FA386" s="12"/>
      <c r="FB386" s="12"/>
      <c r="FC386" s="12"/>
      <c r="FD386" s="12"/>
      <c r="FE386" s="12"/>
      <c r="FF386" s="12"/>
      <c r="FG386" s="12"/>
      <c r="FH386" s="12"/>
      <c r="FI386" s="12"/>
      <c r="FJ386" s="12"/>
      <c r="FK386" s="12"/>
      <c r="FL386" s="12"/>
      <c r="FM386" s="12"/>
      <c r="FN386" s="12"/>
      <c r="FO386" s="12"/>
      <c r="FP386" s="12"/>
      <c r="FQ386" s="12"/>
      <c r="FR386" s="12"/>
      <c r="FS386" s="12"/>
      <c r="FT386" s="12"/>
      <c r="FU386" s="12"/>
      <c r="FV386" s="12"/>
      <c r="FW386" s="12"/>
      <c r="FX386" s="12"/>
      <c r="FY386" s="12"/>
      <c r="FZ386" s="12"/>
      <c r="GA386" s="12"/>
      <c r="GB386" s="12"/>
      <c r="GC386" s="12"/>
      <c r="GD386" s="12"/>
      <c r="GE386" s="12"/>
      <c r="GF386" s="12"/>
      <c r="GG386" s="12"/>
      <c r="GH386" s="12"/>
      <c r="GI386" s="12"/>
      <c r="GJ386" s="12"/>
      <c r="GK386" s="12"/>
      <c r="GL386" s="12"/>
      <c r="GM386" s="12"/>
      <c r="GN386" s="12"/>
      <c r="GO386" s="12"/>
      <c r="GP386" s="12"/>
      <c r="GQ386" s="12"/>
      <c r="GR386" s="12"/>
      <c r="GS386" s="12"/>
      <c r="GT386" s="12"/>
      <c r="GU386" s="12"/>
      <c r="GV386" s="12"/>
      <c r="GW386" s="12"/>
      <c r="GX386" s="12">
        <v>0</v>
      </c>
    </row>
    <row r="388" spans="1:206" x14ac:dyDescent="0.2">
      <c r="A388" s="13">
        <v>50</v>
      </c>
      <c r="B388" s="13">
        <v>0</v>
      </c>
      <c r="C388" s="13">
        <v>0</v>
      </c>
      <c r="D388" s="13">
        <v>1</v>
      </c>
      <c r="E388" s="13">
        <v>201</v>
      </c>
      <c r="F388" s="13">
        <f>ROUND(Source!O386,O388)</f>
        <v>364009.96</v>
      </c>
      <c r="G388" s="13" t="s">
        <v>132</v>
      </c>
      <c r="H388" s="13" t="s">
        <v>133</v>
      </c>
      <c r="I388" s="13"/>
      <c r="J388" s="13"/>
      <c r="K388" s="13">
        <v>201</v>
      </c>
      <c r="L388" s="13">
        <v>1</v>
      </c>
      <c r="M388" s="13">
        <v>3</v>
      </c>
      <c r="N388" s="13" t="s">
        <v>3</v>
      </c>
      <c r="O388" s="13">
        <v>2</v>
      </c>
      <c r="P388" s="13">
        <f>ROUND(Source!DG386,O388)</f>
        <v>2967464.39</v>
      </c>
      <c r="Q388" s="13"/>
      <c r="R388" s="13"/>
      <c r="S388" s="13"/>
      <c r="T388" s="13"/>
      <c r="U388" s="13"/>
      <c r="V388" s="13"/>
      <c r="W388" s="13">
        <v>364009.96</v>
      </c>
      <c r="X388" s="13">
        <v>1</v>
      </c>
      <c r="Y388" s="13">
        <v>364009.96</v>
      </c>
      <c r="Z388" s="13">
        <v>2967464.39</v>
      </c>
      <c r="AA388" s="13">
        <v>1</v>
      </c>
      <c r="AB388" s="13">
        <v>2967464.39</v>
      </c>
    </row>
    <row r="389" spans="1:206" x14ac:dyDescent="0.2">
      <c r="A389" s="13">
        <v>50</v>
      </c>
      <c r="B389" s="13">
        <v>0</v>
      </c>
      <c r="C389" s="13">
        <v>0</v>
      </c>
      <c r="D389" s="13">
        <v>1</v>
      </c>
      <c r="E389" s="13">
        <v>202</v>
      </c>
      <c r="F389" s="13">
        <f>ROUND(Source!P386,O389)</f>
        <v>356815.44</v>
      </c>
      <c r="G389" s="13" t="s">
        <v>134</v>
      </c>
      <c r="H389" s="13" t="s">
        <v>135</v>
      </c>
      <c r="I389" s="13"/>
      <c r="J389" s="13"/>
      <c r="K389" s="13">
        <v>202</v>
      </c>
      <c r="L389" s="13">
        <v>2</v>
      </c>
      <c r="M389" s="13">
        <v>3</v>
      </c>
      <c r="N389" s="13" t="s">
        <v>3</v>
      </c>
      <c r="O389" s="13">
        <v>2</v>
      </c>
      <c r="P389" s="13">
        <f>ROUND(Source!DH386,O389)</f>
        <v>2570957.58</v>
      </c>
      <c r="Q389" s="13"/>
      <c r="R389" s="13"/>
      <c r="S389" s="13"/>
      <c r="T389" s="13"/>
      <c r="U389" s="13"/>
      <c r="V389" s="13"/>
      <c r="W389" s="13">
        <v>356815.44</v>
      </c>
      <c r="X389" s="13">
        <v>1</v>
      </c>
      <c r="Y389" s="13">
        <v>356815.44</v>
      </c>
      <c r="Z389" s="13">
        <v>2570957.58</v>
      </c>
      <c r="AA389" s="13">
        <v>1</v>
      </c>
      <c r="AB389" s="13">
        <v>2570957.58</v>
      </c>
    </row>
    <row r="390" spans="1:206" x14ac:dyDescent="0.2">
      <c r="A390" s="13">
        <v>50</v>
      </c>
      <c r="B390" s="13">
        <v>0</v>
      </c>
      <c r="C390" s="13">
        <v>0</v>
      </c>
      <c r="D390" s="13">
        <v>1</v>
      </c>
      <c r="E390" s="13">
        <v>222</v>
      </c>
      <c r="F390" s="13">
        <f>ROUND(Source!AO386,O390)</f>
        <v>0</v>
      </c>
      <c r="G390" s="13" t="s">
        <v>136</v>
      </c>
      <c r="H390" s="13" t="s">
        <v>137</v>
      </c>
      <c r="I390" s="13"/>
      <c r="J390" s="13"/>
      <c r="K390" s="13">
        <v>222</v>
      </c>
      <c r="L390" s="13">
        <v>3</v>
      </c>
      <c r="M390" s="13">
        <v>3</v>
      </c>
      <c r="N390" s="13" t="s">
        <v>3</v>
      </c>
      <c r="O390" s="13">
        <v>2</v>
      </c>
      <c r="P390" s="13">
        <f>ROUND(Source!EG386,O390)</f>
        <v>0</v>
      </c>
      <c r="Q390" s="13"/>
      <c r="R390" s="13"/>
      <c r="S390" s="13"/>
      <c r="T390" s="13"/>
      <c r="U390" s="13"/>
      <c r="V390" s="13"/>
      <c r="W390" s="13">
        <v>0</v>
      </c>
      <c r="X390" s="13">
        <v>1</v>
      </c>
      <c r="Y390" s="13">
        <v>0</v>
      </c>
      <c r="Z390" s="13">
        <v>0</v>
      </c>
      <c r="AA390" s="13">
        <v>1</v>
      </c>
      <c r="AB390" s="13">
        <v>0</v>
      </c>
    </row>
    <row r="391" spans="1:206" x14ac:dyDescent="0.2">
      <c r="A391" s="13">
        <v>50</v>
      </c>
      <c r="B391" s="13">
        <v>0</v>
      </c>
      <c r="C391" s="13">
        <v>0</v>
      </c>
      <c r="D391" s="13">
        <v>1</v>
      </c>
      <c r="E391" s="13">
        <v>225</v>
      </c>
      <c r="F391" s="13">
        <f>ROUND(Source!AV386,O391)</f>
        <v>356815.44</v>
      </c>
      <c r="G391" s="13" t="s">
        <v>138</v>
      </c>
      <c r="H391" s="13" t="s">
        <v>139</v>
      </c>
      <c r="I391" s="13"/>
      <c r="J391" s="13"/>
      <c r="K391" s="13">
        <v>225</v>
      </c>
      <c r="L391" s="13">
        <v>4</v>
      </c>
      <c r="M391" s="13">
        <v>3</v>
      </c>
      <c r="N391" s="13" t="s">
        <v>3</v>
      </c>
      <c r="O391" s="13">
        <v>2</v>
      </c>
      <c r="P391" s="13">
        <f>ROUND(Source!EN386,O391)</f>
        <v>2570957.58</v>
      </c>
      <c r="Q391" s="13"/>
      <c r="R391" s="13"/>
      <c r="S391" s="13"/>
      <c r="T391" s="13"/>
      <c r="U391" s="13"/>
      <c r="V391" s="13"/>
      <c r="W391" s="13">
        <v>356815.44</v>
      </c>
      <c r="X391" s="13">
        <v>1</v>
      </c>
      <c r="Y391" s="13">
        <v>356815.44</v>
      </c>
      <c r="Z391" s="13">
        <v>2570957.58</v>
      </c>
      <c r="AA391" s="13">
        <v>1</v>
      </c>
      <c r="AB391" s="13">
        <v>2570957.58</v>
      </c>
    </row>
    <row r="392" spans="1:206" x14ac:dyDescent="0.2">
      <c r="A392" s="13">
        <v>50</v>
      </c>
      <c r="B392" s="13">
        <v>0</v>
      </c>
      <c r="C392" s="13">
        <v>0</v>
      </c>
      <c r="D392" s="13">
        <v>1</v>
      </c>
      <c r="E392" s="13">
        <v>226</v>
      </c>
      <c r="F392" s="13">
        <f>ROUND(Source!AW386,O392)</f>
        <v>44554.17</v>
      </c>
      <c r="G392" s="13" t="s">
        <v>140</v>
      </c>
      <c r="H392" s="13" t="s">
        <v>141</v>
      </c>
      <c r="I392" s="13"/>
      <c r="J392" s="13"/>
      <c r="K392" s="13">
        <v>226</v>
      </c>
      <c r="L392" s="13">
        <v>5</v>
      </c>
      <c r="M392" s="13">
        <v>3</v>
      </c>
      <c r="N392" s="13" t="s">
        <v>3</v>
      </c>
      <c r="O392" s="13">
        <v>2</v>
      </c>
      <c r="P392" s="13">
        <f>ROUND(Source!EO386,O392)</f>
        <v>219366.48</v>
      </c>
      <c r="Q392" s="13"/>
      <c r="R392" s="13"/>
      <c r="S392" s="13"/>
      <c r="T392" s="13"/>
      <c r="U392" s="13"/>
      <c r="V392" s="13"/>
      <c r="W392" s="13">
        <v>44554.17</v>
      </c>
      <c r="X392" s="13">
        <v>1</v>
      </c>
      <c r="Y392" s="13">
        <v>44554.17</v>
      </c>
      <c r="Z392" s="13">
        <v>219366.48</v>
      </c>
      <c r="AA392" s="13">
        <v>1</v>
      </c>
      <c r="AB392" s="13">
        <v>219366.48</v>
      </c>
    </row>
    <row r="393" spans="1:206" x14ac:dyDescent="0.2">
      <c r="A393" s="13">
        <v>50</v>
      </c>
      <c r="B393" s="13">
        <v>0</v>
      </c>
      <c r="C393" s="13">
        <v>0</v>
      </c>
      <c r="D393" s="13">
        <v>1</v>
      </c>
      <c r="E393" s="13">
        <v>227</v>
      </c>
      <c r="F393" s="13">
        <f>ROUND(Source!AX386,O393)</f>
        <v>0</v>
      </c>
      <c r="G393" s="13" t="s">
        <v>142</v>
      </c>
      <c r="H393" s="13" t="s">
        <v>143</v>
      </c>
      <c r="I393" s="13"/>
      <c r="J393" s="13"/>
      <c r="K393" s="13">
        <v>227</v>
      </c>
      <c r="L393" s="13">
        <v>6</v>
      </c>
      <c r="M393" s="13">
        <v>3</v>
      </c>
      <c r="N393" s="13" t="s">
        <v>3</v>
      </c>
      <c r="O393" s="13">
        <v>2</v>
      </c>
      <c r="P393" s="13">
        <f>ROUND(Source!EP386,O393)</f>
        <v>0</v>
      </c>
      <c r="Q393" s="13"/>
      <c r="R393" s="13"/>
      <c r="S393" s="13"/>
      <c r="T393" s="13"/>
      <c r="U393" s="13"/>
      <c r="V393" s="13"/>
      <c r="W393" s="13">
        <v>0</v>
      </c>
      <c r="X393" s="13">
        <v>1</v>
      </c>
      <c r="Y393" s="13">
        <v>0</v>
      </c>
      <c r="Z393" s="13">
        <v>0</v>
      </c>
      <c r="AA393" s="13">
        <v>1</v>
      </c>
      <c r="AB393" s="13">
        <v>0</v>
      </c>
    </row>
    <row r="394" spans="1:206" x14ac:dyDescent="0.2">
      <c r="A394" s="13">
        <v>50</v>
      </c>
      <c r="B394" s="13">
        <v>0</v>
      </c>
      <c r="C394" s="13">
        <v>0</v>
      </c>
      <c r="D394" s="13">
        <v>1</v>
      </c>
      <c r="E394" s="13">
        <v>228</v>
      </c>
      <c r="F394" s="13">
        <f>ROUND(Source!AY386,O394)</f>
        <v>44554.17</v>
      </c>
      <c r="G394" s="13" t="s">
        <v>144</v>
      </c>
      <c r="H394" s="13" t="s">
        <v>145</v>
      </c>
      <c r="I394" s="13"/>
      <c r="J394" s="13"/>
      <c r="K394" s="13">
        <v>228</v>
      </c>
      <c r="L394" s="13">
        <v>7</v>
      </c>
      <c r="M394" s="13">
        <v>3</v>
      </c>
      <c r="N394" s="13" t="s">
        <v>3</v>
      </c>
      <c r="O394" s="13">
        <v>2</v>
      </c>
      <c r="P394" s="13">
        <f>ROUND(Source!EQ386,O394)</f>
        <v>219366.48</v>
      </c>
      <c r="Q394" s="13"/>
      <c r="R394" s="13"/>
      <c r="S394" s="13"/>
      <c r="T394" s="13"/>
      <c r="U394" s="13"/>
      <c r="V394" s="13"/>
      <c r="W394" s="13">
        <v>44554.17</v>
      </c>
      <c r="X394" s="13">
        <v>1</v>
      </c>
      <c r="Y394" s="13">
        <v>44554.17</v>
      </c>
      <c r="Z394" s="13">
        <v>219366.48</v>
      </c>
      <c r="AA394" s="13">
        <v>1</v>
      </c>
      <c r="AB394" s="13">
        <v>219366.48</v>
      </c>
    </row>
    <row r="395" spans="1:206" x14ac:dyDescent="0.2">
      <c r="A395" s="13">
        <v>50</v>
      </c>
      <c r="B395" s="13">
        <v>0</v>
      </c>
      <c r="C395" s="13">
        <v>0</v>
      </c>
      <c r="D395" s="13">
        <v>1</v>
      </c>
      <c r="E395" s="13">
        <v>216</v>
      </c>
      <c r="F395" s="13">
        <f>ROUND(Source!AP386,O395)</f>
        <v>312261.27</v>
      </c>
      <c r="G395" s="13" t="s">
        <v>146</v>
      </c>
      <c r="H395" s="13" t="s">
        <v>147</v>
      </c>
      <c r="I395" s="13"/>
      <c r="J395" s="13"/>
      <c r="K395" s="13">
        <v>216</v>
      </c>
      <c r="L395" s="13">
        <v>8</v>
      </c>
      <c r="M395" s="13">
        <v>3</v>
      </c>
      <c r="N395" s="13" t="s">
        <v>3</v>
      </c>
      <c r="O395" s="13">
        <v>2</v>
      </c>
      <c r="P395" s="13">
        <f>ROUND(Source!EH386,O395)</f>
        <v>2351591.1</v>
      </c>
      <c r="Q395" s="13"/>
      <c r="R395" s="13"/>
      <c r="S395" s="13"/>
      <c r="T395" s="13"/>
      <c r="U395" s="13"/>
      <c r="V395" s="13"/>
      <c r="W395" s="13">
        <v>312261.27</v>
      </c>
      <c r="X395" s="13">
        <v>1</v>
      </c>
      <c r="Y395" s="13">
        <v>312261.27</v>
      </c>
      <c r="Z395" s="13">
        <v>2351591.1</v>
      </c>
      <c r="AA395" s="13">
        <v>1</v>
      </c>
      <c r="AB395" s="13">
        <v>2351591.1</v>
      </c>
    </row>
    <row r="396" spans="1:206" x14ac:dyDescent="0.2">
      <c r="A396" s="13">
        <v>50</v>
      </c>
      <c r="B396" s="13">
        <v>0</v>
      </c>
      <c r="C396" s="13">
        <v>0</v>
      </c>
      <c r="D396" s="13">
        <v>1</v>
      </c>
      <c r="E396" s="13">
        <v>223</v>
      </c>
      <c r="F396" s="13">
        <f>ROUND(Source!AQ386,O396)</f>
        <v>0</v>
      </c>
      <c r="G396" s="13" t="s">
        <v>148</v>
      </c>
      <c r="H396" s="13" t="s">
        <v>149</v>
      </c>
      <c r="I396" s="13"/>
      <c r="J396" s="13"/>
      <c r="K396" s="13">
        <v>223</v>
      </c>
      <c r="L396" s="13">
        <v>9</v>
      </c>
      <c r="M396" s="13">
        <v>3</v>
      </c>
      <c r="N396" s="13" t="s">
        <v>3</v>
      </c>
      <c r="O396" s="13">
        <v>2</v>
      </c>
      <c r="P396" s="13">
        <f>ROUND(Source!EI386,O396)</f>
        <v>0</v>
      </c>
      <c r="Q396" s="13"/>
      <c r="R396" s="13"/>
      <c r="S396" s="13"/>
      <c r="T396" s="13"/>
      <c r="U396" s="13"/>
      <c r="V396" s="13"/>
      <c r="W396" s="13">
        <v>0</v>
      </c>
      <c r="X396" s="13">
        <v>1</v>
      </c>
      <c r="Y396" s="13">
        <v>0</v>
      </c>
      <c r="Z396" s="13">
        <v>0</v>
      </c>
      <c r="AA396" s="13">
        <v>1</v>
      </c>
      <c r="AB396" s="13">
        <v>0</v>
      </c>
    </row>
    <row r="397" spans="1:206" x14ac:dyDescent="0.2">
      <c r="A397" s="13">
        <v>50</v>
      </c>
      <c r="B397" s="13">
        <v>0</v>
      </c>
      <c r="C397" s="13">
        <v>0</v>
      </c>
      <c r="D397" s="13">
        <v>1</v>
      </c>
      <c r="E397" s="13">
        <v>229</v>
      </c>
      <c r="F397" s="13">
        <f>ROUND(Source!AZ386,O397)</f>
        <v>312261.27</v>
      </c>
      <c r="G397" s="13" t="s">
        <v>150</v>
      </c>
      <c r="H397" s="13" t="s">
        <v>151</v>
      </c>
      <c r="I397" s="13"/>
      <c r="J397" s="13"/>
      <c r="K397" s="13">
        <v>229</v>
      </c>
      <c r="L397" s="13">
        <v>10</v>
      </c>
      <c r="M397" s="13">
        <v>3</v>
      </c>
      <c r="N397" s="13" t="s">
        <v>3</v>
      </c>
      <c r="O397" s="13">
        <v>2</v>
      </c>
      <c r="P397" s="13">
        <f>ROUND(Source!ER386,O397)</f>
        <v>2351591.1</v>
      </c>
      <c r="Q397" s="13"/>
      <c r="R397" s="13"/>
      <c r="S397" s="13"/>
      <c r="T397" s="13"/>
      <c r="U397" s="13"/>
      <c r="V397" s="13"/>
      <c r="W397" s="13">
        <v>312261.27</v>
      </c>
      <c r="X397" s="13">
        <v>1</v>
      </c>
      <c r="Y397" s="13">
        <v>312261.27</v>
      </c>
      <c r="Z397" s="13">
        <v>2351591.1</v>
      </c>
      <c r="AA397" s="13">
        <v>1</v>
      </c>
      <c r="AB397" s="13">
        <v>2351591.1</v>
      </c>
    </row>
    <row r="398" spans="1:206" x14ac:dyDescent="0.2">
      <c r="A398" s="13">
        <v>50</v>
      </c>
      <c r="B398" s="13">
        <v>0</v>
      </c>
      <c r="C398" s="13">
        <v>0</v>
      </c>
      <c r="D398" s="13">
        <v>1</v>
      </c>
      <c r="E398" s="13">
        <v>203</v>
      </c>
      <c r="F398" s="13">
        <f>ROUND(Source!Q386,O398)</f>
        <v>213.12</v>
      </c>
      <c r="G398" s="13" t="s">
        <v>152</v>
      </c>
      <c r="H398" s="13" t="s">
        <v>153</v>
      </c>
      <c r="I398" s="13"/>
      <c r="J398" s="13"/>
      <c r="K398" s="13">
        <v>203</v>
      </c>
      <c r="L398" s="13">
        <v>11</v>
      </c>
      <c r="M398" s="13">
        <v>3</v>
      </c>
      <c r="N398" s="13" t="s">
        <v>3</v>
      </c>
      <c r="O398" s="13">
        <v>2</v>
      </c>
      <c r="P398" s="13">
        <f>ROUND(Source!DI386,O398)</f>
        <v>3104.91</v>
      </c>
      <c r="Q398" s="13"/>
      <c r="R398" s="13"/>
      <c r="S398" s="13"/>
      <c r="T398" s="13"/>
      <c r="U398" s="13"/>
      <c r="V398" s="13"/>
      <c r="W398" s="13">
        <v>213.12</v>
      </c>
      <c r="X398" s="13">
        <v>1</v>
      </c>
      <c r="Y398" s="13">
        <v>213.12</v>
      </c>
      <c r="Z398" s="13">
        <v>3104.91</v>
      </c>
      <c r="AA398" s="13">
        <v>1</v>
      </c>
      <c r="AB398" s="13">
        <v>3104.91</v>
      </c>
    </row>
    <row r="399" spans="1:206" x14ac:dyDescent="0.2">
      <c r="A399" s="13">
        <v>50</v>
      </c>
      <c r="B399" s="13">
        <v>0</v>
      </c>
      <c r="C399" s="13">
        <v>0</v>
      </c>
      <c r="D399" s="13">
        <v>1</v>
      </c>
      <c r="E399" s="13">
        <v>231</v>
      </c>
      <c r="F399" s="13">
        <f>ROUND(Source!BB386,O399)</f>
        <v>0</v>
      </c>
      <c r="G399" s="13" t="s">
        <v>154</v>
      </c>
      <c r="H399" s="13" t="s">
        <v>155</v>
      </c>
      <c r="I399" s="13"/>
      <c r="J399" s="13"/>
      <c r="K399" s="13">
        <v>231</v>
      </c>
      <c r="L399" s="13">
        <v>12</v>
      </c>
      <c r="M399" s="13">
        <v>3</v>
      </c>
      <c r="N399" s="13" t="s">
        <v>3</v>
      </c>
      <c r="O399" s="13">
        <v>2</v>
      </c>
      <c r="P399" s="13">
        <f>ROUND(Source!ET386,O399)</f>
        <v>0</v>
      </c>
      <c r="Q399" s="13"/>
      <c r="R399" s="13"/>
      <c r="S399" s="13"/>
      <c r="T399" s="13"/>
      <c r="U399" s="13"/>
      <c r="V399" s="13"/>
      <c r="W399" s="13">
        <v>0</v>
      </c>
      <c r="X399" s="13">
        <v>1</v>
      </c>
      <c r="Y399" s="13">
        <v>0</v>
      </c>
      <c r="Z399" s="13">
        <v>0</v>
      </c>
      <c r="AA399" s="13">
        <v>1</v>
      </c>
      <c r="AB399" s="13">
        <v>0</v>
      </c>
    </row>
    <row r="400" spans="1:206" x14ac:dyDescent="0.2">
      <c r="A400" s="13">
        <v>50</v>
      </c>
      <c r="B400" s="13">
        <v>0</v>
      </c>
      <c r="C400" s="13">
        <v>0</v>
      </c>
      <c r="D400" s="13">
        <v>1</v>
      </c>
      <c r="E400" s="13">
        <v>204</v>
      </c>
      <c r="F400" s="13">
        <f>ROUND(Source!R386,O400)</f>
        <v>21.53</v>
      </c>
      <c r="G400" s="13" t="s">
        <v>156</v>
      </c>
      <c r="H400" s="13" t="s">
        <v>157</v>
      </c>
      <c r="I400" s="13"/>
      <c r="J400" s="13"/>
      <c r="K400" s="13">
        <v>204</v>
      </c>
      <c r="L400" s="13">
        <v>13</v>
      </c>
      <c r="M400" s="13">
        <v>3</v>
      </c>
      <c r="N400" s="13" t="s">
        <v>3</v>
      </c>
      <c r="O400" s="13">
        <v>2</v>
      </c>
      <c r="P400" s="13">
        <f>ROUND(Source!DJ386,O400)</f>
        <v>1213.23</v>
      </c>
      <c r="Q400" s="13"/>
      <c r="R400" s="13"/>
      <c r="S400" s="13"/>
      <c r="T400" s="13"/>
      <c r="U400" s="13"/>
      <c r="V400" s="13"/>
      <c r="W400" s="13">
        <v>21.53</v>
      </c>
      <c r="X400" s="13">
        <v>1</v>
      </c>
      <c r="Y400" s="13">
        <v>21.53</v>
      </c>
      <c r="Z400" s="13">
        <v>1213.23</v>
      </c>
      <c r="AA400" s="13">
        <v>1</v>
      </c>
      <c r="AB400" s="13">
        <v>1213.23</v>
      </c>
    </row>
    <row r="401" spans="1:28" x14ac:dyDescent="0.2">
      <c r="A401" s="13">
        <v>50</v>
      </c>
      <c r="B401" s="13">
        <v>0</v>
      </c>
      <c r="C401" s="13">
        <v>0</v>
      </c>
      <c r="D401" s="13">
        <v>1</v>
      </c>
      <c r="E401" s="13">
        <v>205</v>
      </c>
      <c r="F401" s="13">
        <f>ROUND(Source!S386,O401)</f>
        <v>6981.4</v>
      </c>
      <c r="G401" s="13" t="s">
        <v>158</v>
      </c>
      <c r="H401" s="13" t="s">
        <v>159</v>
      </c>
      <c r="I401" s="13"/>
      <c r="J401" s="13"/>
      <c r="K401" s="13">
        <v>205</v>
      </c>
      <c r="L401" s="13">
        <v>14</v>
      </c>
      <c r="M401" s="13">
        <v>3</v>
      </c>
      <c r="N401" s="13" t="s">
        <v>3</v>
      </c>
      <c r="O401" s="13">
        <v>2</v>
      </c>
      <c r="P401" s="13">
        <f>ROUND(Source!DK386,O401)</f>
        <v>393401.9</v>
      </c>
      <c r="Q401" s="13"/>
      <c r="R401" s="13"/>
      <c r="S401" s="13"/>
      <c r="T401" s="13"/>
      <c r="U401" s="13"/>
      <c r="V401" s="13"/>
      <c r="W401" s="13">
        <v>6981.4</v>
      </c>
      <c r="X401" s="13">
        <v>1</v>
      </c>
      <c r="Y401" s="13">
        <v>6981.4</v>
      </c>
      <c r="Z401" s="13">
        <v>393401.9</v>
      </c>
      <c r="AA401" s="13">
        <v>1</v>
      </c>
      <c r="AB401" s="13">
        <v>393401.9</v>
      </c>
    </row>
    <row r="402" spans="1:28" x14ac:dyDescent="0.2">
      <c r="A402" s="13">
        <v>50</v>
      </c>
      <c r="B402" s="13">
        <v>0</v>
      </c>
      <c r="C402" s="13">
        <v>0</v>
      </c>
      <c r="D402" s="13">
        <v>1</v>
      </c>
      <c r="E402" s="13">
        <v>232</v>
      </c>
      <c r="F402" s="13">
        <f>ROUND(Source!BC386,O402)</f>
        <v>0</v>
      </c>
      <c r="G402" s="13" t="s">
        <v>160</v>
      </c>
      <c r="H402" s="13" t="s">
        <v>161</v>
      </c>
      <c r="I402" s="13"/>
      <c r="J402" s="13"/>
      <c r="K402" s="13">
        <v>232</v>
      </c>
      <c r="L402" s="13">
        <v>15</v>
      </c>
      <c r="M402" s="13">
        <v>3</v>
      </c>
      <c r="N402" s="13" t="s">
        <v>3</v>
      </c>
      <c r="O402" s="13">
        <v>2</v>
      </c>
      <c r="P402" s="13">
        <f>ROUND(Source!EU386,O402)</f>
        <v>0</v>
      </c>
      <c r="Q402" s="13"/>
      <c r="R402" s="13"/>
      <c r="S402" s="13"/>
      <c r="T402" s="13"/>
      <c r="U402" s="13"/>
      <c r="V402" s="13"/>
      <c r="W402" s="13">
        <v>0</v>
      </c>
      <c r="X402" s="13">
        <v>1</v>
      </c>
      <c r="Y402" s="13">
        <v>0</v>
      </c>
      <c r="Z402" s="13">
        <v>0</v>
      </c>
      <c r="AA402" s="13">
        <v>1</v>
      </c>
      <c r="AB402" s="13">
        <v>0</v>
      </c>
    </row>
    <row r="403" spans="1:28" x14ac:dyDescent="0.2">
      <c r="A403" s="13">
        <v>50</v>
      </c>
      <c r="B403" s="13">
        <v>0</v>
      </c>
      <c r="C403" s="13">
        <v>0</v>
      </c>
      <c r="D403" s="13">
        <v>1</v>
      </c>
      <c r="E403" s="13">
        <v>214</v>
      </c>
      <c r="F403" s="13">
        <f>ROUND(Source!AS386,O403)</f>
        <v>24325.5</v>
      </c>
      <c r="G403" s="13" t="s">
        <v>162</v>
      </c>
      <c r="H403" s="13" t="s">
        <v>163</v>
      </c>
      <c r="I403" s="13"/>
      <c r="J403" s="13"/>
      <c r="K403" s="13">
        <v>214</v>
      </c>
      <c r="L403" s="13">
        <v>16</v>
      </c>
      <c r="M403" s="13">
        <v>3</v>
      </c>
      <c r="N403" s="13" t="s">
        <v>3</v>
      </c>
      <c r="O403" s="13">
        <v>2</v>
      </c>
      <c r="P403" s="13">
        <f>ROUND(Source!EK386,O403)</f>
        <v>144820.94</v>
      </c>
      <c r="Q403" s="13"/>
      <c r="R403" s="13"/>
      <c r="S403" s="13"/>
      <c r="T403" s="13"/>
      <c r="U403" s="13"/>
      <c r="V403" s="13"/>
      <c r="W403" s="13">
        <v>24325.5</v>
      </c>
      <c r="X403" s="13">
        <v>1</v>
      </c>
      <c r="Y403" s="13">
        <v>24325.5</v>
      </c>
      <c r="Z403" s="13">
        <v>144820.94</v>
      </c>
      <c r="AA403" s="13">
        <v>1</v>
      </c>
      <c r="AB403" s="13">
        <v>144820.94</v>
      </c>
    </row>
    <row r="404" spans="1:28" x14ac:dyDescent="0.2">
      <c r="A404" s="13">
        <v>50</v>
      </c>
      <c r="B404" s="13">
        <v>0</v>
      </c>
      <c r="C404" s="13">
        <v>0</v>
      </c>
      <c r="D404" s="13">
        <v>1</v>
      </c>
      <c r="E404" s="13">
        <v>215</v>
      </c>
      <c r="F404" s="13">
        <f>ROUND(Source!AT386,O404)</f>
        <v>37181.22</v>
      </c>
      <c r="G404" s="13" t="s">
        <v>164</v>
      </c>
      <c r="H404" s="13" t="s">
        <v>165</v>
      </c>
      <c r="I404" s="13"/>
      <c r="J404" s="13"/>
      <c r="K404" s="13">
        <v>215</v>
      </c>
      <c r="L404" s="13">
        <v>17</v>
      </c>
      <c r="M404" s="13">
        <v>3</v>
      </c>
      <c r="N404" s="13" t="s">
        <v>3</v>
      </c>
      <c r="O404" s="13">
        <v>2</v>
      </c>
      <c r="P404" s="13">
        <f>ROUND(Source!EL386,O404)</f>
        <v>1020918.85</v>
      </c>
      <c r="Q404" s="13"/>
      <c r="R404" s="13"/>
      <c r="S404" s="13"/>
      <c r="T404" s="13"/>
      <c r="U404" s="13"/>
      <c r="V404" s="13"/>
      <c r="W404" s="13">
        <v>37181.22</v>
      </c>
      <c r="X404" s="13">
        <v>1</v>
      </c>
      <c r="Y404" s="13">
        <v>37181.22</v>
      </c>
      <c r="Z404" s="13">
        <v>1020918.85</v>
      </c>
      <c r="AA404" s="13">
        <v>1</v>
      </c>
      <c r="AB404" s="13">
        <v>1020918.85</v>
      </c>
    </row>
    <row r="405" spans="1:28" x14ac:dyDescent="0.2">
      <c r="A405" s="13">
        <v>50</v>
      </c>
      <c r="B405" s="13">
        <v>0</v>
      </c>
      <c r="C405" s="13">
        <v>0</v>
      </c>
      <c r="D405" s="13">
        <v>1</v>
      </c>
      <c r="E405" s="13">
        <v>217</v>
      </c>
      <c r="F405" s="13">
        <f>ROUND(Source!AU386,O405)</f>
        <v>0</v>
      </c>
      <c r="G405" s="13" t="s">
        <v>166</v>
      </c>
      <c r="H405" s="13" t="s">
        <v>167</v>
      </c>
      <c r="I405" s="13"/>
      <c r="J405" s="13"/>
      <c r="K405" s="13">
        <v>217</v>
      </c>
      <c r="L405" s="13">
        <v>18</v>
      </c>
      <c r="M405" s="13">
        <v>3</v>
      </c>
      <c r="N405" s="13" t="s">
        <v>3</v>
      </c>
      <c r="O405" s="13">
        <v>2</v>
      </c>
      <c r="P405" s="13">
        <f>ROUND(Source!EM386,O405)</f>
        <v>0</v>
      </c>
      <c r="Q405" s="13"/>
      <c r="R405" s="13"/>
      <c r="S405" s="13"/>
      <c r="T405" s="13"/>
      <c r="U405" s="13"/>
      <c r="V405" s="13"/>
      <c r="W405" s="13">
        <v>0</v>
      </c>
      <c r="X405" s="13">
        <v>1</v>
      </c>
      <c r="Y405" s="13">
        <v>0</v>
      </c>
      <c r="Z405" s="13">
        <v>0</v>
      </c>
      <c r="AA405" s="13">
        <v>1</v>
      </c>
      <c r="AB405" s="13">
        <v>0</v>
      </c>
    </row>
    <row r="406" spans="1:28" x14ac:dyDescent="0.2">
      <c r="A406" s="13">
        <v>50</v>
      </c>
      <c r="B406" s="13">
        <v>0</v>
      </c>
      <c r="C406" s="13">
        <v>0</v>
      </c>
      <c r="D406" s="13">
        <v>1</v>
      </c>
      <c r="E406" s="13">
        <v>230</v>
      </c>
      <c r="F406" s="13">
        <f>ROUND(Source!BA386,O406)</f>
        <v>0</v>
      </c>
      <c r="G406" s="13" t="s">
        <v>168</v>
      </c>
      <c r="H406" s="13" t="s">
        <v>169</v>
      </c>
      <c r="I406" s="13"/>
      <c r="J406" s="13"/>
      <c r="K406" s="13">
        <v>230</v>
      </c>
      <c r="L406" s="13">
        <v>19</v>
      </c>
      <c r="M406" s="13">
        <v>3</v>
      </c>
      <c r="N406" s="13" t="s">
        <v>3</v>
      </c>
      <c r="O406" s="13">
        <v>2</v>
      </c>
      <c r="P406" s="13">
        <f>ROUND(Source!ES386,O406)</f>
        <v>0</v>
      </c>
      <c r="Q406" s="13"/>
      <c r="R406" s="13"/>
      <c r="S406" s="13"/>
      <c r="T406" s="13"/>
      <c r="U406" s="13"/>
      <c r="V406" s="13"/>
      <c r="W406" s="13">
        <v>0</v>
      </c>
      <c r="X406" s="13">
        <v>1</v>
      </c>
      <c r="Y406" s="13">
        <v>0</v>
      </c>
      <c r="Z406" s="13">
        <v>0</v>
      </c>
      <c r="AA406" s="13">
        <v>1</v>
      </c>
      <c r="AB406" s="13">
        <v>0</v>
      </c>
    </row>
    <row r="407" spans="1:28" x14ac:dyDescent="0.2">
      <c r="A407" s="13">
        <v>50</v>
      </c>
      <c r="B407" s="13">
        <v>0</v>
      </c>
      <c r="C407" s="13">
        <v>0</v>
      </c>
      <c r="D407" s="13">
        <v>1</v>
      </c>
      <c r="E407" s="13">
        <v>206</v>
      </c>
      <c r="F407" s="13">
        <f>ROUND(Source!T386,O407)</f>
        <v>0</v>
      </c>
      <c r="G407" s="13" t="s">
        <v>170</v>
      </c>
      <c r="H407" s="13" t="s">
        <v>171</v>
      </c>
      <c r="I407" s="13"/>
      <c r="J407" s="13"/>
      <c r="K407" s="13">
        <v>206</v>
      </c>
      <c r="L407" s="13">
        <v>20</v>
      </c>
      <c r="M407" s="13">
        <v>3</v>
      </c>
      <c r="N407" s="13" t="s">
        <v>3</v>
      </c>
      <c r="O407" s="13">
        <v>2</v>
      </c>
      <c r="P407" s="13">
        <f>ROUND(Source!DL386,O407)</f>
        <v>0</v>
      </c>
      <c r="Q407" s="13"/>
      <c r="R407" s="13"/>
      <c r="S407" s="13"/>
      <c r="T407" s="13"/>
      <c r="U407" s="13"/>
      <c r="V407" s="13"/>
      <c r="W407" s="13">
        <v>0</v>
      </c>
      <c r="X407" s="13">
        <v>1</v>
      </c>
      <c r="Y407" s="13">
        <v>0</v>
      </c>
      <c r="Z407" s="13">
        <v>0</v>
      </c>
      <c r="AA407" s="13">
        <v>1</v>
      </c>
      <c r="AB407" s="13">
        <v>0</v>
      </c>
    </row>
    <row r="408" spans="1:28" x14ac:dyDescent="0.2">
      <c r="A408" s="13">
        <v>50</v>
      </c>
      <c r="B408" s="13">
        <v>0</v>
      </c>
      <c r="C408" s="13">
        <v>0</v>
      </c>
      <c r="D408" s="13">
        <v>1</v>
      </c>
      <c r="E408" s="13">
        <v>207</v>
      </c>
      <c r="F408" s="13">
        <f>Source!U386</f>
        <v>571.16713245599999</v>
      </c>
      <c r="G408" s="13" t="s">
        <v>172</v>
      </c>
      <c r="H408" s="13" t="s">
        <v>173</v>
      </c>
      <c r="I408" s="13"/>
      <c r="J408" s="13"/>
      <c r="K408" s="13">
        <v>207</v>
      </c>
      <c r="L408" s="13">
        <v>21</v>
      </c>
      <c r="M408" s="13">
        <v>3</v>
      </c>
      <c r="N408" s="13" t="s">
        <v>3</v>
      </c>
      <c r="O408" s="13">
        <v>-1</v>
      </c>
      <c r="P408" s="13">
        <f>Source!DM386</f>
        <v>571.16713245599999</v>
      </c>
      <c r="Q408" s="13"/>
      <c r="R408" s="13"/>
      <c r="S408" s="13"/>
      <c r="T408" s="13"/>
      <c r="U408" s="13"/>
      <c r="V408" s="13"/>
      <c r="W408" s="13">
        <v>571.16713245599999</v>
      </c>
      <c r="X408" s="13">
        <v>1</v>
      </c>
      <c r="Y408" s="13">
        <v>571.16713245599999</v>
      </c>
      <c r="Z408" s="13">
        <v>571.16713245599999</v>
      </c>
      <c r="AA408" s="13">
        <v>1</v>
      </c>
      <c r="AB408" s="13">
        <v>571.16713245599999</v>
      </c>
    </row>
    <row r="409" spans="1:28" x14ac:dyDescent="0.2">
      <c r="A409" s="13">
        <v>50</v>
      </c>
      <c r="B409" s="13">
        <v>0</v>
      </c>
      <c r="C409" s="13">
        <v>0</v>
      </c>
      <c r="D409" s="13">
        <v>1</v>
      </c>
      <c r="E409" s="13">
        <v>208</v>
      </c>
      <c r="F409" s="13">
        <f>Source!V386</f>
        <v>0</v>
      </c>
      <c r="G409" s="13" t="s">
        <v>174</v>
      </c>
      <c r="H409" s="13" t="s">
        <v>175</v>
      </c>
      <c r="I409" s="13"/>
      <c r="J409" s="13"/>
      <c r="K409" s="13">
        <v>208</v>
      </c>
      <c r="L409" s="13">
        <v>22</v>
      </c>
      <c r="M409" s="13">
        <v>3</v>
      </c>
      <c r="N409" s="13" t="s">
        <v>3</v>
      </c>
      <c r="O409" s="13">
        <v>-1</v>
      </c>
      <c r="P409" s="13">
        <f>Source!DN386</f>
        <v>0</v>
      </c>
      <c r="Q409" s="13"/>
      <c r="R409" s="13"/>
      <c r="S409" s="13"/>
      <c r="T409" s="13"/>
      <c r="U409" s="13"/>
      <c r="V409" s="13"/>
      <c r="W409" s="13">
        <v>0</v>
      </c>
      <c r="X409" s="13">
        <v>1</v>
      </c>
      <c r="Y409" s="13">
        <v>0</v>
      </c>
      <c r="Z409" s="13">
        <v>0</v>
      </c>
      <c r="AA409" s="13">
        <v>1</v>
      </c>
      <c r="AB409" s="13">
        <v>0</v>
      </c>
    </row>
    <row r="410" spans="1:28" x14ac:dyDescent="0.2">
      <c r="A410" s="13">
        <v>50</v>
      </c>
      <c r="B410" s="13">
        <v>0</v>
      </c>
      <c r="C410" s="13">
        <v>0</v>
      </c>
      <c r="D410" s="13">
        <v>1</v>
      </c>
      <c r="E410" s="13">
        <v>209</v>
      </c>
      <c r="F410" s="13">
        <f>ROUND(Source!W386,O410)</f>
        <v>0</v>
      </c>
      <c r="G410" s="13" t="s">
        <v>176</v>
      </c>
      <c r="H410" s="13" t="s">
        <v>177</v>
      </c>
      <c r="I410" s="13"/>
      <c r="J410" s="13"/>
      <c r="K410" s="13">
        <v>209</v>
      </c>
      <c r="L410" s="13">
        <v>23</v>
      </c>
      <c r="M410" s="13">
        <v>3</v>
      </c>
      <c r="N410" s="13" t="s">
        <v>3</v>
      </c>
      <c r="O410" s="13">
        <v>2</v>
      </c>
      <c r="P410" s="13">
        <f>ROUND(Source!DO386,O410)</f>
        <v>0</v>
      </c>
      <c r="Q410" s="13"/>
      <c r="R410" s="13"/>
      <c r="S410" s="13"/>
      <c r="T410" s="13"/>
      <c r="U410" s="13"/>
      <c r="V410" s="13"/>
      <c r="W410" s="13">
        <v>0</v>
      </c>
      <c r="X410" s="13">
        <v>1</v>
      </c>
      <c r="Y410" s="13">
        <v>0</v>
      </c>
      <c r="Z410" s="13">
        <v>0</v>
      </c>
      <c r="AA410" s="13">
        <v>1</v>
      </c>
      <c r="AB410" s="13">
        <v>0</v>
      </c>
    </row>
    <row r="411" spans="1:28" x14ac:dyDescent="0.2">
      <c r="A411" s="13">
        <v>50</v>
      </c>
      <c r="B411" s="13">
        <v>0</v>
      </c>
      <c r="C411" s="13">
        <v>0</v>
      </c>
      <c r="D411" s="13">
        <v>1</v>
      </c>
      <c r="E411" s="13">
        <v>233</v>
      </c>
      <c r="F411" s="13">
        <f>ROUND(Source!BD386,O411)</f>
        <v>0</v>
      </c>
      <c r="G411" s="13" t="s">
        <v>178</v>
      </c>
      <c r="H411" s="13" t="s">
        <v>179</v>
      </c>
      <c r="I411" s="13"/>
      <c r="J411" s="13"/>
      <c r="K411" s="13">
        <v>233</v>
      </c>
      <c r="L411" s="13">
        <v>24</v>
      </c>
      <c r="M411" s="13">
        <v>3</v>
      </c>
      <c r="N411" s="13" t="s">
        <v>3</v>
      </c>
      <c r="O411" s="13">
        <v>2</v>
      </c>
      <c r="P411" s="13">
        <f>ROUND(Source!EV386,O411)</f>
        <v>0</v>
      </c>
      <c r="Q411" s="13"/>
      <c r="R411" s="13"/>
      <c r="S411" s="13"/>
      <c r="T411" s="13"/>
      <c r="U411" s="13"/>
      <c r="V411" s="13"/>
      <c r="W411" s="13">
        <v>0</v>
      </c>
      <c r="X411" s="13">
        <v>1</v>
      </c>
      <c r="Y411" s="13">
        <v>0</v>
      </c>
      <c r="Z411" s="13">
        <v>0</v>
      </c>
      <c r="AA411" s="13">
        <v>1</v>
      </c>
      <c r="AB411" s="13">
        <v>0</v>
      </c>
    </row>
    <row r="412" spans="1:28" x14ac:dyDescent="0.2">
      <c r="A412" s="13">
        <v>50</v>
      </c>
      <c r="B412" s="13">
        <v>0</v>
      </c>
      <c r="C412" s="13">
        <v>0</v>
      </c>
      <c r="D412" s="13">
        <v>1</v>
      </c>
      <c r="E412" s="13">
        <v>210</v>
      </c>
      <c r="F412" s="13">
        <f>ROUND(Source!X386,O412)</f>
        <v>6414.44</v>
      </c>
      <c r="G412" s="13" t="s">
        <v>180</v>
      </c>
      <c r="H412" s="13" t="s">
        <v>181</v>
      </c>
      <c r="I412" s="13"/>
      <c r="J412" s="13"/>
      <c r="K412" s="13">
        <v>210</v>
      </c>
      <c r="L412" s="13">
        <v>25</v>
      </c>
      <c r="M412" s="13">
        <v>3</v>
      </c>
      <c r="N412" s="13" t="s">
        <v>3</v>
      </c>
      <c r="O412" s="13">
        <v>2</v>
      </c>
      <c r="P412" s="13">
        <f>ROUND(Source!DP386,O412)</f>
        <v>361454.49</v>
      </c>
      <c r="Q412" s="13"/>
      <c r="R412" s="13"/>
      <c r="S412" s="13"/>
      <c r="T412" s="13"/>
      <c r="U412" s="13"/>
      <c r="V412" s="13"/>
      <c r="W412" s="13">
        <v>6414.44</v>
      </c>
      <c r="X412" s="13">
        <v>1</v>
      </c>
      <c r="Y412" s="13">
        <v>6414.44</v>
      </c>
      <c r="Z412" s="13">
        <v>361454.49</v>
      </c>
      <c r="AA412" s="13">
        <v>1</v>
      </c>
      <c r="AB412" s="13">
        <v>361454.49</v>
      </c>
    </row>
    <row r="413" spans="1:28" x14ac:dyDescent="0.2">
      <c r="A413" s="13">
        <v>50</v>
      </c>
      <c r="B413" s="13">
        <v>0</v>
      </c>
      <c r="C413" s="13">
        <v>0</v>
      </c>
      <c r="D413" s="13">
        <v>1</v>
      </c>
      <c r="E413" s="13">
        <v>211</v>
      </c>
      <c r="F413" s="13">
        <f>ROUND(Source!Y386,O413)</f>
        <v>3343.59</v>
      </c>
      <c r="G413" s="13" t="s">
        <v>182</v>
      </c>
      <c r="H413" s="13" t="s">
        <v>183</v>
      </c>
      <c r="I413" s="13"/>
      <c r="J413" s="13"/>
      <c r="K413" s="13">
        <v>211</v>
      </c>
      <c r="L413" s="13">
        <v>26</v>
      </c>
      <c r="M413" s="13">
        <v>3</v>
      </c>
      <c r="N413" s="13" t="s">
        <v>3</v>
      </c>
      <c r="O413" s="13">
        <v>2</v>
      </c>
      <c r="P413" s="13">
        <f>ROUND(Source!DQ386,O413)</f>
        <v>188412.01</v>
      </c>
      <c r="Q413" s="13"/>
      <c r="R413" s="13"/>
      <c r="S413" s="13"/>
      <c r="T413" s="13"/>
      <c r="U413" s="13"/>
      <c r="V413" s="13"/>
      <c r="W413" s="13">
        <v>3343.59</v>
      </c>
      <c r="X413" s="13">
        <v>1</v>
      </c>
      <c r="Y413" s="13">
        <v>3343.59</v>
      </c>
      <c r="Z413" s="13">
        <v>188412.01</v>
      </c>
      <c r="AA413" s="13">
        <v>1</v>
      </c>
      <c r="AB413" s="13">
        <v>188412.01</v>
      </c>
    </row>
    <row r="414" spans="1:28" x14ac:dyDescent="0.2">
      <c r="A414" s="13">
        <v>50</v>
      </c>
      <c r="B414" s="13">
        <v>0</v>
      </c>
      <c r="C414" s="13">
        <v>0</v>
      </c>
      <c r="D414" s="13">
        <v>1</v>
      </c>
      <c r="E414" s="13">
        <v>224</v>
      </c>
      <c r="F414" s="13">
        <f>ROUND(Source!AR386,O414)</f>
        <v>373767.99</v>
      </c>
      <c r="G414" s="13" t="s">
        <v>184</v>
      </c>
      <c r="H414" s="13" t="s">
        <v>185</v>
      </c>
      <c r="I414" s="13"/>
      <c r="J414" s="13"/>
      <c r="K414" s="13">
        <v>224</v>
      </c>
      <c r="L414" s="13">
        <v>27</v>
      </c>
      <c r="M414" s="13">
        <v>3</v>
      </c>
      <c r="N414" s="13" t="s">
        <v>3</v>
      </c>
      <c r="O414" s="13">
        <v>2</v>
      </c>
      <c r="P414" s="13">
        <f>ROUND(Source!EJ386,O414)</f>
        <v>3517330.89</v>
      </c>
      <c r="Q414" s="13"/>
      <c r="R414" s="13"/>
      <c r="S414" s="13"/>
      <c r="T414" s="13"/>
      <c r="U414" s="13"/>
      <c r="V414" s="13"/>
      <c r="W414" s="13">
        <v>373767.99</v>
      </c>
      <c r="X414" s="13">
        <v>1</v>
      </c>
      <c r="Y414" s="13">
        <v>373767.99</v>
      </c>
      <c r="Z414" s="13">
        <v>3517330.89</v>
      </c>
      <c r="AA414" s="13">
        <v>1</v>
      </c>
      <c r="AB414" s="13">
        <v>3517330.89</v>
      </c>
    </row>
    <row r="417" spans="1:50" x14ac:dyDescent="0.2">
      <c r="A417" s="3">
        <v>70</v>
      </c>
      <c r="B417" s="3">
        <v>1</v>
      </c>
      <c r="D417" s="3">
        <v>1</v>
      </c>
      <c r="E417" s="3" t="s">
        <v>439</v>
      </c>
      <c r="F417" s="3" t="s">
        <v>440</v>
      </c>
      <c r="G417" s="3">
        <v>0</v>
      </c>
      <c r="H417" s="3">
        <v>0</v>
      </c>
      <c r="I417" s="3" t="s">
        <v>3</v>
      </c>
      <c r="J417" s="3">
        <v>1</v>
      </c>
      <c r="K417" s="3">
        <v>0</v>
      </c>
      <c r="L417" s="3" t="s">
        <v>3</v>
      </c>
      <c r="M417" s="3" t="s">
        <v>3</v>
      </c>
      <c r="N417" s="3">
        <v>0</v>
      </c>
      <c r="O417" s="3">
        <v>0</v>
      </c>
      <c r="P417" s="3" t="s">
        <v>3</v>
      </c>
    </row>
    <row r="418" spans="1:50" x14ac:dyDescent="0.2">
      <c r="A418" s="3">
        <v>70</v>
      </c>
      <c r="B418" s="3">
        <v>1</v>
      </c>
      <c r="D418" s="3">
        <v>2</v>
      </c>
      <c r="E418" s="3" t="s">
        <v>441</v>
      </c>
      <c r="F418" s="3" t="s">
        <v>442</v>
      </c>
      <c r="G418" s="3">
        <v>1</v>
      </c>
      <c r="H418" s="3">
        <v>0</v>
      </c>
      <c r="I418" s="3" t="s">
        <v>3</v>
      </c>
      <c r="J418" s="3">
        <v>1</v>
      </c>
      <c r="K418" s="3">
        <v>0</v>
      </c>
      <c r="L418" s="3" t="s">
        <v>3</v>
      </c>
      <c r="M418" s="3" t="s">
        <v>3</v>
      </c>
      <c r="N418" s="3">
        <v>0</v>
      </c>
      <c r="O418" s="3">
        <v>1</v>
      </c>
      <c r="P418" s="3" t="s">
        <v>3</v>
      </c>
    </row>
    <row r="419" spans="1:50" x14ac:dyDescent="0.2">
      <c r="A419" s="3">
        <v>70</v>
      </c>
      <c r="B419" s="3">
        <v>1</v>
      </c>
      <c r="D419" s="3">
        <v>3</v>
      </c>
      <c r="E419" s="3" t="s">
        <v>443</v>
      </c>
      <c r="F419" s="3" t="s">
        <v>444</v>
      </c>
      <c r="G419" s="3">
        <v>1</v>
      </c>
      <c r="H419" s="3">
        <v>0</v>
      </c>
      <c r="I419" s="3" t="s">
        <v>3</v>
      </c>
      <c r="J419" s="3">
        <v>0</v>
      </c>
      <c r="K419" s="3">
        <v>0</v>
      </c>
      <c r="L419" s="3" t="s">
        <v>3</v>
      </c>
      <c r="M419" s="3" t="s">
        <v>3</v>
      </c>
      <c r="N419" s="3">
        <v>0</v>
      </c>
      <c r="O419" s="3">
        <v>1</v>
      </c>
      <c r="P419" s="3" t="s">
        <v>3</v>
      </c>
    </row>
    <row r="420" spans="1:50" x14ac:dyDescent="0.2">
      <c r="A420" s="3">
        <v>70</v>
      </c>
      <c r="B420" s="3">
        <v>1</v>
      </c>
      <c r="D420" s="3">
        <v>4</v>
      </c>
      <c r="E420" s="3" t="s">
        <v>445</v>
      </c>
      <c r="F420" s="3" t="s">
        <v>446</v>
      </c>
      <c r="G420" s="3">
        <v>1</v>
      </c>
      <c r="H420" s="3">
        <v>0</v>
      </c>
      <c r="I420" s="3" t="s">
        <v>3</v>
      </c>
      <c r="J420" s="3">
        <v>0</v>
      </c>
      <c r="K420" s="3">
        <v>0</v>
      </c>
      <c r="L420" s="3" t="s">
        <v>3</v>
      </c>
      <c r="M420" s="3" t="s">
        <v>3</v>
      </c>
      <c r="N420" s="3">
        <v>0</v>
      </c>
      <c r="O420" s="3">
        <v>1</v>
      </c>
      <c r="P420" s="3" t="s">
        <v>3</v>
      </c>
    </row>
    <row r="421" spans="1:50" x14ac:dyDescent="0.2">
      <c r="A421" s="3">
        <v>70</v>
      </c>
      <c r="B421" s="3">
        <v>1</v>
      </c>
      <c r="D421" s="3">
        <v>5</v>
      </c>
      <c r="E421" s="3" t="s">
        <v>447</v>
      </c>
      <c r="F421" s="3" t="s">
        <v>448</v>
      </c>
      <c r="G421" s="3">
        <v>0</v>
      </c>
      <c r="H421" s="3">
        <v>0</v>
      </c>
      <c r="I421" s="3" t="s">
        <v>3</v>
      </c>
      <c r="J421" s="3">
        <v>0</v>
      </c>
      <c r="K421" s="3">
        <v>0</v>
      </c>
      <c r="L421" s="3" t="s">
        <v>3</v>
      </c>
      <c r="M421" s="3" t="s">
        <v>3</v>
      </c>
      <c r="N421" s="3">
        <v>0</v>
      </c>
      <c r="O421" s="3">
        <v>0</v>
      </c>
      <c r="P421" s="3" t="s">
        <v>3</v>
      </c>
    </row>
    <row r="423" spans="1:50" x14ac:dyDescent="0.2">
      <c r="A423" s="3">
        <v>-1</v>
      </c>
    </row>
    <row r="425" spans="1:50" x14ac:dyDescent="0.2">
      <c r="A425" s="12">
        <v>75</v>
      </c>
      <c r="B425" s="12" t="s">
        <v>449</v>
      </c>
      <c r="C425" s="12">
        <v>2026</v>
      </c>
      <c r="D425" s="12">
        <v>1</v>
      </c>
      <c r="E425" s="12">
        <v>0</v>
      </c>
      <c r="F425" s="12"/>
      <c r="G425" s="12">
        <v>0</v>
      </c>
      <c r="H425" s="12">
        <v>1</v>
      </c>
      <c r="I425" s="12">
        <v>1</v>
      </c>
      <c r="J425" s="12">
        <v>1</v>
      </c>
      <c r="K425" s="12">
        <v>0</v>
      </c>
      <c r="L425" s="12">
        <v>0</v>
      </c>
      <c r="M425" s="12">
        <v>1</v>
      </c>
      <c r="N425" s="12">
        <v>57248837</v>
      </c>
      <c r="O425" s="12">
        <v>1</v>
      </c>
    </row>
    <row r="426" spans="1:50" x14ac:dyDescent="0.2">
      <c r="A426" s="14">
        <v>1</v>
      </c>
      <c r="B426" s="14" t="s">
        <v>450</v>
      </c>
      <c r="C426" s="14" t="s">
        <v>451</v>
      </c>
      <c r="D426" s="14">
        <v>2026</v>
      </c>
      <c r="E426" s="14">
        <v>1</v>
      </c>
      <c r="F426" s="14">
        <v>1</v>
      </c>
      <c r="G426" s="14">
        <v>1</v>
      </c>
      <c r="H426" s="14">
        <v>0</v>
      </c>
      <c r="I426" s="14">
        <v>2</v>
      </c>
      <c r="J426" s="14">
        <v>1</v>
      </c>
      <c r="K426" s="14">
        <v>9.84</v>
      </c>
      <c r="L426" s="14">
        <v>7.57</v>
      </c>
      <c r="M426" s="14">
        <v>1</v>
      </c>
      <c r="N426" s="14">
        <v>1</v>
      </c>
      <c r="O426" s="14">
        <v>9.84</v>
      </c>
      <c r="P426" s="14">
        <v>7.57</v>
      </c>
      <c r="Q426" s="14">
        <v>1</v>
      </c>
      <c r="R426" s="14" t="s">
        <v>3</v>
      </c>
      <c r="S426" s="14" t="s">
        <v>3</v>
      </c>
      <c r="T426" s="14" t="s">
        <v>3</v>
      </c>
      <c r="U426" s="14" t="s">
        <v>3</v>
      </c>
      <c r="V426" s="14" t="s">
        <v>3</v>
      </c>
      <c r="W426" s="14" t="s">
        <v>3</v>
      </c>
      <c r="X426" s="14" t="s">
        <v>3</v>
      </c>
      <c r="Y426" s="14" t="s">
        <v>3</v>
      </c>
      <c r="Z426" s="14" t="s">
        <v>3</v>
      </c>
      <c r="AA426" s="14" t="s">
        <v>452</v>
      </c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>
        <v>57248838</v>
      </c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</row>
    <row r="427" spans="1:50" x14ac:dyDescent="0.2">
      <c r="A427" s="14">
        <v>1</v>
      </c>
      <c r="B427" s="14" t="s">
        <v>450</v>
      </c>
      <c r="C427" s="14" t="s">
        <v>453</v>
      </c>
      <c r="D427" s="14">
        <v>2026</v>
      </c>
      <c r="E427" s="14">
        <v>1</v>
      </c>
      <c r="F427" s="14">
        <v>1</v>
      </c>
      <c r="G427" s="14">
        <v>1</v>
      </c>
      <c r="H427" s="14">
        <v>0</v>
      </c>
      <c r="I427" s="14">
        <v>2</v>
      </c>
      <c r="J427" s="14">
        <v>1</v>
      </c>
      <c r="K427" s="14">
        <v>9.84</v>
      </c>
      <c r="L427" s="14">
        <v>7.57</v>
      </c>
      <c r="M427" s="14">
        <v>1</v>
      </c>
      <c r="N427" s="14">
        <v>1</v>
      </c>
      <c r="O427" s="14">
        <v>9.84</v>
      </c>
      <c r="P427" s="14">
        <v>7.57</v>
      </c>
      <c r="Q427" s="14">
        <v>1</v>
      </c>
      <c r="R427" s="14" t="s">
        <v>3</v>
      </c>
      <c r="S427" s="14" t="s">
        <v>3</v>
      </c>
      <c r="T427" s="14" t="s">
        <v>3</v>
      </c>
      <c r="U427" s="14" t="s">
        <v>3</v>
      </c>
      <c r="V427" s="14" t="s">
        <v>3</v>
      </c>
      <c r="W427" s="14" t="s">
        <v>3</v>
      </c>
      <c r="X427" s="14" t="s">
        <v>3</v>
      </c>
      <c r="Y427" s="14" t="s">
        <v>3</v>
      </c>
      <c r="Z427" s="14" t="s">
        <v>3</v>
      </c>
      <c r="AA427" s="14" t="s">
        <v>454</v>
      </c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>
        <v>57248839</v>
      </c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</row>
    <row r="428" spans="1:50" x14ac:dyDescent="0.2">
      <c r="A428" s="12">
        <v>75</v>
      </c>
      <c r="B428" s="12" t="s">
        <v>455</v>
      </c>
      <c r="C428" s="12">
        <v>2000</v>
      </c>
      <c r="D428" s="12">
        <v>0</v>
      </c>
      <c r="E428" s="12">
        <v>1</v>
      </c>
      <c r="F428" s="12">
        <v>0</v>
      </c>
      <c r="G428" s="12">
        <v>0</v>
      </c>
      <c r="H428" s="12">
        <v>1</v>
      </c>
      <c r="I428" s="12">
        <v>1</v>
      </c>
      <c r="J428" s="12">
        <v>3</v>
      </c>
      <c r="K428" s="12">
        <v>0</v>
      </c>
      <c r="L428" s="12">
        <v>0</v>
      </c>
      <c r="M428" s="12">
        <v>0</v>
      </c>
      <c r="N428" s="12">
        <v>57248835</v>
      </c>
      <c r="O428" s="12">
        <v>2</v>
      </c>
    </row>
    <row r="429" spans="1:50" x14ac:dyDescent="0.2">
      <c r="A429" s="14">
        <v>1</v>
      </c>
      <c r="B429" s="14" t="s">
        <v>450</v>
      </c>
      <c r="C429" s="14" t="s">
        <v>451</v>
      </c>
      <c r="D429" s="14">
        <v>2000</v>
      </c>
      <c r="E429" s="14">
        <v>1</v>
      </c>
      <c r="F429" s="14">
        <v>1</v>
      </c>
      <c r="G429" s="14">
        <v>1</v>
      </c>
      <c r="H429" s="14">
        <v>0</v>
      </c>
      <c r="I429" s="14">
        <v>2</v>
      </c>
      <c r="J429" s="14">
        <v>1</v>
      </c>
      <c r="K429" s="14">
        <v>1</v>
      </c>
      <c r="L429" s="14">
        <v>1</v>
      </c>
      <c r="M429" s="14">
        <v>1</v>
      </c>
      <c r="N429" s="14">
        <v>1</v>
      </c>
      <c r="O429" s="14">
        <v>1</v>
      </c>
      <c r="P429" s="14">
        <v>1</v>
      </c>
      <c r="Q429" s="14">
        <v>1</v>
      </c>
      <c r="R429" s="14" t="s">
        <v>3</v>
      </c>
      <c r="S429" s="14" t="s">
        <v>3</v>
      </c>
      <c r="T429" s="14" t="s">
        <v>3</v>
      </c>
      <c r="U429" s="14" t="s">
        <v>3</v>
      </c>
      <c r="V429" s="14" t="s">
        <v>3</v>
      </c>
      <c r="W429" s="14" t="s">
        <v>3</v>
      </c>
      <c r="X429" s="14" t="s">
        <v>3</v>
      </c>
      <c r="Y429" s="14" t="s">
        <v>3</v>
      </c>
      <c r="Z429" s="14" t="s">
        <v>3</v>
      </c>
      <c r="AA429" s="14" t="s">
        <v>334</v>
      </c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>
        <v>57248836</v>
      </c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3" spans="1:5" x14ac:dyDescent="0.2">
      <c r="A433" s="3">
        <v>65</v>
      </c>
      <c r="C433" s="3">
        <v>1</v>
      </c>
      <c r="D433" s="3">
        <v>0</v>
      </c>
      <c r="E433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456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2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8</v>
      </c>
      <c r="AC12" s="1" t="s">
        <v>9</v>
      </c>
      <c r="AD12" s="1" t="s">
        <v>10</v>
      </c>
      <c r="AE12" s="1" t="s">
        <v>11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12</v>
      </c>
      <c r="BI12" s="1" t="s">
        <v>13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14</v>
      </c>
      <c r="BZ12" s="1" t="s">
        <v>15</v>
      </c>
      <c r="CA12" s="1" t="s">
        <v>16</v>
      </c>
      <c r="CB12" s="1" t="s">
        <v>16</v>
      </c>
      <c r="CC12" s="1" t="s">
        <v>16</v>
      </c>
      <c r="CD12" s="1" t="s">
        <v>16</v>
      </c>
      <c r="CE12" s="1" t="s">
        <v>17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82</v>
      </c>
      <c r="CL12" s="1"/>
      <c r="CM12" s="1"/>
      <c r="CN12" s="1"/>
      <c r="CO12" s="1"/>
      <c r="CP12" s="1"/>
      <c r="CQ12" s="1" t="s">
        <v>18</v>
      </c>
      <c r="CR12" s="1" t="s">
        <v>19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57248837</v>
      </c>
      <c r="E14" s="1">
        <v>57248835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5</v>
      </c>
      <c r="D16" s="7" t="s">
        <v>20</v>
      </c>
      <c r="E16" s="8">
        <f>ROUND((Source!P373)/1000,2)</f>
        <v>144.82</v>
      </c>
      <c r="F16" s="8">
        <f>ROUND((Source!P374)/1000,2)</f>
        <v>1020.92</v>
      </c>
      <c r="G16" s="8">
        <f>ROUND((Source!P365)/1000,2)</f>
        <v>2351.59</v>
      </c>
      <c r="H16" s="8">
        <f>ROUND((Source!P375)/1000+(Source!P376)/1000,2)</f>
        <v>0</v>
      </c>
      <c r="I16" s="8">
        <f>E16+F16+G16+H16</f>
        <v>3517.33</v>
      </c>
      <c r="J16" s="8">
        <f>ROUND((Source!P371+Source!P370)/1000,2)</f>
        <v>394.62</v>
      </c>
      <c r="K16" s="8">
        <v>5538.42</v>
      </c>
      <c r="L16" s="8">
        <v>0</v>
      </c>
      <c r="M16" s="8">
        <v>0</v>
      </c>
      <c r="N16" s="8">
        <f>I16+L16+M16</f>
        <v>3517.33</v>
      </c>
      <c r="T16" s="9">
        <f>ROUND((Source!F373)/1000,2)</f>
        <v>24.33</v>
      </c>
      <c r="U16" s="9">
        <f>ROUND((Source!F374)/1000,2)</f>
        <v>37.18</v>
      </c>
      <c r="V16" s="9">
        <f>ROUND((Source!F365)/1000,2)</f>
        <v>312.26</v>
      </c>
      <c r="W16" s="9">
        <f>ROUND((Source!F375)/1000+(Source!F376)/1000,2)</f>
        <v>0</v>
      </c>
      <c r="X16" s="9">
        <f>T16+U16+V16+W16</f>
        <v>373.77</v>
      </c>
      <c r="Y16" s="9">
        <f>ROUND((Source!F371+Source!F370)/1000,2)</f>
        <v>7</v>
      </c>
      <c r="Z16" s="9">
        <v>720.83</v>
      </c>
      <c r="AA16" s="9">
        <v>0</v>
      </c>
      <c r="AB16" s="9">
        <v>0</v>
      </c>
      <c r="AC16" s="9">
        <f>X16+AA16+AB16</f>
        <v>373.77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2967464.39</v>
      </c>
      <c r="AU16" s="8">
        <v>2570957.58</v>
      </c>
      <c r="AV16" s="8">
        <v>0</v>
      </c>
      <c r="AW16" s="8">
        <v>2351591.1</v>
      </c>
      <c r="AX16" s="8">
        <v>0</v>
      </c>
      <c r="AY16" s="8">
        <v>3104.91</v>
      </c>
      <c r="AZ16" s="8">
        <v>1213.23</v>
      </c>
      <c r="BA16" s="8">
        <v>393401.9</v>
      </c>
      <c r="BB16" s="8">
        <v>144820.94</v>
      </c>
      <c r="BC16" s="8">
        <v>1020918.85</v>
      </c>
      <c r="BD16" s="8">
        <v>0</v>
      </c>
      <c r="BE16" s="8">
        <v>0</v>
      </c>
      <c r="BF16" s="8">
        <v>571.16713245599999</v>
      </c>
      <c r="BG16" s="8">
        <v>0</v>
      </c>
      <c r="BH16" s="8">
        <v>0</v>
      </c>
      <c r="BI16" s="8">
        <v>361454.49</v>
      </c>
      <c r="BJ16" s="8">
        <v>188412.01</v>
      </c>
      <c r="BK16" s="8">
        <v>3517330.89</v>
      </c>
      <c r="BR16" s="9">
        <v>364009.96</v>
      </c>
      <c r="BS16" s="9">
        <v>356815.44</v>
      </c>
      <c r="BT16" s="9">
        <v>0</v>
      </c>
      <c r="BU16" s="9">
        <v>312261.27</v>
      </c>
      <c r="BV16" s="9">
        <v>0</v>
      </c>
      <c r="BW16" s="9">
        <v>213.12</v>
      </c>
      <c r="BX16" s="9">
        <v>21.53</v>
      </c>
      <c r="BY16" s="9">
        <v>6981.4</v>
      </c>
      <c r="BZ16" s="9">
        <v>24325.5</v>
      </c>
      <c r="CA16" s="9">
        <v>37181.22</v>
      </c>
      <c r="CB16" s="9">
        <v>0</v>
      </c>
      <c r="CC16" s="9">
        <v>0</v>
      </c>
      <c r="CD16" s="9">
        <v>571.16713245599999</v>
      </c>
      <c r="CE16" s="9">
        <v>0</v>
      </c>
      <c r="CF16" s="9">
        <v>0</v>
      </c>
      <c r="CG16" s="9">
        <v>6414.44</v>
      </c>
      <c r="CH16" s="9">
        <v>3343.59</v>
      </c>
      <c r="CI16" s="9">
        <v>373767.99</v>
      </c>
    </row>
    <row r="18" spans="1:29" x14ac:dyDescent="0.2">
      <c r="A18">
        <v>51</v>
      </c>
      <c r="E18">
        <v>144.82</v>
      </c>
      <c r="F18">
        <v>1020.92</v>
      </c>
      <c r="G18">
        <v>2351.59</v>
      </c>
      <c r="H18">
        <v>0</v>
      </c>
      <c r="I18">
        <v>3517.33</v>
      </c>
      <c r="J18">
        <v>394.62</v>
      </c>
      <c r="K18">
        <v>5538.42</v>
      </c>
      <c r="L18">
        <v>0</v>
      </c>
      <c r="M18">
        <v>0</v>
      </c>
      <c r="N18">
        <v>3517.33</v>
      </c>
      <c r="T18">
        <v>24.33</v>
      </c>
      <c r="U18">
        <v>37.18</v>
      </c>
      <c r="V18">
        <v>312.26</v>
      </c>
      <c r="W18">
        <v>0</v>
      </c>
      <c r="X18">
        <v>373.77</v>
      </c>
      <c r="Y18">
        <v>7</v>
      </c>
      <c r="Z18">
        <v>720.83</v>
      </c>
      <c r="AA18">
        <v>0</v>
      </c>
      <c r="AB18">
        <v>0</v>
      </c>
      <c r="AC18">
        <v>373.77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2967464.39</v>
      </c>
      <c r="G20" s="5" t="s">
        <v>132</v>
      </c>
      <c r="H20" s="5" t="s">
        <v>133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364009.96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2570957.58</v>
      </c>
      <c r="G21" s="5" t="s">
        <v>134</v>
      </c>
      <c r="H21" s="5" t="s">
        <v>135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356815.44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136</v>
      </c>
      <c r="H22" s="5" t="s">
        <v>137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2570957.58</v>
      </c>
      <c r="G23" s="5" t="s">
        <v>138</v>
      </c>
      <c r="H23" s="5" t="s">
        <v>139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356815.44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219366.48</v>
      </c>
      <c r="G24" s="5" t="s">
        <v>140</v>
      </c>
      <c r="H24" s="5" t="s">
        <v>141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44554.17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142</v>
      </c>
      <c r="H25" s="5" t="s">
        <v>143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219366.48</v>
      </c>
      <c r="G26" s="5" t="s">
        <v>144</v>
      </c>
      <c r="H26" s="5" t="s">
        <v>145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44554.17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2351591.1</v>
      </c>
      <c r="G27" s="5" t="s">
        <v>146</v>
      </c>
      <c r="H27" s="5" t="s">
        <v>147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312261.27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148</v>
      </c>
      <c r="H28" s="5" t="s">
        <v>149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2351591.1</v>
      </c>
      <c r="G29" s="5" t="s">
        <v>150</v>
      </c>
      <c r="H29" s="5" t="s">
        <v>151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312261.27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3104.91</v>
      </c>
      <c r="G30" s="5" t="s">
        <v>152</v>
      </c>
      <c r="H30" s="5" t="s">
        <v>153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213.12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154</v>
      </c>
      <c r="H31" s="5" t="s">
        <v>155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1213.23</v>
      </c>
      <c r="G32" s="5" t="s">
        <v>156</v>
      </c>
      <c r="H32" s="5" t="s">
        <v>157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21.53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393401.9</v>
      </c>
      <c r="G33" s="5" t="s">
        <v>158</v>
      </c>
      <c r="H33" s="5" t="s">
        <v>159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6981.4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160</v>
      </c>
      <c r="H34" s="5" t="s">
        <v>161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144820.94</v>
      </c>
      <c r="G35" s="5" t="s">
        <v>162</v>
      </c>
      <c r="H35" s="5" t="s">
        <v>163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24325.5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1020918.85</v>
      </c>
      <c r="G36" s="5" t="s">
        <v>164</v>
      </c>
      <c r="H36" s="5" t="s">
        <v>165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37181.22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166</v>
      </c>
      <c r="H37" s="5" t="s">
        <v>167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168</v>
      </c>
      <c r="H38" s="5" t="s">
        <v>169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170</v>
      </c>
      <c r="H39" s="5" t="s">
        <v>171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571.16713245599999</v>
      </c>
      <c r="G40" s="5" t="s">
        <v>172</v>
      </c>
      <c r="H40" s="5" t="s">
        <v>173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571.16713245599999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174</v>
      </c>
      <c r="H41" s="5" t="s">
        <v>175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176</v>
      </c>
      <c r="H42" s="5" t="s">
        <v>177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178</v>
      </c>
      <c r="H43" s="5" t="s">
        <v>179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361454.49</v>
      </c>
      <c r="G44" s="5" t="s">
        <v>180</v>
      </c>
      <c r="H44" s="5" t="s">
        <v>181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6414.44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188412.01</v>
      </c>
      <c r="G45" s="5" t="s">
        <v>182</v>
      </c>
      <c r="H45" s="5" t="s">
        <v>183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3343.59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3517330.89</v>
      </c>
      <c r="G46" s="5" t="s">
        <v>184</v>
      </c>
      <c r="H46" s="5" t="s">
        <v>185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373767.99</v>
      </c>
    </row>
    <row r="48" spans="1:16" x14ac:dyDescent="0.2">
      <c r="A48">
        <v>-1</v>
      </c>
    </row>
    <row r="51" spans="1:50" x14ac:dyDescent="0.2">
      <c r="A51" s="4">
        <v>75</v>
      </c>
      <c r="B51" s="4" t="s">
        <v>449</v>
      </c>
      <c r="C51" s="4">
        <v>2026</v>
      </c>
      <c r="D51" s="4">
        <v>1</v>
      </c>
      <c r="E51" s="4">
        <v>0</v>
      </c>
      <c r="F51" s="4"/>
      <c r="G51" s="4">
        <v>0</v>
      </c>
      <c r="H51" s="4">
        <v>1</v>
      </c>
      <c r="I51" s="4">
        <v>1</v>
      </c>
      <c r="J51" s="4">
        <v>1</v>
      </c>
      <c r="K51" s="4">
        <v>0</v>
      </c>
      <c r="L51" s="4">
        <v>0</v>
      </c>
      <c r="M51" s="4">
        <v>1</v>
      </c>
      <c r="N51" s="4">
        <v>57248837</v>
      </c>
      <c r="O51" s="4">
        <v>1</v>
      </c>
    </row>
    <row r="52" spans="1:50" x14ac:dyDescent="0.2">
      <c r="A52" s="6">
        <v>1</v>
      </c>
      <c r="B52" s="6" t="s">
        <v>450</v>
      </c>
      <c r="C52" s="6" t="s">
        <v>451</v>
      </c>
      <c r="D52" s="6">
        <v>2026</v>
      </c>
      <c r="E52" s="6">
        <v>1</v>
      </c>
      <c r="F52" s="6">
        <v>1</v>
      </c>
      <c r="G52" s="6">
        <v>1</v>
      </c>
      <c r="H52" s="6">
        <v>0</v>
      </c>
      <c r="I52" s="6">
        <v>2</v>
      </c>
      <c r="J52" s="6">
        <v>1</v>
      </c>
      <c r="K52" s="6">
        <v>9.84</v>
      </c>
      <c r="L52" s="6">
        <v>7.57</v>
      </c>
      <c r="M52" s="6">
        <v>1</v>
      </c>
      <c r="N52" s="6">
        <v>1</v>
      </c>
      <c r="O52" s="6">
        <v>9.84</v>
      </c>
      <c r="P52" s="6">
        <v>7.57</v>
      </c>
      <c r="Q52" s="6">
        <v>1</v>
      </c>
      <c r="R52" s="6" t="s">
        <v>3</v>
      </c>
      <c r="S52" s="6" t="s">
        <v>3</v>
      </c>
      <c r="T52" s="6" t="s">
        <v>3</v>
      </c>
      <c r="U52" s="6" t="s">
        <v>3</v>
      </c>
      <c r="V52" s="6" t="s">
        <v>3</v>
      </c>
      <c r="W52" s="6" t="s">
        <v>3</v>
      </c>
      <c r="X52" s="6" t="s">
        <v>3</v>
      </c>
      <c r="Y52" s="6" t="s">
        <v>3</v>
      </c>
      <c r="Z52" s="6" t="s">
        <v>3</v>
      </c>
      <c r="AA52" s="6" t="s">
        <v>452</v>
      </c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57248838</v>
      </c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1:50" x14ac:dyDescent="0.2">
      <c r="A53" s="6">
        <v>1</v>
      </c>
      <c r="B53" s="6" t="s">
        <v>450</v>
      </c>
      <c r="C53" s="6" t="s">
        <v>453</v>
      </c>
      <c r="D53" s="6">
        <v>2026</v>
      </c>
      <c r="E53" s="6">
        <v>1</v>
      </c>
      <c r="F53" s="6">
        <v>1</v>
      </c>
      <c r="G53" s="6">
        <v>1</v>
      </c>
      <c r="H53" s="6">
        <v>0</v>
      </c>
      <c r="I53" s="6">
        <v>2</v>
      </c>
      <c r="J53" s="6">
        <v>1</v>
      </c>
      <c r="K53" s="6">
        <v>9.84</v>
      </c>
      <c r="L53" s="6">
        <v>7.57</v>
      </c>
      <c r="M53" s="6">
        <v>1</v>
      </c>
      <c r="N53" s="6">
        <v>1</v>
      </c>
      <c r="O53" s="6">
        <v>9.84</v>
      </c>
      <c r="P53" s="6">
        <v>7.57</v>
      </c>
      <c r="Q53" s="6">
        <v>1</v>
      </c>
      <c r="R53" s="6" t="s">
        <v>3</v>
      </c>
      <c r="S53" s="6" t="s">
        <v>3</v>
      </c>
      <c r="T53" s="6" t="s">
        <v>3</v>
      </c>
      <c r="U53" s="6" t="s">
        <v>3</v>
      </c>
      <c r="V53" s="6" t="s">
        <v>3</v>
      </c>
      <c r="W53" s="6" t="s">
        <v>3</v>
      </c>
      <c r="X53" s="6" t="s">
        <v>3</v>
      </c>
      <c r="Y53" s="6" t="s">
        <v>3</v>
      </c>
      <c r="Z53" s="6" t="s">
        <v>3</v>
      </c>
      <c r="AA53" s="6" t="s">
        <v>454</v>
      </c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>
        <v>57248839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1:50" x14ac:dyDescent="0.2">
      <c r="A54" s="4">
        <v>75</v>
      </c>
      <c r="B54" s="4" t="s">
        <v>455</v>
      </c>
      <c r="C54" s="4">
        <v>2000</v>
      </c>
      <c r="D54" s="4">
        <v>0</v>
      </c>
      <c r="E54" s="4">
        <v>1</v>
      </c>
      <c r="F54" s="4">
        <v>0</v>
      </c>
      <c r="G54" s="4">
        <v>0</v>
      </c>
      <c r="H54" s="4">
        <v>1</v>
      </c>
      <c r="I54" s="4">
        <v>1</v>
      </c>
      <c r="J54" s="4">
        <v>3</v>
      </c>
      <c r="K54" s="4">
        <v>0</v>
      </c>
      <c r="L54" s="4">
        <v>0</v>
      </c>
      <c r="M54" s="4">
        <v>0</v>
      </c>
      <c r="N54" s="4">
        <v>57248835</v>
      </c>
      <c r="O54" s="4">
        <v>2</v>
      </c>
    </row>
    <row r="55" spans="1:50" x14ac:dyDescent="0.2">
      <c r="A55" s="6">
        <v>1</v>
      </c>
      <c r="B55" s="6" t="s">
        <v>450</v>
      </c>
      <c r="C55" s="6" t="s">
        <v>451</v>
      </c>
      <c r="D55" s="6">
        <v>2000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334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57248836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40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57248835</v>
      </c>
      <c r="C1">
        <v>57249574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457</v>
      </c>
      <c r="J1" t="s">
        <v>3</v>
      </c>
      <c r="K1" t="s">
        <v>458</v>
      </c>
      <c r="L1">
        <v>1191</v>
      </c>
      <c r="N1">
        <v>1013</v>
      </c>
      <c r="O1" t="s">
        <v>459</v>
      </c>
      <c r="P1" t="s">
        <v>459</v>
      </c>
      <c r="Q1">
        <v>1</v>
      </c>
      <c r="W1">
        <v>0</v>
      </c>
      <c r="X1">
        <v>476480486</v>
      </c>
      <c r="Y1">
        <f t="shared" ref="Y1:Y7" si="0">((AT1*1.2)*0.3)</f>
        <v>0.64800000000000002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1.8</v>
      </c>
      <c r="AU1" t="s">
        <v>32</v>
      </c>
      <c r="AV1">
        <v>1</v>
      </c>
      <c r="AW1">
        <v>2</v>
      </c>
      <c r="AX1">
        <v>57249576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5.1840000000000002</v>
      </c>
      <c r="CW1">
        <v>0</v>
      </c>
      <c r="CX1">
        <f>ROUND(Y1*Source!I28,9)</f>
        <v>5.1840000000000002</v>
      </c>
      <c r="CY1">
        <f>AD1</f>
        <v>0</v>
      </c>
      <c r="CZ1">
        <f>AH1</f>
        <v>0</v>
      </c>
      <c r="DA1">
        <f>AL1</f>
        <v>1</v>
      </c>
      <c r="DB1">
        <f t="shared" ref="DB1:DB7" si="1">ROUND(((ROUND(AT1*CZ1,2)*1.2)*0.3),6)</f>
        <v>0</v>
      </c>
      <c r="DC1">
        <f t="shared" ref="DC1:DC7" si="2">ROUND(((ROUND(AT1*AG1,2)*1.2)*0.3),6)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4" si="4">ROUND(ROUND(AF1,2)*CX1,2)</f>
        <v>0</v>
      </c>
      <c r="DH1">
        <f t="shared" ref="DH1:DH32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ROW(Source!A29)</f>
        <v>29</v>
      </c>
      <c r="B2">
        <v>57248837</v>
      </c>
      <c r="C2">
        <v>57249574</v>
      </c>
      <c r="D2">
        <v>54702434</v>
      </c>
      <c r="E2">
        <v>1081</v>
      </c>
      <c r="F2">
        <v>1</v>
      </c>
      <c r="G2">
        <v>1081</v>
      </c>
      <c r="H2">
        <v>1</v>
      </c>
      <c r="I2" t="s">
        <v>457</v>
      </c>
      <c r="J2" t="s">
        <v>3</v>
      </c>
      <c r="K2" t="s">
        <v>458</v>
      </c>
      <c r="L2">
        <v>1191</v>
      </c>
      <c r="N2">
        <v>1013</v>
      </c>
      <c r="O2" t="s">
        <v>459</v>
      </c>
      <c r="P2" t="s">
        <v>459</v>
      </c>
      <c r="Q2">
        <v>1</v>
      </c>
      <c r="W2">
        <v>0</v>
      </c>
      <c r="X2">
        <v>476480486</v>
      </c>
      <c r="Y2">
        <f t="shared" si="0"/>
        <v>0.64800000000000002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5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1.8</v>
      </c>
      <c r="AU2" t="s">
        <v>32</v>
      </c>
      <c r="AV2">
        <v>1</v>
      </c>
      <c r="AW2">
        <v>2</v>
      </c>
      <c r="AX2">
        <v>57249576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U2">
        <f>ROUND(AT2*Source!I29*AH2*AL2,2)</f>
        <v>0</v>
      </c>
      <c r="CV2">
        <f>ROUND(Y2*Source!I29,9)</f>
        <v>5.1840000000000002</v>
      </c>
      <c r="CW2">
        <v>0</v>
      </c>
      <c r="CX2">
        <f>ROUND(Y2*Source!I29,9)</f>
        <v>5.1840000000000002</v>
      </c>
      <c r="CY2">
        <f>AD2</f>
        <v>0</v>
      </c>
      <c r="CZ2">
        <f>AH2</f>
        <v>0</v>
      </c>
      <c r="DA2">
        <f>AL2</f>
        <v>1</v>
      </c>
      <c r="DB2">
        <f t="shared" si="1"/>
        <v>0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0</v>
      </c>
      <c r="DH2">
        <f t="shared" si="5"/>
        <v>0</v>
      </c>
      <c r="DI2">
        <f t="shared" si="6"/>
        <v>0</v>
      </c>
      <c r="DJ2">
        <f>DI2</f>
        <v>0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ROW(Source!A30)</f>
        <v>30</v>
      </c>
      <c r="B3">
        <v>57248835</v>
      </c>
      <c r="C3">
        <v>57249578</v>
      </c>
      <c r="D3">
        <v>54702434</v>
      </c>
      <c r="E3">
        <v>1081</v>
      </c>
      <c r="F3">
        <v>1</v>
      </c>
      <c r="G3">
        <v>1081</v>
      </c>
      <c r="H3">
        <v>1</v>
      </c>
      <c r="I3" t="s">
        <v>457</v>
      </c>
      <c r="J3" t="s">
        <v>3</v>
      </c>
      <c r="K3" t="s">
        <v>458</v>
      </c>
      <c r="L3">
        <v>1191</v>
      </c>
      <c r="N3">
        <v>1013</v>
      </c>
      <c r="O3" t="s">
        <v>459</v>
      </c>
      <c r="P3" t="s">
        <v>459</v>
      </c>
      <c r="Q3">
        <v>1</v>
      </c>
      <c r="W3">
        <v>0</v>
      </c>
      <c r="X3">
        <v>476480486</v>
      </c>
      <c r="Y3">
        <f t="shared" si="0"/>
        <v>4.2119999999999997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11.7</v>
      </c>
      <c r="AU3" t="s">
        <v>32</v>
      </c>
      <c r="AV3">
        <v>1</v>
      </c>
      <c r="AW3">
        <v>2</v>
      </c>
      <c r="AX3">
        <v>57249580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U3">
        <f>ROUND(AT3*Source!I30*AH3*AL3,2)</f>
        <v>0</v>
      </c>
      <c r="CV3">
        <f>ROUND(Y3*Source!I30,9)</f>
        <v>4.2119999999999997</v>
      </c>
      <c r="CW3">
        <v>0</v>
      </c>
      <c r="CX3">
        <f>ROUND(Y3*Source!I30,9)</f>
        <v>4.2119999999999997</v>
      </c>
      <c r="CY3">
        <f>AD3</f>
        <v>0</v>
      </c>
      <c r="CZ3">
        <f>AH3</f>
        <v>0</v>
      </c>
      <c r="DA3">
        <f>AL3</f>
        <v>1</v>
      </c>
      <c r="DB3">
        <f t="shared" si="1"/>
        <v>0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</v>
      </c>
      <c r="DH3">
        <f t="shared" si="5"/>
        <v>0</v>
      </c>
      <c r="DI3">
        <f t="shared" si="6"/>
        <v>0</v>
      </c>
      <c r="DJ3">
        <f>DI3</f>
        <v>0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ROW(Source!A31)</f>
        <v>31</v>
      </c>
      <c r="B4">
        <v>57248837</v>
      </c>
      <c r="C4">
        <v>57249578</v>
      </c>
      <c r="D4">
        <v>54702434</v>
      </c>
      <c r="E4">
        <v>1081</v>
      </c>
      <c r="F4">
        <v>1</v>
      </c>
      <c r="G4">
        <v>1081</v>
      </c>
      <c r="H4">
        <v>1</v>
      </c>
      <c r="I4" t="s">
        <v>457</v>
      </c>
      <c r="J4" t="s">
        <v>3</v>
      </c>
      <c r="K4" t="s">
        <v>458</v>
      </c>
      <c r="L4">
        <v>1191</v>
      </c>
      <c r="N4">
        <v>1013</v>
      </c>
      <c r="O4" t="s">
        <v>459</v>
      </c>
      <c r="P4" t="s">
        <v>459</v>
      </c>
      <c r="Q4">
        <v>1</v>
      </c>
      <c r="W4">
        <v>0</v>
      </c>
      <c r="X4">
        <v>476480486</v>
      </c>
      <c r="Y4">
        <f t="shared" si="0"/>
        <v>4.2119999999999997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5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11.7</v>
      </c>
      <c r="AU4" t="s">
        <v>32</v>
      </c>
      <c r="AV4">
        <v>1</v>
      </c>
      <c r="AW4">
        <v>2</v>
      </c>
      <c r="AX4">
        <v>57249580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U4">
        <f>ROUND(AT4*Source!I31*AH4*AL4,2)</f>
        <v>0</v>
      </c>
      <c r="CV4">
        <f>ROUND(Y4*Source!I31,9)</f>
        <v>4.2119999999999997</v>
      </c>
      <c r="CW4">
        <v>0</v>
      </c>
      <c r="CX4">
        <f>ROUND(Y4*Source!I31,9)</f>
        <v>4.2119999999999997</v>
      </c>
      <c r="CY4">
        <f>AD4</f>
        <v>0</v>
      </c>
      <c r="CZ4">
        <f>AH4</f>
        <v>0</v>
      </c>
      <c r="DA4">
        <f>AL4</f>
        <v>1</v>
      </c>
      <c r="DB4">
        <f t="shared" si="1"/>
        <v>0</v>
      </c>
      <c r="DC4">
        <f t="shared" si="2"/>
        <v>0</v>
      </c>
      <c r="DD4" t="s">
        <v>3</v>
      </c>
      <c r="DE4" t="s">
        <v>3</v>
      </c>
      <c r="DF4">
        <f t="shared" si="3"/>
        <v>0</v>
      </c>
      <c r="DG4">
        <f t="shared" si="4"/>
        <v>0</v>
      </c>
      <c r="DH4">
        <f t="shared" si="5"/>
        <v>0</v>
      </c>
      <c r="DI4">
        <f t="shared" si="6"/>
        <v>0</v>
      </c>
      <c r="DJ4">
        <f>DI4</f>
        <v>0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ROW(Source!A32)</f>
        <v>32</v>
      </c>
      <c r="B5">
        <v>57248835</v>
      </c>
      <c r="C5">
        <v>57249582</v>
      </c>
      <c r="D5">
        <v>54702434</v>
      </c>
      <c r="E5">
        <v>1081</v>
      </c>
      <c r="F5">
        <v>1</v>
      </c>
      <c r="G5">
        <v>1081</v>
      </c>
      <c r="H5">
        <v>1</v>
      </c>
      <c r="I5" t="s">
        <v>457</v>
      </c>
      <c r="J5" t="s">
        <v>3</v>
      </c>
      <c r="K5" t="s">
        <v>458</v>
      </c>
      <c r="L5">
        <v>1191</v>
      </c>
      <c r="N5">
        <v>1013</v>
      </c>
      <c r="O5" t="s">
        <v>459</v>
      </c>
      <c r="P5" t="s">
        <v>459</v>
      </c>
      <c r="Q5">
        <v>1</v>
      </c>
      <c r="W5">
        <v>0</v>
      </c>
      <c r="X5">
        <v>476480486</v>
      </c>
      <c r="Y5">
        <f t="shared" si="0"/>
        <v>2.1635999999999997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6.01</v>
      </c>
      <c r="AU5" t="s">
        <v>32</v>
      </c>
      <c r="AV5">
        <v>1</v>
      </c>
      <c r="AW5">
        <v>2</v>
      </c>
      <c r="AX5">
        <v>57249592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U5">
        <f>ROUND(AT5*Source!I32*AH5*AL5,2)</f>
        <v>0</v>
      </c>
      <c r="CV5">
        <f>ROUND(Y5*Source!I32,9)</f>
        <v>2.1636000000000002</v>
      </c>
      <c r="CW5">
        <v>0</v>
      </c>
      <c r="CX5">
        <f>ROUND(Y5*Source!I32,9)</f>
        <v>2.1636000000000002</v>
      </c>
      <c r="CY5">
        <f>AD5</f>
        <v>0</v>
      </c>
      <c r="CZ5">
        <f>AH5</f>
        <v>0</v>
      </c>
      <c r="DA5">
        <f>AL5</f>
        <v>1</v>
      </c>
      <c r="DB5">
        <f t="shared" si="1"/>
        <v>0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0</v>
      </c>
      <c r="DH5">
        <f t="shared" si="5"/>
        <v>0</v>
      </c>
      <c r="DI5">
        <f t="shared" si="6"/>
        <v>0</v>
      </c>
      <c r="DJ5">
        <f>DI5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ROW(Source!A32)</f>
        <v>32</v>
      </c>
      <c r="B6">
        <v>57248835</v>
      </c>
      <c r="C6">
        <v>57249582</v>
      </c>
      <c r="D6">
        <v>54768460</v>
      </c>
      <c r="E6">
        <v>1</v>
      </c>
      <c r="F6">
        <v>1</v>
      </c>
      <c r="G6">
        <v>1081</v>
      </c>
      <c r="H6">
        <v>2</v>
      </c>
      <c r="I6" t="s">
        <v>460</v>
      </c>
      <c r="J6" t="s">
        <v>461</v>
      </c>
      <c r="K6" t="s">
        <v>462</v>
      </c>
      <c r="L6">
        <v>1368</v>
      </c>
      <c r="N6">
        <v>1011</v>
      </c>
      <c r="O6" t="s">
        <v>463</v>
      </c>
      <c r="P6" t="s">
        <v>463</v>
      </c>
      <c r="Q6">
        <v>1</v>
      </c>
      <c r="W6">
        <v>0</v>
      </c>
      <c r="X6">
        <v>-2083101341</v>
      </c>
      <c r="Y6">
        <f t="shared" si="0"/>
        <v>0.09</v>
      </c>
      <c r="AA6">
        <v>0</v>
      </c>
      <c r="AB6">
        <v>0.84</v>
      </c>
      <c r="AC6">
        <v>0</v>
      </c>
      <c r="AD6">
        <v>0</v>
      </c>
      <c r="AE6">
        <v>0</v>
      </c>
      <c r="AF6">
        <v>0.8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0.25</v>
      </c>
      <c r="AU6" t="s">
        <v>32</v>
      </c>
      <c r="AV6">
        <v>0</v>
      </c>
      <c r="AW6">
        <v>2</v>
      </c>
      <c r="AX6">
        <v>57249593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ROUND(Y6*Source!I32*DO6,9)</f>
        <v>0</v>
      </c>
      <c r="CX6">
        <f>ROUND(Y6*Source!I32,9)</f>
        <v>0.09</v>
      </c>
      <c r="CY6">
        <f>AB6</f>
        <v>0.84</v>
      </c>
      <c r="CZ6">
        <f>AF6</f>
        <v>0.8</v>
      </c>
      <c r="DA6">
        <f>AJ6</f>
        <v>1</v>
      </c>
      <c r="DB6">
        <f t="shared" si="1"/>
        <v>7.1999999999999995E-2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7.0000000000000007E-2</v>
      </c>
      <c r="DH6">
        <f t="shared" si="5"/>
        <v>0</v>
      </c>
      <c r="DI6">
        <f t="shared" si="6"/>
        <v>0</v>
      </c>
      <c r="DJ6">
        <f>DG6</f>
        <v>7.0000000000000007E-2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ROW(Source!A32)</f>
        <v>32</v>
      </c>
      <c r="B7">
        <v>57248835</v>
      </c>
      <c r="C7">
        <v>57249582</v>
      </c>
      <c r="D7">
        <v>54768461</v>
      </c>
      <c r="E7">
        <v>1</v>
      </c>
      <c r="F7">
        <v>1</v>
      </c>
      <c r="G7">
        <v>1081</v>
      </c>
      <c r="H7">
        <v>2</v>
      </c>
      <c r="I7" t="s">
        <v>464</v>
      </c>
      <c r="J7" t="s">
        <v>465</v>
      </c>
      <c r="K7" t="s">
        <v>466</v>
      </c>
      <c r="L7">
        <v>1368</v>
      </c>
      <c r="N7">
        <v>1011</v>
      </c>
      <c r="O7" t="s">
        <v>463</v>
      </c>
      <c r="P7" t="s">
        <v>463</v>
      </c>
      <c r="Q7">
        <v>1</v>
      </c>
      <c r="W7">
        <v>0</v>
      </c>
      <c r="X7">
        <v>1043446422</v>
      </c>
      <c r="Y7">
        <f t="shared" si="0"/>
        <v>0.2016</v>
      </c>
      <c r="AA7">
        <v>0</v>
      </c>
      <c r="AB7">
        <v>1.1599999999999999</v>
      </c>
      <c r="AC7">
        <v>0</v>
      </c>
      <c r="AD7">
        <v>0</v>
      </c>
      <c r="AE7">
        <v>0</v>
      </c>
      <c r="AF7">
        <v>1.1100000000000001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0.56000000000000005</v>
      </c>
      <c r="AU7" t="s">
        <v>32</v>
      </c>
      <c r="AV7">
        <v>0</v>
      </c>
      <c r="AW7">
        <v>2</v>
      </c>
      <c r="AX7">
        <v>57249594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ROUND(Y7*Source!I32*DO7,9)</f>
        <v>0</v>
      </c>
      <c r="CX7">
        <f>ROUND(Y7*Source!I32,9)</f>
        <v>0.2016</v>
      </c>
      <c r="CY7">
        <f>AB7</f>
        <v>1.1599999999999999</v>
      </c>
      <c r="CZ7">
        <f>AF7</f>
        <v>1.1100000000000001</v>
      </c>
      <c r="DA7">
        <f>AJ7</f>
        <v>1</v>
      </c>
      <c r="DB7">
        <f t="shared" si="1"/>
        <v>0.22320000000000001</v>
      </c>
      <c r="DC7">
        <f t="shared" si="2"/>
        <v>0</v>
      </c>
      <c r="DD7" t="s">
        <v>3</v>
      </c>
      <c r="DE7" t="s">
        <v>3</v>
      </c>
      <c r="DF7">
        <f t="shared" si="3"/>
        <v>0</v>
      </c>
      <c r="DG7">
        <f t="shared" si="4"/>
        <v>0.22</v>
      </c>
      <c r="DH7">
        <f t="shared" si="5"/>
        <v>0</v>
      </c>
      <c r="DI7">
        <f t="shared" si="6"/>
        <v>0</v>
      </c>
      <c r="DJ7">
        <f>DG7</f>
        <v>0.22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ROW(Source!A32)</f>
        <v>32</v>
      </c>
      <c r="B8">
        <v>57248835</v>
      </c>
      <c r="C8">
        <v>57249582</v>
      </c>
      <c r="D8">
        <v>54737470</v>
      </c>
      <c r="E8">
        <v>1</v>
      </c>
      <c r="F8">
        <v>1</v>
      </c>
      <c r="G8">
        <v>1081</v>
      </c>
      <c r="H8">
        <v>3</v>
      </c>
      <c r="I8" t="s">
        <v>467</v>
      </c>
      <c r="J8" t="s">
        <v>468</v>
      </c>
      <c r="K8" t="s">
        <v>469</v>
      </c>
      <c r="L8">
        <v>1354</v>
      </c>
      <c r="N8">
        <v>1010</v>
      </c>
      <c r="O8" t="s">
        <v>228</v>
      </c>
      <c r="P8" t="s">
        <v>228</v>
      </c>
      <c r="Q8">
        <v>1</v>
      </c>
      <c r="W8">
        <v>0</v>
      </c>
      <c r="X8">
        <v>-1352077490</v>
      </c>
      <c r="Y8">
        <f t="shared" ref="Y8:Y13" si="7">((AT8*1)*0)</f>
        <v>0</v>
      </c>
      <c r="AA8">
        <v>0.89</v>
      </c>
      <c r="AB8">
        <v>0</v>
      </c>
      <c r="AC8">
        <v>0</v>
      </c>
      <c r="AD8">
        <v>0</v>
      </c>
      <c r="AE8">
        <v>0.89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7</v>
      </c>
      <c r="AU8" t="s">
        <v>31</v>
      </c>
      <c r="AV8">
        <v>0</v>
      </c>
      <c r="AW8">
        <v>2</v>
      </c>
      <c r="AX8">
        <v>57249595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ROUND(Y8*Source!I32,9)</f>
        <v>0</v>
      </c>
      <c r="CY8">
        <f t="shared" ref="CY8:CY13" si="8">AA8</f>
        <v>0.89</v>
      </c>
      <c r="CZ8">
        <f t="shared" ref="CZ8:CZ13" si="9">AE8</f>
        <v>0.89</v>
      </c>
      <c r="DA8">
        <f t="shared" ref="DA8:DA13" si="10">AI8</f>
        <v>1</v>
      </c>
      <c r="DB8">
        <f t="shared" ref="DB8:DB13" si="11">ROUND(((ROUND(AT8*CZ8,2)*1)*0),6)</f>
        <v>0</v>
      </c>
      <c r="DC8">
        <f t="shared" ref="DC8:DC13" si="12">ROUND(((ROUND(AT8*AG8,2)*1)*0),6)</f>
        <v>0</v>
      </c>
      <c r="DD8" t="s">
        <v>3</v>
      </c>
      <c r="DE8" t="s">
        <v>3</v>
      </c>
      <c r="DF8">
        <f t="shared" si="3"/>
        <v>0</v>
      </c>
      <c r="DG8">
        <f t="shared" si="4"/>
        <v>0</v>
      </c>
      <c r="DH8">
        <f t="shared" si="5"/>
        <v>0</v>
      </c>
      <c r="DI8">
        <f t="shared" si="6"/>
        <v>0</v>
      </c>
      <c r="DJ8">
        <f t="shared" ref="DJ8:DJ13" si="13">DF8</f>
        <v>0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ROW(Source!A32)</f>
        <v>32</v>
      </c>
      <c r="B9">
        <v>57248835</v>
      </c>
      <c r="C9">
        <v>57249582</v>
      </c>
      <c r="D9">
        <v>54739012</v>
      </c>
      <c r="E9">
        <v>1</v>
      </c>
      <c r="F9">
        <v>1</v>
      </c>
      <c r="G9">
        <v>1081</v>
      </c>
      <c r="H9">
        <v>3</v>
      </c>
      <c r="I9" t="s">
        <v>470</v>
      </c>
      <c r="J9" t="s">
        <v>471</v>
      </c>
      <c r="K9" t="s">
        <v>472</v>
      </c>
      <c r="L9">
        <v>1348</v>
      </c>
      <c r="N9">
        <v>1009</v>
      </c>
      <c r="O9" t="s">
        <v>298</v>
      </c>
      <c r="P9" t="s">
        <v>298</v>
      </c>
      <c r="Q9">
        <v>1000</v>
      </c>
      <c r="W9">
        <v>0</v>
      </c>
      <c r="X9">
        <v>-1448166212</v>
      </c>
      <c r="Y9">
        <f t="shared" si="7"/>
        <v>0</v>
      </c>
      <c r="AA9">
        <v>14327.51</v>
      </c>
      <c r="AB9">
        <v>0</v>
      </c>
      <c r="AC9">
        <v>0</v>
      </c>
      <c r="AD9">
        <v>0</v>
      </c>
      <c r="AE9">
        <v>14327.51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1.0000000000000001E-5</v>
      </c>
      <c r="AU9" t="s">
        <v>31</v>
      </c>
      <c r="AV9">
        <v>0</v>
      </c>
      <c r="AW9">
        <v>2</v>
      </c>
      <c r="AX9">
        <v>57249596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ROUND(Y9*Source!I32,9)</f>
        <v>0</v>
      </c>
      <c r="CY9">
        <f t="shared" si="8"/>
        <v>14327.51</v>
      </c>
      <c r="CZ9">
        <f t="shared" si="9"/>
        <v>14327.51</v>
      </c>
      <c r="DA9">
        <f t="shared" si="10"/>
        <v>1</v>
      </c>
      <c r="DB9">
        <f t="shared" si="11"/>
        <v>0</v>
      </c>
      <c r="DC9">
        <f t="shared" si="12"/>
        <v>0</v>
      </c>
      <c r="DD9" t="s">
        <v>3</v>
      </c>
      <c r="DE9" t="s">
        <v>3</v>
      </c>
      <c r="DF9">
        <f t="shared" si="3"/>
        <v>0</v>
      </c>
      <c r="DG9">
        <f t="shared" si="4"/>
        <v>0</v>
      </c>
      <c r="DH9">
        <f t="shared" si="5"/>
        <v>0</v>
      </c>
      <c r="DI9">
        <f t="shared" si="6"/>
        <v>0</v>
      </c>
      <c r="DJ9">
        <f t="shared" si="13"/>
        <v>0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ROW(Source!A32)</f>
        <v>32</v>
      </c>
      <c r="B10">
        <v>57248835</v>
      </c>
      <c r="C10">
        <v>57249582</v>
      </c>
      <c r="D10">
        <v>54739257</v>
      </c>
      <c r="E10">
        <v>1</v>
      </c>
      <c r="F10">
        <v>1</v>
      </c>
      <c r="G10">
        <v>1081</v>
      </c>
      <c r="H10">
        <v>3</v>
      </c>
      <c r="I10" t="s">
        <v>473</v>
      </c>
      <c r="J10" t="s">
        <v>474</v>
      </c>
      <c r="K10" t="s">
        <v>475</v>
      </c>
      <c r="L10">
        <v>1355</v>
      </c>
      <c r="N10">
        <v>1010</v>
      </c>
      <c r="O10" t="s">
        <v>67</v>
      </c>
      <c r="P10" t="s">
        <v>67</v>
      </c>
      <c r="Q10">
        <v>100</v>
      </c>
      <c r="W10">
        <v>0</v>
      </c>
      <c r="X10">
        <v>-1635357480</v>
      </c>
      <c r="Y10">
        <f t="shared" si="7"/>
        <v>0</v>
      </c>
      <c r="AA10">
        <v>4.6100000000000003</v>
      </c>
      <c r="AB10">
        <v>0</v>
      </c>
      <c r="AC10">
        <v>0</v>
      </c>
      <c r="AD10">
        <v>0</v>
      </c>
      <c r="AE10">
        <v>4.6100000000000003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7.0000000000000007E-2</v>
      </c>
      <c r="AU10" t="s">
        <v>31</v>
      </c>
      <c r="AV10">
        <v>0</v>
      </c>
      <c r="AW10">
        <v>2</v>
      </c>
      <c r="AX10">
        <v>57249597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ROUND(Y10*Source!I32,9)</f>
        <v>0</v>
      </c>
      <c r="CY10">
        <f t="shared" si="8"/>
        <v>4.6100000000000003</v>
      </c>
      <c r="CZ10">
        <f t="shared" si="9"/>
        <v>4.6100000000000003</v>
      </c>
      <c r="DA10">
        <f t="shared" si="10"/>
        <v>1</v>
      </c>
      <c r="DB10">
        <f t="shared" si="11"/>
        <v>0</v>
      </c>
      <c r="DC10">
        <f t="shared" si="12"/>
        <v>0</v>
      </c>
      <c r="DD10" t="s">
        <v>3</v>
      </c>
      <c r="DE10" t="s">
        <v>3</v>
      </c>
      <c r="DF10">
        <f t="shared" si="3"/>
        <v>0</v>
      </c>
      <c r="DG10">
        <f t="shared" si="4"/>
        <v>0</v>
      </c>
      <c r="DH10">
        <f t="shared" si="5"/>
        <v>0</v>
      </c>
      <c r="DI10">
        <f t="shared" si="6"/>
        <v>0</v>
      </c>
      <c r="DJ10">
        <f t="shared" si="13"/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ROW(Source!A32)</f>
        <v>32</v>
      </c>
      <c r="B11">
        <v>57248835</v>
      </c>
      <c r="C11">
        <v>57249582</v>
      </c>
      <c r="D11">
        <v>54737684</v>
      </c>
      <c r="E11">
        <v>1</v>
      </c>
      <c r="F11">
        <v>1</v>
      </c>
      <c r="G11">
        <v>1081</v>
      </c>
      <c r="H11">
        <v>3</v>
      </c>
      <c r="I11" t="s">
        <v>476</v>
      </c>
      <c r="J11" t="s">
        <v>477</v>
      </c>
      <c r="K11" t="s">
        <v>478</v>
      </c>
      <c r="L11">
        <v>1346</v>
      </c>
      <c r="N11">
        <v>1009</v>
      </c>
      <c r="O11" t="s">
        <v>320</v>
      </c>
      <c r="P11" t="s">
        <v>320</v>
      </c>
      <c r="Q11">
        <v>1</v>
      </c>
      <c r="W11">
        <v>0</v>
      </c>
      <c r="X11">
        <v>-210355400</v>
      </c>
      <c r="Y11">
        <f t="shared" si="7"/>
        <v>0</v>
      </c>
      <c r="AA11">
        <v>5.01</v>
      </c>
      <c r="AB11">
        <v>0</v>
      </c>
      <c r="AC11">
        <v>0</v>
      </c>
      <c r="AD11">
        <v>0</v>
      </c>
      <c r="AE11">
        <v>5.01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4.3999999999999997E-2</v>
      </c>
      <c r="AU11" t="s">
        <v>31</v>
      </c>
      <c r="AV11">
        <v>0</v>
      </c>
      <c r="AW11">
        <v>2</v>
      </c>
      <c r="AX11">
        <v>57249598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V11">
        <v>0</v>
      </c>
      <c r="CW11">
        <v>0</v>
      </c>
      <c r="CX11">
        <f>ROUND(Y11*Source!I32,9)</f>
        <v>0</v>
      </c>
      <c r="CY11">
        <f t="shared" si="8"/>
        <v>5.01</v>
      </c>
      <c r="CZ11">
        <f t="shared" si="9"/>
        <v>5.01</v>
      </c>
      <c r="DA11">
        <f t="shared" si="10"/>
        <v>1</v>
      </c>
      <c r="DB11">
        <f t="shared" si="11"/>
        <v>0</v>
      </c>
      <c r="DC11">
        <f t="shared" si="12"/>
        <v>0</v>
      </c>
      <c r="DD11" t="s">
        <v>3</v>
      </c>
      <c r="DE11" t="s">
        <v>3</v>
      </c>
      <c r="DF11">
        <f t="shared" si="3"/>
        <v>0</v>
      </c>
      <c r="DG11">
        <f t="shared" si="4"/>
        <v>0</v>
      </c>
      <c r="DH11">
        <f t="shared" si="5"/>
        <v>0</v>
      </c>
      <c r="DI11">
        <f t="shared" si="6"/>
        <v>0</v>
      </c>
      <c r="DJ11">
        <f t="shared" si="13"/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ROW(Source!A32)</f>
        <v>32</v>
      </c>
      <c r="B12">
        <v>57248835</v>
      </c>
      <c r="C12">
        <v>57249582</v>
      </c>
      <c r="D12">
        <v>54737923</v>
      </c>
      <c r="E12">
        <v>1</v>
      </c>
      <c r="F12">
        <v>1</v>
      </c>
      <c r="G12">
        <v>1081</v>
      </c>
      <c r="H12">
        <v>3</v>
      </c>
      <c r="I12" t="s">
        <v>479</v>
      </c>
      <c r="J12" t="s">
        <v>480</v>
      </c>
      <c r="K12" t="s">
        <v>481</v>
      </c>
      <c r="L12">
        <v>1348</v>
      </c>
      <c r="N12">
        <v>1009</v>
      </c>
      <c r="O12" t="s">
        <v>298</v>
      </c>
      <c r="P12" t="s">
        <v>298</v>
      </c>
      <c r="Q12">
        <v>1000</v>
      </c>
      <c r="W12">
        <v>0</v>
      </c>
      <c r="X12">
        <v>-761454284</v>
      </c>
      <c r="Y12">
        <f t="shared" si="7"/>
        <v>0</v>
      </c>
      <c r="AA12">
        <v>64123.05</v>
      </c>
      <c r="AB12">
        <v>0</v>
      </c>
      <c r="AC12">
        <v>0</v>
      </c>
      <c r="AD12">
        <v>0</v>
      </c>
      <c r="AE12">
        <v>64123.05</v>
      </c>
      <c r="AF12">
        <v>0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2.0000000000000002E-5</v>
      </c>
      <c r="AU12" t="s">
        <v>31</v>
      </c>
      <c r="AV12">
        <v>0</v>
      </c>
      <c r="AW12">
        <v>2</v>
      </c>
      <c r="AX12">
        <v>57249599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v>0</v>
      </c>
      <c r="CX12">
        <f>ROUND(Y12*Source!I32,9)</f>
        <v>0</v>
      </c>
      <c r="CY12">
        <f t="shared" si="8"/>
        <v>64123.05</v>
      </c>
      <c r="CZ12">
        <f t="shared" si="9"/>
        <v>64123.05</v>
      </c>
      <c r="DA12">
        <f t="shared" si="10"/>
        <v>1</v>
      </c>
      <c r="DB12">
        <f t="shared" si="11"/>
        <v>0</v>
      </c>
      <c r="DC12">
        <f t="shared" si="12"/>
        <v>0</v>
      </c>
      <c r="DD12" t="s">
        <v>3</v>
      </c>
      <c r="DE12" t="s">
        <v>3</v>
      </c>
      <c r="DF12">
        <f t="shared" si="3"/>
        <v>0</v>
      </c>
      <c r="DG12">
        <f t="shared" si="4"/>
        <v>0</v>
      </c>
      <c r="DH12">
        <f t="shared" si="5"/>
        <v>0</v>
      </c>
      <c r="DI12">
        <f t="shared" si="6"/>
        <v>0</v>
      </c>
      <c r="DJ12">
        <f t="shared" si="13"/>
        <v>0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ROW(Source!A32)</f>
        <v>32</v>
      </c>
      <c r="B13">
        <v>57248835</v>
      </c>
      <c r="C13">
        <v>57249582</v>
      </c>
      <c r="D13">
        <v>54747392</v>
      </c>
      <c r="E13">
        <v>1</v>
      </c>
      <c r="F13">
        <v>1</v>
      </c>
      <c r="G13">
        <v>1081</v>
      </c>
      <c r="H13">
        <v>3</v>
      </c>
      <c r="I13" t="s">
        <v>482</v>
      </c>
      <c r="J13" t="s">
        <v>483</v>
      </c>
      <c r="K13" t="s">
        <v>484</v>
      </c>
      <c r="L13">
        <v>1354</v>
      </c>
      <c r="N13">
        <v>1010</v>
      </c>
      <c r="O13" t="s">
        <v>228</v>
      </c>
      <c r="P13" t="s">
        <v>228</v>
      </c>
      <c r="Q13">
        <v>1</v>
      </c>
      <c r="W13">
        <v>0</v>
      </c>
      <c r="X13">
        <v>-407007888</v>
      </c>
      <c r="Y13">
        <f t="shared" si="7"/>
        <v>0</v>
      </c>
      <c r="AA13">
        <v>10.53</v>
      </c>
      <c r="AB13">
        <v>0</v>
      </c>
      <c r="AC13">
        <v>0</v>
      </c>
      <c r="AD13">
        <v>0</v>
      </c>
      <c r="AE13">
        <v>10.53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0.09</v>
      </c>
      <c r="AU13" t="s">
        <v>31</v>
      </c>
      <c r="AV13">
        <v>0</v>
      </c>
      <c r="AW13">
        <v>2</v>
      </c>
      <c r="AX13">
        <v>57249600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ROUND(Y13*Source!I32,9)</f>
        <v>0</v>
      </c>
      <c r="CY13">
        <f t="shared" si="8"/>
        <v>10.53</v>
      </c>
      <c r="CZ13">
        <f t="shared" si="9"/>
        <v>10.53</v>
      </c>
      <c r="DA13">
        <f t="shared" si="10"/>
        <v>1</v>
      </c>
      <c r="DB13">
        <f t="shared" si="11"/>
        <v>0</v>
      </c>
      <c r="DC13">
        <f t="shared" si="12"/>
        <v>0</v>
      </c>
      <c r="DD13" t="s">
        <v>3</v>
      </c>
      <c r="DE13" t="s">
        <v>3</v>
      </c>
      <c r="DF13">
        <f t="shared" si="3"/>
        <v>0</v>
      </c>
      <c r="DG13">
        <f t="shared" si="4"/>
        <v>0</v>
      </c>
      <c r="DH13">
        <f t="shared" si="5"/>
        <v>0</v>
      </c>
      <c r="DI13">
        <f t="shared" si="6"/>
        <v>0</v>
      </c>
      <c r="DJ13">
        <f t="shared" si="13"/>
        <v>0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ROW(Source!A33)</f>
        <v>33</v>
      </c>
      <c r="B14">
        <v>57248837</v>
      </c>
      <c r="C14">
        <v>57249582</v>
      </c>
      <c r="D14">
        <v>54702434</v>
      </c>
      <c r="E14">
        <v>1081</v>
      </c>
      <c r="F14">
        <v>1</v>
      </c>
      <c r="G14">
        <v>1081</v>
      </c>
      <c r="H14">
        <v>1</v>
      </c>
      <c r="I14" t="s">
        <v>457</v>
      </c>
      <c r="J14" t="s">
        <v>3</v>
      </c>
      <c r="K14" t="s">
        <v>458</v>
      </c>
      <c r="L14">
        <v>1191</v>
      </c>
      <c r="N14">
        <v>1013</v>
      </c>
      <c r="O14" t="s">
        <v>459</v>
      </c>
      <c r="P14" t="s">
        <v>459</v>
      </c>
      <c r="Q14">
        <v>1</v>
      </c>
      <c r="W14">
        <v>0</v>
      </c>
      <c r="X14">
        <v>476480486</v>
      </c>
      <c r="Y14">
        <f>((AT14*1.2)*0.3)</f>
        <v>2.1635999999999997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5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6.01</v>
      </c>
      <c r="AU14" t="s">
        <v>32</v>
      </c>
      <c r="AV14">
        <v>1</v>
      </c>
      <c r="AW14">
        <v>2</v>
      </c>
      <c r="AX14">
        <v>57249592</v>
      </c>
      <c r="AY14">
        <v>1</v>
      </c>
      <c r="AZ14">
        <v>0</v>
      </c>
      <c r="BA14">
        <v>19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U14">
        <f>ROUND(AT14*Source!I33*AH14*AL14,2)</f>
        <v>0</v>
      </c>
      <c r="CV14">
        <f>ROUND(Y14*Source!I33,9)</f>
        <v>2.1636000000000002</v>
      </c>
      <c r="CW14">
        <v>0</v>
      </c>
      <c r="CX14">
        <f>ROUND(Y14*Source!I33,9)</f>
        <v>2.1636000000000002</v>
      </c>
      <c r="CY14">
        <f>AD14</f>
        <v>0</v>
      </c>
      <c r="CZ14">
        <f>AH14</f>
        <v>0</v>
      </c>
      <c r="DA14">
        <f>AL14</f>
        <v>1</v>
      </c>
      <c r="DB14">
        <f>ROUND(((ROUND(AT14*CZ14,2)*1.2)*0.3),6)</f>
        <v>0</v>
      </c>
      <c r="DC14">
        <f>ROUND(((ROUND(AT14*AG14,2)*1.2)*0.3),6)</f>
        <v>0</v>
      </c>
      <c r="DD14" t="s">
        <v>3</v>
      </c>
      <c r="DE14" t="s">
        <v>3</v>
      </c>
      <c r="DF14">
        <f t="shared" si="3"/>
        <v>0</v>
      </c>
      <c r="DG14">
        <f t="shared" si="4"/>
        <v>0</v>
      </c>
      <c r="DH14">
        <f t="shared" si="5"/>
        <v>0</v>
      </c>
      <c r="DI14">
        <f t="shared" si="6"/>
        <v>0</v>
      </c>
      <c r="DJ14">
        <f>DI14</f>
        <v>0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ROW(Source!A33)</f>
        <v>33</v>
      </c>
      <c r="B15">
        <v>57248837</v>
      </c>
      <c r="C15">
        <v>57249582</v>
      </c>
      <c r="D15">
        <v>54768460</v>
      </c>
      <c r="E15">
        <v>1</v>
      </c>
      <c r="F15">
        <v>1</v>
      </c>
      <c r="G15">
        <v>1081</v>
      </c>
      <c r="H15">
        <v>2</v>
      </c>
      <c r="I15" t="s">
        <v>460</v>
      </c>
      <c r="J15" t="s">
        <v>461</v>
      </c>
      <c r="K15" t="s">
        <v>462</v>
      </c>
      <c r="L15">
        <v>1368</v>
      </c>
      <c r="N15">
        <v>1011</v>
      </c>
      <c r="O15" t="s">
        <v>463</v>
      </c>
      <c r="P15" t="s">
        <v>463</v>
      </c>
      <c r="Q15">
        <v>1</v>
      </c>
      <c r="W15">
        <v>0</v>
      </c>
      <c r="X15">
        <v>-2083101341</v>
      </c>
      <c r="Y15">
        <f>((AT15*1.2)*0.3)</f>
        <v>0.09</v>
      </c>
      <c r="AA15">
        <v>0</v>
      </c>
      <c r="AB15">
        <v>7.92</v>
      </c>
      <c r="AC15">
        <v>0</v>
      </c>
      <c r="AD15">
        <v>0</v>
      </c>
      <c r="AE15">
        <v>0</v>
      </c>
      <c r="AF15">
        <v>0.8</v>
      </c>
      <c r="AG15">
        <v>0</v>
      </c>
      <c r="AH15">
        <v>0</v>
      </c>
      <c r="AI15">
        <v>1</v>
      </c>
      <c r="AJ15">
        <v>9.4600000000000009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0.25</v>
      </c>
      <c r="AU15" t="s">
        <v>32</v>
      </c>
      <c r="AV15">
        <v>0</v>
      </c>
      <c r="AW15">
        <v>2</v>
      </c>
      <c r="AX15">
        <v>57249593</v>
      </c>
      <c r="AY15">
        <v>1</v>
      </c>
      <c r="AZ15">
        <v>0</v>
      </c>
      <c r="BA15">
        <v>20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ROUND(Y15*Source!I33*DO15,9)</f>
        <v>0</v>
      </c>
      <c r="CX15">
        <f>ROUND(Y15*Source!I33,9)</f>
        <v>0.09</v>
      </c>
      <c r="CY15">
        <f>AB15</f>
        <v>7.92</v>
      </c>
      <c r="CZ15">
        <f>AF15</f>
        <v>0.8</v>
      </c>
      <c r="DA15">
        <f>AJ15</f>
        <v>9.4600000000000009</v>
      </c>
      <c r="DB15">
        <f>ROUND(((ROUND(AT15*CZ15,2)*1.2)*0.3),6)</f>
        <v>7.1999999999999995E-2</v>
      </c>
      <c r="DC15">
        <f>ROUND(((ROUND(AT15*AG15,2)*1.2)*0.3),6)</f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0.68</v>
      </c>
      <c r="DH15">
        <f t="shared" si="5"/>
        <v>0</v>
      </c>
      <c r="DI15">
        <f t="shared" si="6"/>
        <v>0</v>
      </c>
      <c r="DJ15">
        <f>DG15</f>
        <v>0.68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ROW(Source!A33)</f>
        <v>33</v>
      </c>
      <c r="B16">
        <v>57248837</v>
      </c>
      <c r="C16">
        <v>57249582</v>
      </c>
      <c r="D16">
        <v>54768461</v>
      </c>
      <c r="E16">
        <v>1</v>
      </c>
      <c r="F16">
        <v>1</v>
      </c>
      <c r="G16">
        <v>1081</v>
      </c>
      <c r="H16">
        <v>2</v>
      </c>
      <c r="I16" t="s">
        <v>464</v>
      </c>
      <c r="J16" t="s">
        <v>465</v>
      </c>
      <c r="K16" t="s">
        <v>466</v>
      </c>
      <c r="L16">
        <v>1368</v>
      </c>
      <c r="N16">
        <v>1011</v>
      </c>
      <c r="O16" t="s">
        <v>463</v>
      </c>
      <c r="P16" t="s">
        <v>463</v>
      </c>
      <c r="Q16">
        <v>1</v>
      </c>
      <c r="W16">
        <v>0</v>
      </c>
      <c r="X16">
        <v>1043446422</v>
      </c>
      <c r="Y16">
        <f>((AT16*1.2)*0.3)</f>
        <v>0.2016</v>
      </c>
      <c r="AA16">
        <v>0</v>
      </c>
      <c r="AB16">
        <v>11.06</v>
      </c>
      <c r="AC16">
        <v>0</v>
      </c>
      <c r="AD16">
        <v>0</v>
      </c>
      <c r="AE16">
        <v>0</v>
      </c>
      <c r="AF16">
        <v>1.1100000000000001</v>
      </c>
      <c r="AG16">
        <v>0</v>
      </c>
      <c r="AH16">
        <v>0</v>
      </c>
      <c r="AI16">
        <v>1</v>
      </c>
      <c r="AJ16">
        <v>9.52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0.56000000000000005</v>
      </c>
      <c r="AU16" t="s">
        <v>32</v>
      </c>
      <c r="AV16">
        <v>0</v>
      </c>
      <c r="AW16">
        <v>2</v>
      </c>
      <c r="AX16">
        <v>57249594</v>
      </c>
      <c r="AY16">
        <v>1</v>
      </c>
      <c r="AZ16">
        <v>0</v>
      </c>
      <c r="BA16">
        <v>21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ROUND(Y16*Source!I33*DO16,9)</f>
        <v>0</v>
      </c>
      <c r="CX16">
        <f>ROUND(Y16*Source!I33,9)</f>
        <v>0.2016</v>
      </c>
      <c r="CY16">
        <f>AB16</f>
        <v>11.06</v>
      </c>
      <c r="CZ16">
        <f>AF16</f>
        <v>1.1100000000000001</v>
      </c>
      <c r="DA16">
        <f>AJ16</f>
        <v>9.52</v>
      </c>
      <c r="DB16">
        <f>ROUND(((ROUND(AT16*CZ16,2)*1.2)*0.3),6)</f>
        <v>0.22320000000000001</v>
      </c>
      <c r="DC16">
        <f>ROUND(((ROUND(AT16*AG16,2)*1.2)*0.3),6)</f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2.13</v>
      </c>
      <c r="DH16">
        <f t="shared" si="5"/>
        <v>0</v>
      </c>
      <c r="DI16">
        <f t="shared" si="6"/>
        <v>0</v>
      </c>
      <c r="DJ16">
        <f>DG16</f>
        <v>2.13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ROW(Source!A33)</f>
        <v>33</v>
      </c>
      <c r="B17">
        <v>57248837</v>
      </c>
      <c r="C17">
        <v>57249582</v>
      </c>
      <c r="D17">
        <v>54737470</v>
      </c>
      <c r="E17">
        <v>1</v>
      </c>
      <c r="F17">
        <v>1</v>
      </c>
      <c r="G17">
        <v>1081</v>
      </c>
      <c r="H17">
        <v>3</v>
      </c>
      <c r="I17" t="s">
        <v>467</v>
      </c>
      <c r="J17" t="s">
        <v>468</v>
      </c>
      <c r="K17" t="s">
        <v>469</v>
      </c>
      <c r="L17">
        <v>1354</v>
      </c>
      <c r="N17">
        <v>1010</v>
      </c>
      <c r="O17" t="s">
        <v>228</v>
      </c>
      <c r="P17" t="s">
        <v>228</v>
      </c>
      <c r="Q17">
        <v>1</v>
      </c>
      <c r="W17">
        <v>0</v>
      </c>
      <c r="X17">
        <v>-1352077490</v>
      </c>
      <c r="Y17">
        <f t="shared" ref="Y17:Y22" si="14">((AT17*1)*0)</f>
        <v>0</v>
      </c>
      <c r="AA17">
        <v>0.83</v>
      </c>
      <c r="AB17">
        <v>0</v>
      </c>
      <c r="AC17">
        <v>0</v>
      </c>
      <c r="AD17">
        <v>0</v>
      </c>
      <c r="AE17">
        <v>0.89</v>
      </c>
      <c r="AF17">
        <v>0</v>
      </c>
      <c r="AG17">
        <v>0</v>
      </c>
      <c r="AH17">
        <v>0</v>
      </c>
      <c r="AI17">
        <v>0.93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7</v>
      </c>
      <c r="AU17" t="s">
        <v>31</v>
      </c>
      <c r="AV17">
        <v>0</v>
      </c>
      <c r="AW17">
        <v>2</v>
      </c>
      <c r="AX17">
        <v>57249595</v>
      </c>
      <c r="AY17">
        <v>1</v>
      </c>
      <c r="AZ17">
        <v>0</v>
      </c>
      <c r="BA17">
        <v>22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ROUND(Y17*Source!I33,9)</f>
        <v>0</v>
      </c>
      <c r="CY17">
        <f t="shared" ref="CY17:CY22" si="15">AA17</f>
        <v>0.83</v>
      </c>
      <c r="CZ17">
        <f t="shared" ref="CZ17:CZ22" si="16">AE17</f>
        <v>0.89</v>
      </c>
      <c r="DA17">
        <f t="shared" ref="DA17:DA22" si="17">AI17</f>
        <v>0.93</v>
      </c>
      <c r="DB17">
        <f t="shared" ref="DB17:DB22" si="18">ROUND(((ROUND(AT17*CZ17,2)*1)*0),6)</f>
        <v>0</v>
      </c>
      <c r="DC17">
        <f t="shared" ref="DC17:DC22" si="19">ROUND(((ROUND(AT17*AG17,2)*1)*0),6)</f>
        <v>0</v>
      </c>
      <c r="DD17" t="s">
        <v>3</v>
      </c>
      <c r="DE17" t="s">
        <v>3</v>
      </c>
      <c r="DF17">
        <f t="shared" ref="DF17:DF22" si="20">ROUND(ROUND(AE17*AI17,2)*CX17,2)</f>
        <v>0</v>
      </c>
      <c r="DG17">
        <f t="shared" ref="DG17:DG29" si="21">ROUND(ROUND(AF17,2)*CX17,2)</f>
        <v>0</v>
      </c>
      <c r="DH17">
        <f t="shared" si="5"/>
        <v>0</v>
      </c>
      <c r="DI17">
        <f t="shared" si="6"/>
        <v>0</v>
      </c>
      <c r="DJ17">
        <f t="shared" ref="DJ17:DJ22" si="22">DF17</f>
        <v>0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ROW(Source!A33)</f>
        <v>33</v>
      </c>
      <c r="B18">
        <v>57248837</v>
      </c>
      <c r="C18">
        <v>57249582</v>
      </c>
      <c r="D18">
        <v>54739012</v>
      </c>
      <c r="E18">
        <v>1</v>
      </c>
      <c r="F18">
        <v>1</v>
      </c>
      <c r="G18">
        <v>1081</v>
      </c>
      <c r="H18">
        <v>3</v>
      </c>
      <c r="I18" t="s">
        <v>470</v>
      </c>
      <c r="J18" t="s">
        <v>471</v>
      </c>
      <c r="K18" t="s">
        <v>472</v>
      </c>
      <c r="L18">
        <v>1348</v>
      </c>
      <c r="N18">
        <v>1009</v>
      </c>
      <c r="O18" t="s">
        <v>298</v>
      </c>
      <c r="P18" t="s">
        <v>298</v>
      </c>
      <c r="Q18">
        <v>1000</v>
      </c>
      <c r="W18">
        <v>0</v>
      </c>
      <c r="X18">
        <v>-1448166212</v>
      </c>
      <c r="Y18">
        <f t="shared" si="14"/>
        <v>0</v>
      </c>
      <c r="AA18">
        <v>109175.63</v>
      </c>
      <c r="AB18">
        <v>0</v>
      </c>
      <c r="AC18">
        <v>0</v>
      </c>
      <c r="AD18">
        <v>0</v>
      </c>
      <c r="AE18">
        <v>14327.51</v>
      </c>
      <c r="AF18">
        <v>0</v>
      </c>
      <c r="AG18">
        <v>0</v>
      </c>
      <c r="AH18">
        <v>0</v>
      </c>
      <c r="AI18">
        <v>7.62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1.0000000000000001E-5</v>
      </c>
      <c r="AU18" t="s">
        <v>31</v>
      </c>
      <c r="AV18">
        <v>0</v>
      </c>
      <c r="AW18">
        <v>2</v>
      </c>
      <c r="AX18">
        <v>57249596</v>
      </c>
      <c r="AY18">
        <v>1</v>
      </c>
      <c r="AZ18">
        <v>0</v>
      </c>
      <c r="BA18">
        <v>23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ROUND(Y18*Source!I33,9)</f>
        <v>0</v>
      </c>
      <c r="CY18">
        <f t="shared" si="15"/>
        <v>109175.63</v>
      </c>
      <c r="CZ18">
        <f t="shared" si="16"/>
        <v>14327.51</v>
      </c>
      <c r="DA18">
        <f t="shared" si="17"/>
        <v>7.62</v>
      </c>
      <c r="DB18">
        <f t="shared" si="18"/>
        <v>0</v>
      </c>
      <c r="DC18">
        <f t="shared" si="19"/>
        <v>0</v>
      </c>
      <c r="DD18" t="s">
        <v>3</v>
      </c>
      <c r="DE18" t="s">
        <v>3</v>
      </c>
      <c r="DF18">
        <f t="shared" si="20"/>
        <v>0</v>
      </c>
      <c r="DG18">
        <f t="shared" si="21"/>
        <v>0</v>
      </c>
      <c r="DH18">
        <f t="shared" si="5"/>
        <v>0</v>
      </c>
      <c r="DI18">
        <f t="shared" si="6"/>
        <v>0</v>
      </c>
      <c r="DJ18">
        <f t="shared" si="22"/>
        <v>0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ROW(Source!A33)</f>
        <v>33</v>
      </c>
      <c r="B19">
        <v>57248837</v>
      </c>
      <c r="C19">
        <v>57249582</v>
      </c>
      <c r="D19">
        <v>54739257</v>
      </c>
      <c r="E19">
        <v>1</v>
      </c>
      <c r="F19">
        <v>1</v>
      </c>
      <c r="G19">
        <v>1081</v>
      </c>
      <c r="H19">
        <v>3</v>
      </c>
      <c r="I19" t="s">
        <v>473</v>
      </c>
      <c r="J19" t="s">
        <v>474</v>
      </c>
      <c r="K19" t="s">
        <v>475</v>
      </c>
      <c r="L19">
        <v>1355</v>
      </c>
      <c r="N19">
        <v>1010</v>
      </c>
      <c r="O19" t="s">
        <v>67</v>
      </c>
      <c r="P19" t="s">
        <v>67</v>
      </c>
      <c r="Q19">
        <v>100</v>
      </c>
      <c r="W19">
        <v>0</v>
      </c>
      <c r="X19">
        <v>-1635357480</v>
      </c>
      <c r="Y19">
        <f t="shared" si="14"/>
        <v>0</v>
      </c>
      <c r="AA19">
        <v>18.21</v>
      </c>
      <c r="AB19">
        <v>0</v>
      </c>
      <c r="AC19">
        <v>0</v>
      </c>
      <c r="AD19">
        <v>0</v>
      </c>
      <c r="AE19">
        <v>4.6100000000000003</v>
      </c>
      <c r="AF19">
        <v>0</v>
      </c>
      <c r="AG19">
        <v>0</v>
      </c>
      <c r="AH19">
        <v>0</v>
      </c>
      <c r="AI19">
        <v>3.95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7.0000000000000007E-2</v>
      </c>
      <c r="AU19" t="s">
        <v>31</v>
      </c>
      <c r="AV19">
        <v>0</v>
      </c>
      <c r="AW19">
        <v>2</v>
      </c>
      <c r="AX19">
        <v>57249597</v>
      </c>
      <c r="AY19">
        <v>1</v>
      </c>
      <c r="AZ19">
        <v>0</v>
      </c>
      <c r="BA19">
        <v>24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ROUND(Y19*Source!I33,9)</f>
        <v>0</v>
      </c>
      <c r="CY19">
        <f t="shared" si="15"/>
        <v>18.21</v>
      </c>
      <c r="CZ19">
        <f t="shared" si="16"/>
        <v>4.6100000000000003</v>
      </c>
      <c r="DA19">
        <f t="shared" si="17"/>
        <v>3.95</v>
      </c>
      <c r="DB19">
        <f t="shared" si="18"/>
        <v>0</v>
      </c>
      <c r="DC19">
        <f t="shared" si="19"/>
        <v>0</v>
      </c>
      <c r="DD19" t="s">
        <v>3</v>
      </c>
      <c r="DE19" t="s">
        <v>3</v>
      </c>
      <c r="DF19">
        <f t="shared" si="20"/>
        <v>0</v>
      </c>
      <c r="DG19">
        <f t="shared" si="21"/>
        <v>0</v>
      </c>
      <c r="DH19">
        <f t="shared" si="5"/>
        <v>0</v>
      </c>
      <c r="DI19">
        <f t="shared" si="6"/>
        <v>0</v>
      </c>
      <c r="DJ19">
        <f t="shared" si="22"/>
        <v>0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ROW(Source!A33)</f>
        <v>33</v>
      </c>
      <c r="B20">
        <v>57248837</v>
      </c>
      <c r="C20">
        <v>57249582</v>
      </c>
      <c r="D20">
        <v>54737684</v>
      </c>
      <c r="E20">
        <v>1</v>
      </c>
      <c r="F20">
        <v>1</v>
      </c>
      <c r="G20">
        <v>1081</v>
      </c>
      <c r="H20">
        <v>3</v>
      </c>
      <c r="I20" t="s">
        <v>476</v>
      </c>
      <c r="J20" t="s">
        <v>477</v>
      </c>
      <c r="K20" t="s">
        <v>478</v>
      </c>
      <c r="L20">
        <v>1346</v>
      </c>
      <c r="N20">
        <v>1009</v>
      </c>
      <c r="O20" t="s">
        <v>320</v>
      </c>
      <c r="P20" t="s">
        <v>320</v>
      </c>
      <c r="Q20">
        <v>1</v>
      </c>
      <c r="W20">
        <v>0</v>
      </c>
      <c r="X20">
        <v>-210355400</v>
      </c>
      <c r="Y20">
        <f t="shared" si="14"/>
        <v>0</v>
      </c>
      <c r="AA20">
        <v>58.52</v>
      </c>
      <c r="AB20">
        <v>0</v>
      </c>
      <c r="AC20">
        <v>0</v>
      </c>
      <c r="AD20">
        <v>0</v>
      </c>
      <c r="AE20">
        <v>5.01</v>
      </c>
      <c r="AF20">
        <v>0</v>
      </c>
      <c r="AG20">
        <v>0</v>
      </c>
      <c r="AH20">
        <v>0</v>
      </c>
      <c r="AI20">
        <v>11.68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4.3999999999999997E-2</v>
      </c>
      <c r="AU20" t="s">
        <v>31</v>
      </c>
      <c r="AV20">
        <v>0</v>
      </c>
      <c r="AW20">
        <v>2</v>
      </c>
      <c r="AX20">
        <v>57249598</v>
      </c>
      <c r="AY20">
        <v>1</v>
      </c>
      <c r="AZ20">
        <v>0</v>
      </c>
      <c r="BA20">
        <v>25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ROUND(Y20*Source!I33,9)</f>
        <v>0</v>
      </c>
      <c r="CY20">
        <f t="shared" si="15"/>
        <v>58.52</v>
      </c>
      <c r="CZ20">
        <f t="shared" si="16"/>
        <v>5.01</v>
      </c>
      <c r="DA20">
        <f t="shared" si="17"/>
        <v>11.68</v>
      </c>
      <c r="DB20">
        <f t="shared" si="18"/>
        <v>0</v>
      </c>
      <c r="DC20">
        <f t="shared" si="19"/>
        <v>0</v>
      </c>
      <c r="DD20" t="s">
        <v>3</v>
      </c>
      <c r="DE20" t="s">
        <v>3</v>
      </c>
      <c r="DF20">
        <f t="shared" si="20"/>
        <v>0</v>
      </c>
      <c r="DG20">
        <f t="shared" si="21"/>
        <v>0</v>
      </c>
      <c r="DH20">
        <f t="shared" si="5"/>
        <v>0</v>
      </c>
      <c r="DI20">
        <f t="shared" si="6"/>
        <v>0</v>
      </c>
      <c r="DJ20">
        <f t="shared" si="22"/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ROW(Source!A33)</f>
        <v>33</v>
      </c>
      <c r="B21">
        <v>57248837</v>
      </c>
      <c r="C21">
        <v>57249582</v>
      </c>
      <c r="D21">
        <v>54737923</v>
      </c>
      <c r="E21">
        <v>1</v>
      </c>
      <c r="F21">
        <v>1</v>
      </c>
      <c r="G21">
        <v>1081</v>
      </c>
      <c r="H21">
        <v>3</v>
      </c>
      <c r="I21" t="s">
        <v>479</v>
      </c>
      <c r="J21" t="s">
        <v>480</v>
      </c>
      <c r="K21" t="s">
        <v>481</v>
      </c>
      <c r="L21">
        <v>1348</v>
      </c>
      <c r="N21">
        <v>1009</v>
      </c>
      <c r="O21" t="s">
        <v>298</v>
      </c>
      <c r="P21" t="s">
        <v>298</v>
      </c>
      <c r="Q21">
        <v>1000</v>
      </c>
      <c r="W21">
        <v>0</v>
      </c>
      <c r="X21">
        <v>-761454284</v>
      </c>
      <c r="Y21">
        <f t="shared" si="14"/>
        <v>0</v>
      </c>
      <c r="AA21">
        <v>1930745.04</v>
      </c>
      <c r="AB21">
        <v>0</v>
      </c>
      <c r="AC21">
        <v>0</v>
      </c>
      <c r="AD21">
        <v>0</v>
      </c>
      <c r="AE21">
        <v>64123.05</v>
      </c>
      <c r="AF21">
        <v>0</v>
      </c>
      <c r="AG21">
        <v>0</v>
      </c>
      <c r="AH21">
        <v>0</v>
      </c>
      <c r="AI21">
        <v>30.11</v>
      </c>
      <c r="AJ21">
        <v>1</v>
      </c>
      <c r="AK21">
        <v>1</v>
      </c>
      <c r="AL21">
        <v>1</v>
      </c>
      <c r="AM21">
        <v>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2.0000000000000002E-5</v>
      </c>
      <c r="AU21" t="s">
        <v>31</v>
      </c>
      <c r="AV21">
        <v>0</v>
      </c>
      <c r="AW21">
        <v>2</v>
      </c>
      <c r="AX21">
        <v>57249599</v>
      </c>
      <c r="AY21">
        <v>1</v>
      </c>
      <c r="AZ21">
        <v>0</v>
      </c>
      <c r="BA21">
        <v>26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V21">
        <v>0</v>
      </c>
      <c r="CW21">
        <v>0</v>
      </c>
      <c r="CX21">
        <f>ROUND(Y21*Source!I33,9)</f>
        <v>0</v>
      </c>
      <c r="CY21">
        <f t="shared" si="15"/>
        <v>1930745.04</v>
      </c>
      <c r="CZ21">
        <f t="shared" si="16"/>
        <v>64123.05</v>
      </c>
      <c r="DA21">
        <f t="shared" si="17"/>
        <v>30.11</v>
      </c>
      <c r="DB21">
        <f t="shared" si="18"/>
        <v>0</v>
      </c>
      <c r="DC21">
        <f t="shared" si="19"/>
        <v>0</v>
      </c>
      <c r="DD21" t="s">
        <v>3</v>
      </c>
      <c r="DE21" t="s">
        <v>3</v>
      </c>
      <c r="DF21">
        <f t="shared" si="20"/>
        <v>0</v>
      </c>
      <c r="DG21">
        <f t="shared" si="21"/>
        <v>0</v>
      </c>
      <c r="DH21">
        <f t="shared" si="5"/>
        <v>0</v>
      </c>
      <c r="DI21">
        <f t="shared" si="6"/>
        <v>0</v>
      </c>
      <c r="DJ21">
        <f t="shared" si="22"/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ROW(Source!A33)</f>
        <v>33</v>
      </c>
      <c r="B22">
        <v>57248837</v>
      </c>
      <c r="C22">
        <v>57249582</v>
      </c>
      <c r="D22">
        <v>54747392</v>
      </c>
      <c r="E22">
        <v>1</v>
      </c>
      <c r="F22">
        <v>1</v>
      </c>
      <c r="G22">
        <v>1081</v>
      </c>
      <c r="H22">
        <v>3</v>
      </c>
      <c r="I22" t="s">
        <v>482</v>
      </c>
      <c r="J22" t="s">
        <v>483</v>
      </c>
      <c r="K22" t="s">
        <v>484</v>
      </c>
      <c r="L22">
        <v>1354</v>
      </c>
      <c r="N22">
        <v>1010</v>
      </c>
      <c r="O22" t="s">
        <v>228</v>
      </c>
      <c r="P22" t="s">
        <v>228</v>
      </c>
      <c r="Q22">
        <v>1</v>
      </c>
      <c r="W22">
        <v>0</v>
      </c>
      <c r="X22">
        <v>-407007888</v>
      </c>
      <c r="Y22">
        <f t="shared" si="14"/>
        <v>0</v>
      </c>
      <c r="AA22">
        <v>103.72</v>
      </c>
      <c r="AB22">
        <v>0</v>
      </c>
      <c r="AC22">
        <v>0</v>
      </c>
      <c r="AD22">
        <v>0</v>
      </c>
      <c r="AE22">
        <v>10.53</v>
      </c>
      <c r="AF22">
        <v>0</v>
      </c>
      <c r="AG22">
        <v>0</v>
      </c>
      <c r="AH22">
        <v>0</v>
      </c>
      <c r="AI22">
        <v>9.85</v>
      </c>
      <c r="AJ22">
        <v>1</v>
      </c>
      <c r="AK22">
        <v>1</v>
      </c>
      <c r="AL22">
        <v>1</v>
      </c>
      <c r="AM22">
        <v>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0.09</v>
      </c>
      <c r="AU22" t="s">
        <v>31</v>
      </c>
      <c r="AV22">
        <v>0</v>
      </c>
      <c r="AW22">
        <v>2</v>
      </c>
      <c r="AX22">
        <v>57249600</v>
      </c>
      <c r="AY22">
        <v>1</v>
      </c>
      <c r="AZ22">
        <v>0</v>
      </c>
      <c r="BA22">
        <v>27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v>0</v>
      </c>
      <c r="CX22">
        <f>ROUND(Y22*Source!I33,9)</f>
        <v>0</v>
      </c>
      <c r="CY22">
        <f t="shared" si="15"/>
        <v>103.72</v>
      </c>
      <c r="CZ22">
        <f t="shared" si="16"/>
        <v>10.53</v>
      </c>
      <c r="DA22">
        <f t="shared" si="17"/>
        <v>9.85</v>
      </c>
      <c r="DB22">
        <f t="shared" si="18"/>
        <v>0</v>
      </c>
      <c r="DC22">
        <f t="shared" si="19"/>
        <v>0</v>
      </c>
      <c r="DD22" t="s">
        <v>3</v>
      </c>
      <c r="DE22" t="s">
        <v>3</v>
      </c>
      <c r="DF22">
        <f t="shared" si="20"/>
        <v>0</v>
      </c>
      <c r="DG22">
        <f t="shared" si="21"/>
        <v>0</v>
      </c>
      <c r="DH22">
        <f t="shared" si="5"/>
        <v>0</v>
      </c>
      <c r="DI22">
        <f t="shared" si="6"/>
        <v>0</v>
      </c>
      <c r="DJ22">
        <f t="shared" si="22"/>
        <v>0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ROW(Source!A34)</f>
        <v>34</v>
      </c>
      <c r="B23">
        <v>57248835</v>
      </c>
      <c r="C23">
        <v>57249607</v>
      </c>
      <c r="D23">
        <v>54702434</v>
      </c>
      <c r="E23">
        <v>1081</v>
      </c>
      <c r="F23">
        <v>1</v>
      </c>
      <c r="G23">
        <v>1081</v>
      </c>
      <c r="H23">
        <v>1</v>
      </c>
      <c r="I23" t="s">
        <v>457</v>
      </c>
      <c r="J23" t="s">
        <v>3</v>
      </c>
      <c r="K23" t="s">
        <v>458</v>
      </c>
      <c r="L23">
        <v>1191</v>
      </c>
      <c r="N23">
        <v>1013</v>
      </c>
      <c r="O23" t="s">
        <v>459</v>
      </c>
      <c r="P23" t="s">
        <v>459</v>
      </c>
      <c r="Q23">
        <v>1</v>
      </c>
      <c r="W23">
        <v>0</v>
      </c>
      <c r="X23">
        <v>476480486</v>
      </c>
      <c r="Y23">
        <f>((AT23*1.2)*0.3)</f>
        <v>0.48960000000000004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1.36</v>
      </c>
      <c r="AU23" t="s">
        <v>32</v>
      </c>
      <c r="AV23">
        <v>1</v>
      </c>
      <c r="AW23">
        <v>2</v>
      </c>
      <c r="AX23">
        <v>57249614</v>
      </c>
      <c r="AY23">
        <v>1</v>
      </c>
      <c r="AZ23">
        <v>0</v>
      </c>
      <c r="BA23">
        <v>33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U23">
        <f>ROUND(AT23*Source!I34*AH23*AL23,2)</f>
        <v>0</v>
      </c>
      <c r="CV23">
        <f>ROUND(Y23*Source!I34,9)</f>
        <v>7.8335999999999997</v>
      </c>
      <c r="CW23">
        <v>0</v>
      </c>
      <c r="CX23">
        <f>ROUND(Y23*Source!I34,9)</f>
        <v>7.8335999999999997</v>
      </c>
      <c r="CY23">
        <f>AD23</f>
        <v>0</v>
      </c>
      <c r="CZ23">
        <f>AH23</f>
        <v>0</v>
      </c>
      <c r="DA23">
        <f>AL23</f>
        <v>1</v>
      </c>
      <c r="DB23">
        <f>ROUND(((ROUND(AT23*CZ23,2)*1.2)*0.3),6)</f>
        <v>0</v>
      </c>
      <c r="DC23">
        <f>ROUND(((ROUND(AT23*AG23,2)*1.2)*0.3),6)</f>
        <v>0</v>
      </c>
      <c r="DD23" t="s">
        <v>3</v>
      </c>
      <c r="DE23" t="s">
        <v>3</v>
      </c>
      <c r="DF23">
        <f t="shared" ref="DF23:DF31" si="23">ROUND(ROUND(AE23,2)*CX23,2)</f>
        <v>0</v>
      </c>
      <c r="DG23">
        <f t="shared" si="21"/>
        <v>0</v>
      </c>
      <c r="DH23">
        <f t="shared" si="5"/>
        <v>0</v>
      </c>
      <c r="DI23">
        <f t="shared" si="6"/>
        <v>0</v>
      </c>
      <c r="DJ23">
        <f>DI23</f>
        <v>0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ROW(Source!A34)</f>
        <v>34</v>
      </c>
      <c r="B24">
        <v>57248835</v>
      </c>
      <c r="C24">
        <v>57249607</v>
      </c>
      <c r="D24">
        <v>54768460</v>
      </c>
      <c r="E24">
        <v>1</v>
      </c>
      <c r="F24">
        <v>1</v>
      </c>
      <c r="G24">
        <v>1081</v>
      </c>
      <c r="H24">
        <v>2</v>
      </c>
      <c r="I24" t="s">
        <v>460</v>
      </c>
      <c r="J24" t="s">
        <v>461</v>
      </c>
      <c r="K24" t="s">
        <v>462</v>
      </c>
      <c r="L24">
        <v>1368</v>
      </c>
      <c r="N24">
        <v>1011</v>
      </c>
      <c r="O24" t="s">
        <v>463</v>
      </c>
      <c r="P24" t="s">
        <v>463</v>
      </c>
      <c r="Q24">
        <v>1</v>
      </c>
      <c r="W24">
        <v>0</v>
      </c>
      <c r="X24">
        <v>-2083101341</v>
      </c>
      <c r="Y24">
        <f>((AT24*1.2)*0.3)</f>
        <v>6.1200000000000004E-3</v>
      </c>
      <c r="AA24">
        <v>0</v>
      </c>
      <c r="AB24">
        <v>0.84</v>
      </c>
      <c r="AC24">
        <v>0</v>
      </c>
      <c r="AD24">
        <v>0</v>
      </c>
      <c r="AE24">
        <v>0</v>
      </c>
      <c r="AF24">
        <v>0.8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1.7000000000000001E-2</v>
      </c>
      <c r="AU24" t="s">
        <v>32</v>
      </c>
      <c r="AV24">
        <v>0</v>
      </c>
      <c r="AW24">
        <v>2</v>
      </c>
      <c r="AX24">
        <v>57249615</v>
      </c>
      <c r="AY24">
        <v>1</v>
      </c>
      <c r="AZ24">
        <v>0</v>
      </c>
      <c r="BA24">
        <v>34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ROUND(Y24*Source!I34*DO24,9)</f>
        <v>0</v>
      </c>
      <c r="CX24">
        <f>ROUND(Y24*Source!I34,9)</f>
        <v>9.7919999999999993E-2</v>
      </c>
      <c r="CY24">
        <f>AB24</f>
        <v>0.84</v>
      </c>
      <c r="CZ24">
        <f>AF24</f>
        <v>0.8</v>
      </c>
      <c r="DA24">
        <f>AJ24</f>
        <v>1</v>
      </c>
      <c r="DB24">
        <f>ROUND(((ROUND(AT24*CZ24,2)*1.2)*0.3),6)</f>
        <v>3.5999999999999999E-3</v>
      </c>
      <c r="DC24">
        <f>ROUND(((ROUND(AT24*AG24,2)*1.2)*0.3),6)</f>
        <v>0</v>
      </c>
      <c r="DD24" t="s">
        <v>3</v>
      </c>
      <c r="DE24" t="s">
        <v>3</v>
      </c>
      <c r="DF24">
        <f t="shared" si="23"/>
        <v>0</v>
      </c>
      <c r="DG24">
        <f t="shared" si="21"/>
        <v>0.08</v>
      </c>
      <c r="DH24">
        <f t="shared" si="5"/>
        <v>0</v>
      </c>
      <c r="DI24">
        <f t="shared" si="6"/>
        <v>0</v>
      </c>
      <c r="DJ24">
        <f>DG24</f>
        <v>0.08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ROW(Source!A34)</f>
        <v>34</v>
      </c>
      <c r="B25">
        <v>57248835</v>
      </c>
      <c r="C25">
        <v>57249607</v>
      </c>
      <c r="D25">
        <v>54768426</v>
      </c>
      <c r="E25">
        <v>1</v>
      </c>
      <c r="F25">
        <v>1</v>
      </c>
      <c r="G25">
        <v>1081</v>
      </c>
      <c r="H25">
        <v>2</v>
      </c>
      <c r="I25" t="s">
        <v>485</v>
      </c>
      <c r="J25" t="s">
        <v>486</v>
      </c>
      <c r="K25" t="s">
        <v>487</v>
      </c>
      <c r="L25">
        <v>1368</v>
      </c>
      <c r="N25">
        <v>1011</v>
      </c>
      <c r="O25" t="s">
        <v>463</v>
      </c>
      <c r="P25" t="s">
        <v>463</v>
      </c>
      <c r="Q25">
        <v>1</v>
      </c>
      <c r="W25">
        <v>0</v>
      </c>
      <c r="X25">
        <v>-643591644</v>
      </c>
      <c r="Y25">
        <f>((AT25*1.2)*0.3)</f>
        <v>7.1999999999999998E-3</v>
      </c>
      <c r="AA25">
        <v>0</v>
      </c>
      <c r="AB25">
        <v>0.49</v>
      </c>
      <c r="AC25">
        <v>0</v>
      </c>
      <c r="AD25">
        <v>0</v>
      </c>
      <c r="AE25">
        <v>0</v>
      </c>
      <c r="AF25">
        <v>0.47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0.02</v>
      </c>
      <c r="AU25" t="s">
        <v>32</v>
      </c>
      <c r="AV25">
        <v>0</v>
      </c>
      <c r="AW25">
        <v>2</v>
      </c>
      <c r="AX25">
        <v>57249616</v>
      </c>
      <c r="AY25">
        <v>1</v>
      </c>
      <c r="AZ25">
        <v>0</v>
      </c>
      <c r="BA25">
        <v>35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ROUND(Y25*Source!I34*DO25,9)</f>
        <v>0</v>
      </c>
      <c r="CX25">
        <f>ROUND(Y25*Source!I34,9)</f>
        <v>0.1152</v>
      </c>
      <c r="CY25">
        <f>AB25</f>
        <v>0.49</v>
      </c>
      <c r="CZ25">
        <f>AF25</f>
        <v>0.47</v>
      </c>
      <c r="DA25">
        <f>AJ25</f>
        <v>1</v>
      </c>
      <c r="DB25">
        <f>ROUND(((ROUND(AT25*CZ25,2)*1.2)*0.3),6)</f>
        <v>3.5999999999999999E-3</v>
      </c>
      <c r="DC25">
        <f>ROUND(((ROUND(AT25*AG25,2)*1.2)*0.3),6)</f>
        <v>0</v>
      </c>
      <c r="DD25" t="s">
        <v>3</v>
      </c>
      <c r="DE25" t="s">
        <v>3</v>
      </c>
      <c r="DF25">
        <f t="shared" si="23"/>
        <v>0</v>
      </c>
      <c r="DG25">
        <f t="shared" si="21"/>
        <v>0.05</v>
      </c>
      <c r="DH25">
        <f t="shared" si="5"/>
        <v>0</v>
      </c>
      <c r="DI25">
        <f t="shared" si="6"/>
        <v>0</v>
      </c>
      <c r="DJ25">
        <f>DG25</f>
        <v>0.05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ROW(Source!A34)</f>
        <v>34</v>
      </c>
      <c r="B26">
        <v>57248835</v>
      </c>
      <c r="C26">
        <v>57249607</v>
      </c>
      <c r="D26">
        <v>54739204</v>
      </c>
      <c r="E26">
        <v>1</v>
      </c>
      <c r="F26">
        <v>1</v>
      </c>
      <c r="G26">
        <v>1081</v>
      </c>
      <c r="H26">
        <v>3</v>
      </c>
      <c r="I26" t="s">
        <v>488</v>
      </c>
      <c r="J26" t="s">
        <v>489</v>
      </c>
      <c r="K26" t="s">
        <v>490</v>
      </c>
      <c r="L26">
        <v>1346</v>
      </c>
      <c r="N26">
        <v>1009</v>
      </c>
      <c r="O26" t="s">
        <v>320</v>
      </c>
      <c r="P26" t="s">
        <v>320</v>
      </c>
      <c r="Q26">
        <v>1</v>
      </c>
      <c r="W26">
        <v>0</v>
      </c>
      <c r="X26">
        <v>-861631226</v>
      </c>
      <c r="Y26">
        <f>((AT26*1)*0)</f>
        <v>0</v>
      </c>
      <c r="AA26">
        <v>27.62</v>
      </c>
      <c r="AB26">
        <v>0</v>
      </c>
      <c r="AC26">
        <v>0</v>
      </c>
      <c r="AD26">
        <v>0</v>
      </c>
      <c r="AE26">
        <v>27.62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6.2700000000000004E-3</v>
      </c>
      <c r="AU26" t="s">
        <v>31</v>
      </c>
      <c r="AV26">
        <v>0</v>
      </c>
      <c r="AW26">
        <v>2</v>
      </c>
      <c r="AX26">
        <v>57249617</v>
      </c>
      <c r="AY26">
        <v>1</v>
      </c>
      <c r="AZ26">
        <v>0</v>
      </c>
      <c r="BA26">
        <v>36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v>0</v>
      </c>
      <c r="CX26">
        <f>ROUND(Y26*Source!I34,9)</f>
        <v>0</v>
      </c>
      <c r="CY26">
        <f>AA26</f>
        <v>27.62</v>
      </c>
      <c r="CZ26">
        <f>AE26</f>
        <v>27.62</v>
      </c>
      <c r="DA26">
        <f>AI26</f>
        <v>1</v>
      </c>
      <c r="DB26">
        <f>ROUND(((ROUND(AT26*CZ26,2)*1)*0),6)</f>
        <v>0</v>
      </c>
      <c r="DC26">
        <f>ROUND(((ROUND(AT26*AG26,2)*1)*0),6)</f>
        <v>0</v>
      </c>
      <c r="DD26" t="s">
        <v>3</v>
      </c>
      <c r="DE26" t="s">
        <v>3</v>
      </c>
      <c r="DF26">
        <f t="shared" si="23"/>
        <v>0</v>
      </c>
      <c r="DG26">
        <f t="shared" si="21"/>
        <v>0</v>
      </c>
      <c r="DH26">
        <f t="shared" si="5"/>
        <v>0</v>
      </c>
      <c r="DI26">
        <f t="shared" si="6"/>
        <v>0</v>
      </c>
      <c r="DJ26">
        <f>DF26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ROW(Source!A34)</f>
        <v>34</v>
      </c>
      <c r="B27">
        <v>57248835</v>
      </c>
      <c r="C27">
        <v>57249607</v>
      </c>
      <c r="D27">
        <v>54737923</v>
      </c>
      <c r="E27">
        <v>1</v>
      </c>
      <c r="F27">
        <v>1</v>
      </c>
      <c r="G27">
        <v>1081</v>
      </c>
      <c r="H27">
        <v>3</v>
      </c>
      <c r="I27" t="s">
        <v>479</v>
      </c>
      <c r="J27" t="s">
        <v>480</v>
      </c>
      <c r="K27" t="s">
        <v>481</v>
      </c>
      <c r="L27">
        <v>1348</v>
      </c>
      <c r="N27">
        <v>1009</v>
      </c>
      <c r="O27" t="s">
        <v>298</v>
      </c>
      <c r="P27" t="s">
        <v>298</v>
      </c>
      <c r="Q27">
        <v>1000</v>
      </c>
      <c r="W27">
        <v>0</v>
      </c>
      <c r="X27">
        <v>-761454284</v>
      </c>
      <c r="Y27">
        <f>((AT27*1)*0)</f>
        <v>0</v>
      </c>
      <c r="AA27">
        <v>64123.05</v>
      </c>
      <c r="AB27">
        <v>0</v>
      </c>
      <c r="AC27">
        <v>0</v>
      </c>
      <c r="AD27">
        <v>0</v>
      </c>
      <c r="AE27">
        <v>64123.05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1.0000000000000001E-5</v>
      </c>
      <c r="AU27" t="s">
        <v>31</v>
      </c>
      <c r="AV27">
        <v>0</v>
      </c>
      <c r="AW27">
        <v>2</v>
      </c>
      <c r="AX27">
        <v>57249618</v>
      </c>
      <c r="AY27">
        <v>1</v>
      </c>
      <c r="AZ27">
        <v>0</v>
      </c>
      <c r="BA27">
        <v>37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ROUND(Y27*Source!I34,9)</f>
        <v>0</v>
      </c>
      <c r="CY27">
        <f>AA27</f>
        <v>64123.05</v>
      </c>
      <c r="CZ27">
        <f>AE27</f>
        <v>64123.05</v>
      </c>
      <c r="DA27">
        <f>AI27</f>
        <v>1</v>
      </c>
      <c r="DB27">
        <f>ROUND(((ROUND(AT27*CZ27,2)*1)*0),6)</f>
        <v>0</v>
      </c>
      <c r="DC27">
        <f>ROUND(((ROUND(AT27*AG27,2)*1)*0),6)</f>
        <v>0</v>
      </c>
      <c r="DD27" t="s">
        <v>3</v>
      </c>
      <c r="DE27" t="s">
        <v>3</v>
      </c>
      <c r="DF27">
        <f t="shared" si="23"/>
        <v>0</v>
      </c>
      <c r="DG27">
        <f t="shared" si="21"/>
        <v>0</v>
      </c>
      <c r="DH27">
        <f t="shared" si="5"/>
        <v>0</v>
      </c>
      <c r="DI27">
        <f t="shared" si="6"/>
        <v>0</v>
      </c>
      <c r="DJ27">
        <f>DF27</f>
        <v>0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ROW(Source!A34)</f>
        <v>34</v>
      </c>
      <c r="B28">
        <v>57248835</v>
      </c>
      <c r="C28">
        <v>57249607</v>
      </c>
      <c r="D28">
        <v>54747383</v>
      </c>
      <c r="E28">
        <v>1</v>
      </c>
      <c r="F28">
        <v>1</v>
      </c>
      <c r="G28">
        <v>1081</v>
      </c>
      <c r="H28">
        <v>3</v>
      </c>
      <c r="I28" t="s">
        <v>491</v>
      </c>
      <c r="J28" t="s">
        <v>492</v>
      </c>
      <c r="K28" t="s">
        <v>493</v>
      </c>
      <c r="L28">
        <v>1354</v>
      </c>
      <c r="N28">
        <v>1010</v>
      </c>
      <c r="O28" t="s">
        <v>228</v>
      </c>
      <c r="P28" t="s">
        <v>228</v>
      </c>
      <c r="Q28">
        <v>1</v>
      </c>
      <c r="W28">
        <v>0</v>
      </c>
      <c r="X28">
        <v>-32785108</v>
      </c>
      <c r="Y28">
        <f>((AT28*1)*0)</f>
        <v>0</v>
      </c>
      <c r="AA28">
        <v>15.25</v>
      </c>
      <c r="AB28">
        <v>0</v>
      </c>
      <c r="AC28">
        <v>0</v>
      </c>
      <c r="AD28">
        <v>0</v>
      </c>
      <c r="AE28">
        <v>15.25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0.1</v>
      </c>
      <c r="AU28" t="s">
        <v>31</v>
      </c>
      <c r="AV28">
        <v>0</v>
      </c>
      <c r="AW28">
        <v>2</v>
      </c>
      <c r="AX28">
        <v>57249619</v>
      </c>
      <c r="AY28">
        <v>1</v>
      </c>
      <c r="AZ28">
        <v>0</v>
      </c>
      <c r="BA28">
        <v>38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ROUND(Y28*Source!I34,9)</f>
        <v>0</v>
      </c>
      <c r="CY28">
        <f>AA28</f>
        <v>15.25</v>
      </c>
      <c r="CZ28">
        <f>AE28</f>
        <v>15.25</v>
      </c>
      <c r="DA28">
        <f>AI28</f>
        <v>1</v>
      </c>
      <c r="DB28">
        <f>ROUND(((ROUND(AT28*CZ28,2)*1)*0),6)</f>
        <v>0</v>
      </c>
      <c r="DC28">
        <f>ROUND(((ROUND(AT28*AG28,2)*1)*0),6)</f>
        <v>0</v>
      </c>
      <c r="DD28" t="s">
        <v>3</v>
      </c>
      <c r="DE28" t="s">
        <v>3</v>
      </c>
      <c r="DF28">
        <f t="shared" si="23"/>
        <v>0</v>
      </c>
      <c r="DG28">
        <f t="shared" si="21"/>
        <v>0</v>
      </c>
      <c r="DH28">
        <f t="shared" si="5"/>
        <v>0</v>
      </c>
      <c r="DI28">
        <f t="shared" si="6"/>
        <v>0</v>
      </c>
      <c r="DJ28">
        <f>DF28</f>
        <v>0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ROW(Source!A35)</f>
        <v>35</v>
      </c>
      <c r="B29">
        <v>57248837</v>
      </c>
      <c r="C29">
        <v>57249607</v>
      </c>
      <c r="D29">
        <v>54702434</v>
      </c>
      <c r="E29">
        <v>1081</v>
      </c>
      <c r="F29">
        <v>1</v>
      </c>
      <c r="G29">
        <v>1081</v>
      </c>
      <c r="H29">
        <v>1</v>
      </c>
      <c r="I29" t="s">
        <v>457</v>
      </c>
      <c r="J29" t="s">
        <v>3</v>
      </c>
      <c r="K29" t="s">
        <v>458</v>
      </c>
      <c r="L29">
        <v>1191</v>
      </c>
      <c r="N29">
        <v>1013</v>
      </c>
      <c r="O29" t="s">
        <v>459</v>
      </c>
      <c r="P29" t="s">
        <v>459</v>
      </c>
      <c r="Q29">
        <v>1</v>
      </c>
      <c r="W29">
        <v>0</v>
      </c>
      <c r="X29">
        <v>476480486</v>
      </c>
      <c r="Y29">
        <f>((AT29*1.2)*0.3)</f>
        <v>0.48960000000000004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5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1.36</v>
      </c>
      <c r="AU29" t="s">
        <v>32</v>
      </c>
      <c r="AV29">
        <v>1</v>
      </c>
      <c r="AW29">
        <v>2</v>
      </c>
      <c r="AX29">
        <v>57249614</v>
      </c>
      <c r="AY29">
        <v>1</v>
      </c>
      <c r="AZ29">
        <v>0</v>
      </c>
      <c r="BA29">
        <v>40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U29">
        <f>ROUND(AT29*Source!I35*AH29*AL29,2)</f>
        <v>0</v>
      </c>
      <c r="CV29">
        <f>ROUND(Y29*Source!I35,9)</f>
        <v>7.8335999999999997</v>
      </c>
      <c r="CW29">
        <v>0</v>
      </c>
      <c r="CX29">
        <f>ROUND(Y29*Source!I35,9)</f>
        <v>7.8335999999999997</v>
      </c>
      <c r="CY29">
        <f>AD29</f>
        <v>0</v>
      </c>
      <c r="CZ29">
        <f>AH29</f>
        <v>0</v>
      </c>
      <c r="DA29">
        <f>AL29</f>
        <v>1</v>
      </c>
      <c r="DB29">
        <f>ROUND(((ROUND(AT29*CZ29,2)*1.2)*0.3),6)</f>
        <v>0</v>
      </c>
      <c r="DC29">
        <f>ROUND(((ROUND(AT29*AG29,2)*1.2)*0.3),6)</f>
        <v>0</v>
      </c>
      <c r="DD29" t="s">
        <v>3</v>
      </c>
      <c r="DE29" t="s">
        <v>3</v>
      </c>
      <c r="DF29">
        <f t="shared" si="23"/>
        <v>0</v>
      </c>
      <c r="DG29">
        <f t="shared" si="21"/>
        <v>0</v>
      </c>
      <c r="DH29">
        <f t="shared" si="5"/>
        <v>0</v>
      </c>
      <c r="DI29">
        <f t="shared" si="6"/>
        <v>0</v>
      </c>
      <c r="DJ29">
        <f>DI29</f>
        <v>0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ROW(Source!A35)</f>
        <v>35</v>
      </c>
      <c r="B30">
        <v>57248837</v>
      </c>
      <c r="C30">
        <v>57249607</v>
      </c>
      <c r="D30">
        <v>54768460</v>
      </c>
      <c r="E30">
        <v>1</v>
      </c>
      <c r="F30">
        <v>1</v>
      </c>
      <c r="G30">
        <v>1081</v>
      </c>
      <c r="H30">
        <v>2</v>
      </c>
      <c r="I30" t="s">
        <v>460</v>
      </c>
      <c r="J30" t="s">
        <v>461</v>
      </c>
      <c r="K30" t="s">
        <v>462</v>
      </c>
      <c r="L30">
        <v>1368</v>
      </c>
      <c r="N30">
        <v>1011</v>
      </c>
      <c r="O30" t="s">
        <v>463</v>
      </c>
      <c r="P30" t="s">
        <v>463</v>
      </c>
      <c r="Q30">
        <v>1</v>
      </c>
      <c r="W30">
        <v>0</v>
      </c>
      <c r="X30">
        <v>-2083101341</v>
      </c>
      <c r="Y30">
        <f>((AT30*1.2)*0.3)</f>
        <v>6.1200000000000004E-3</v>
      </c>
      <c r="AA30">
        <v>0</v>
      </c>
      <c r="AB30">
        <v>7.92</v>
      </c>
      <c r="AC30">
        <v>0</v>
      </c>
      <c r="AD30">
        <v>0</v>
      </c>
      <c r="AE30">
        <v>0</v>
      </c>
      <c r="AF30">
        <v>0.8</v>
      </c>
      <c r="AG30">
        <v>0</v>
      </c>
      <c r="AH30">
        <v>0</v>
      </c>
      <c r="AI30">
        <v>1</v>
      </c>
      <c r="AJ30">
        <v>9.4600000000000009</v>
      </c>
      <c r="AK30">
        <v>1</v>
      </c>
      <c r="AL30">
        <v>1</v>
      </c>
      <c r="AM30">
        <v>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1.7000000000000001E-2</v>
      </c>
      <c r="AU30" t="s">
        <v>32</v>
      </c>
      <c r="AV30">
        <v>0</v>
      </c>
      <c r="AW30">
        <v>2</v>
      </c>
      <c r="AX30">
        <v>57249615</v>
      </c>
      <c r="AY30">
        <v>1</v>
      </c>
      <c r="AZ30">
        <v>0</v>
      </c>
      <c r="BA30">
        <v>41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f>ROUND(Y30*Source!I35*DO30,9)</f>
        <v>0</v>
      </c>
      <c r="CX30">
        <f>ROUND(Y30*Source!I35,9)</f>
        <v>9.7919999999999993E-2</v>
      </c>
      <c r="CY30">
        <f>AB30</f>
        <v>7.92</v>
      </c>
      <c r="CZ30">
        <f>AF30</f>
        <v>0.8</v>
      </c>
      <c r="DA30">
        <f>AJ30</f>
        <v>9.4600000000000009</v>
      </c>
      <c r="DB30">
        <f>ROUND(((ROUND(AT30*CZ30,2)*1.2)*0.3),6)</f>
        <v>3.5999999999999999E-3</v>
      </c>
      <c r="DC30">
        <f>ROUND(((ROUND(AT30*AG30,2)*1.2)*0.3),6)</f>
        <v>0</v>
      </c>
      <c r="DD30" t="s">
        <v>3</v>
      </c>
      <c r="DE30" t="s">
        <v>3</v>
      </c>
      <c r="DF30">
        <f t="shared" si="23"/>
        <v>0</v>
      </c>
      <c r="DG30">
        <f>ROUND(ROUND(AF30*AJ30,2)*CX30,2)</f>
        <v>0.74</v>
      </c>
      <c r="DH30">
        <f t="shared" si="5"/>
        <v>0</v>
      </c>
      <c r="DI30">
        <f t="shared" si="6"/>
        <v>0</v>
      </c>
      <c r="DJ30">
        <f>DG30</f>
        <v>0.74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ROW(Source!A35)</f>
        <v>35</v>
      </c>
      <c r="B31">
        <v>57248837</v>
      </c>
      <c r="C31">
        <v>57249607</v>
      </c>
      <c r="D31">
        <v>54768426</v>
      </c>
      <c r="E31">
        <v>1</v>
      </c>
      <c r="F31">
        <v>1</v>
      </c>
      <c r="G31">
        <v>1081</v>
      </c>
      <c r="H31">
        <v>2</v>
      </c>
      <c r="I31" t="s">
        <v>485</v>
      </c>
      <c r="J31" t="s">
        <v>486</v>
      </c>
      <c r="K31" t="s">
        <v>487</v>
      </c>
      <c r="L31">
        <v>1368</v>
      </c>
      <c r="N31">
        <v>1011</v>
      </c>
      <c r="O31" t="s">
        <v>463</v>
      </c>
      <c r="P31" t="s">
        <v>463</v>
      </c>
      <c r="Q31">
        <v>1</v>
      </c>
      <c r="W31">
        <v>0</v>
      </c>
      <c r="X31">
        <v>-643591644</v>
      </c>
      <c r="Y31">
        <f>((AT31*1.2)*0.3)</f>
        <v>7.1999999999999998E-3</v>
      </c>
      <c r="AA31">
        <v>0</v>
      </c>
      <c r="AB31">
        <v>4.75</v>
      </c>
      <c r="AC31">
        <v>0</v>
      </c>
      <c r="AD31">
        <v>0</v>
      </c>
      <c r="AE31">
        <v>0</v>
      </c>
      <c r="AF31">
        <v>0.47</v>
      </c>
      <c r="AG31">
        <v>0</v>
      </c>
      <c r="AH31">
        <v>0</v>
      </c>
      <c r="AI31">
        <v>1</v>
      </c>
      <c r="AJ31">
        <v>9.66</v>
      </c>
      <c r="AK31">
        <v>1</v>
      </c>
      <c r="AL31">
        <v>1</v>
      </c>
      <c r="AM31">
        <v>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0.02</v>
      </c>
      <c r="AU31" t="s">
        <v>32</v>
      </c>
      <c r="AV31">
        <v>0</v>
      </c>
      <c r="AW31">
        <v>2</v>
      </c>
      <c r="AX31">
        <v>57249616</v>
      </c>
      <c r="AY31">
        <v>1</v>
      </c>
      <c r="AZ31">
        <v>0</v>
      </c>
      <c r="BA31">
        <v>42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V31">
        <v>0</v>
      </c>
      <c r="CW31">
        <f>ROUND(Y31*Source!I35*DO31,9)</f>
        <v>0</v>
      </c>
      <c r="CX31">
        <f>ROUND(Y31*Source!I35,9)</f>
        <v>0.1152</v>
      </c>
      <c r="CY31">
        <f>AB31</f>
        <v>4.75</v>
      </c>
      <c r="CZ31">
        <f>AF31</f>
        <v>0.47</v>
      </c>
      <c r="DA31">
        <f>AJ31</f>
        <v>9.66</v>
      </c>
      <c r="DB31">
        <f>ROUND(((ROUND(AT31*CZ31,2)*1.2)*0.3),6)</f>
        <v>3.5999999999999999E-3</v>
      </c>
      <c r="DC31">
        <f>ROUND(((ROUND(AT31*AG31,2)*1.2)*0.3),6)</f>
        <v>0</v>
      </c>
      <c r="DD31" t="s">
        <v>3</v>
      </c>
      <c r="DE31" t="s">
        <v>3</v>
      </c>
      <c r="DF31">
        <f t="shared" si="23"/>
        <v>0</v>
      </c>
      <c r="DG31">
        <f>ROUND(ROUND(AF31*AJ31,2)*CX31,2)</f>
        <v>0.52</v>
      </c>
      <c r="DH31">
        <f t="shared" si="5"/>
        <v>0</v>
      </c>
      <c r="DI31">
        <f t="shared" si="6"/>
        <v>0</v>
      </c>
      <c r="DJ31">
        <f>DG31</f>
        <v>0.52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ROW(Source!A35)</f>
        <v>35</v>
      </c>
      <c r="B32">
        <v>57248837</v>
      </c>
      <c r="C32">
        <v>57249607</v>
      </c>
      <c r="D32">
        <v>54739204</v>
      </c>
      <c r="E32">
        <v>1</v>
      </c>
      <c r="F32">
        <v>1</v>
      </c>
      <c r="G32">
        <v>1081</v>
      </c>
      <c r="H32">
        <v>3</v>
      </c>
      <c r="I32" t="s">
        <v>488</v>
      </c>
      <c r="J32" t="s">
        <v>489</v>
      </c>
      <c r="K32" t="s">
        <v>490</v>
      </c>
      <c r="L32">
        <v>1346</v>
      </c>
      <c r="N32">
        <v>1009</v>
      </c>
      <c r="O32" t="s">
        <v>320</v>
      </c>
      <c r="P32" t="s">
        <v>320</v>
      </c>
      <c r="Q32">
        <v>1</v>
      </c>
      <c r="W32">
        <v>0</v>
      </c>
      <c r="X32">
        <v>-861631226</v>
      </c>
      <c r="Y32">
        <f>((AT32*1)*0)</f>
        <v>0</v>
      </c>
      <c r="AA32">
        <v>163.51</v>
      </c>
      <c r="AB32">
        <v>0</v>
      </c>
      <c r="AC32">
        <v>0</v>
      </c>
      <c r="AD32">
        <v>0</v>
      </c>
      <c r="AE32">
        <v>27.62</v>
      </c>
      <c r="AF32">
        <v>0</v>
      </c>
      <c r="AG32">
        <v>0</v>
      </c>
      <c r="AH32">
        <v>0</v>
      </c>
      <c r="AI32">
        <v>5.92</v>
      </c>
      <c r="AJ32">
        <v>1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6.2700000000000004E-3</v>
      </c>
      <c r="AU32" t="s">
        <v>31</v>
      </c>
      <c r="AV32">
        <v>0</v>
      </c>
      <c r="AW32">
        <v>2</v>
      </c>
      <c r="AX32">
        <v>57249617</v>
      </c>
      <c r="AY32">
        <v>1</v>
      </c>
      <c r="AZ32">
        <v>0</v>
      </c>
      <c r="BA32">
        <v>43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v>0</v>
      </c>
      <c r="CX32">
        <f>ROUND(Y32*Source!I35,9)</f>
        <v>0</v>
      </c>
      <c r="CY32">
        <f>AA32</f>
        <v>163.51</v>
      </c>
      <c r="CZ32">
        <f>AE32</f>
        <v>27.62</v>
      </c>
      <c r="DA32">
        <f>AI32</f>
        <v>5.92</v>
      </c>
      <c r="DB32">
        <f>ROUND(((ROUND(AT32*CZ32,2)*1)*0),6)</f>
        <v>0</v>
      </c>
      <c r="DC32">
        <f>ROUND(((ROUND(AT32*AG32,2)*1)*0),6)</f>
        <v>0</v>
      </c>
      <c r="DD32" t="s">
        <v>3</v>
      </c>
      <c r="DE32" t="s">
        <v>3</v>
      </c>
      <c r="DF32">
        <f>ROUND(ROUND(AE32*AI32,2)*CX32,2)</f>
        <v>0</v>
      </c>
      <c r="DG32">
        <f t="shared" ref="DG32:DG51" si="24">ROUND(ROUND(AF32,2)*CX32,2)</f>
        <v>0</v>
      </c>
      <c r="DH32">
        <f t="shared" si="5"/>
        <v>0</v>
      </c>
      <c r="DI32">
        <f t="shared" si="6"/>
        <v>0</v>
      </c>
      <c r="DJ32">
        <f>DF32</f>
        <v>0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ROW(Source!A35)</f>
        <v>35</v>
      </c>
      <c r="B33">
        <v>57248837</v>
      </c>
      <c r="C33">
        <v>57249607</v>
      </c>
      <c r="D33">
        <v>54737923</v>
      </c>
      <c r="E33">
        <v>1</v>
      </c>
      <c r="F33">
        <v>1</v>
      </c>
      <c r="G33">
        <v>1081</v>
      </c>
      <c r="H33">
        <v>3</v>
      </c>
      <c r="I33" t="s">
        <v>479</v>
      </c>
      <c r="J33" t="s">
        <v>480</v>
      </c>
      <c r="K33" t="s">
        <v>481</v>
      </c>
      <c r="L33">
        <v>1348</v>
      </c>
      <c r="N33">
        <v>1009</v>
      </c>
      <c r="O33" t="s">
        <v>298</v>
      </c>
      <c r="P33" t="s">
        <v>298</v>
      </c>
      <c r="Q33">
        <v>1000</v>
      </c>
      <c r="W33">
        <v>0</v>
      </c>
      <c r="X33">
        <v>-761454284</v>
      </c>
      <c r="Y33">
        <f>((AT33*1)*0)</f>
        <v>0</v>
      </c>
      <c r="AA33">
        <v>1930745.04</v>
      </c>
      <c r="AB33">
        <v>0</v>
      </c>
      <c r="AC33">
        <v>0</v>
      </c>
      <c r="AD33">
        <v>0</v>
      </c>
      <c r="AE33">
        <v>64123.05</v>
      </c>
      <c r="AF33">
        <v>0</v>
      </c>
      <c r="AG33">
        <v>0</v>
      </c>
      <c r="AH33">
        <v>0</v>
      </c>
      <c r="AI33">
        <v>30.11</v>
      </c>
      <c r="AJ33">
        <v>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1.0000000000000001E-5</v>
      </c>
      <c r="AU33" t="s">
        <v>31</v>
      </c>
      <c r="AV33">
        <v>0</v>
      </c>
      <c r="AW33">
        <v>2</v>
      </c>
      <c r="AX33">
        <v>57249618</v>
      </c>
      <c r="AY33">
        <v>1</v>
      </c>
      <c r="AZ33">
        <v>0</v>
      </c>
      <c r="BA33">
        <v>44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ROUND(Y33*Source!I35,9)</f>
        <v>0</v>
      </c>
      <c r="CY33">
        <f>AA33</f>
        <v>1930745.04</v>
      </c>
      <c r="CZ33">
        <f>AE33</f>
        <v>64123.05</v>
      </c>
      <c r="DA33">
        <f>AI33</f>
        <v>30.11</v>
      </c>
      <c r="DB33">
        <f>ROUND(((ROUND(AT33*CZ33,2)*1)*0),6)</f>
        <v>0</v>
      </c>
      <c r="DC33">
        <f>ROUND(((ROUND(AT33*AG33,2)*1)*0),6)</f>
        <v>0</v>
      </c>
      <c r="DD33" t="s">
        <v>3</v>
      </c>
      <c r="DE33" t="s">
        <v>3</v>
      </c>
      <c r="DF33">
        <f>ROUND(ROUND(AE33*AI33,2)*CX33,2)</f>
        <v>0</v>
      </c>
      <c r="DG33">
        <f t="shared" si="24"/>
        <v>0</v>
      </c>
      <c r="DH33">
        <f t="shared" ref="DH33:DH51" si="25">ROUND(ROUND(AG33,2)*CX33,2)</f>
        <v>0</v>
      </c>
      <c r="DI33">
        <f t="shared" si="6"/>
        <v>0</v>
      </c>
      <c r="DJ33">
        <f>DF33</f>
        <v>0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ROW(Source!A35)</f>
        <v>35</v>
      </c>
      <c r="B34">
        <v>57248837</v>
      </c>
      <c r="C34">
        <v>57249607</v>
      </c>
      <c r="D34">
        <v>54747383</v>
      </c>
      <c r="E34">
        <v>1</v>
      </c>
      <c r="F34">
        <v>1</v>
      </c>
      <c r="G34">
        <v>1081</v>
      </c>
      <c r="H34">
        <v>3</v>
      </c>
      <c r="I34" t="s">
        <v>491</v>
      </c>
      <c r="J34" t="s">
        <v>492</v>
      </c>
      <c r="K34" t="s">
        <v>493</v>
      </c>
      <c r="L34">
        <v>1354</v>
      </c>
      <c r="N34">
        <v>1010</v>
      </c>
      <c r="O34" t="s">
        <v>228</v>
      </c>
      <c r="P34" t="s">
        <v>228</v>
      </c>
      <c r="Q34">
        <v>1</v>
      </c>
      <c r="W34">
        <v>0</v>
      </c>
      <c r="X34">
        <v>-32785108</v>
      </c>
      <c r="Y34">
        <f>((AT34*1)*0)</f>
        <v>0</v>
      </c>
      <c r="AA34">
        <v>36.14</v>
      </c>
      <c r="AB34">
        <v>0</v>
      </c>
      <c r="AC34">
        <v>0</v>
      </c>
      <c r="AD34">
        <v>0</v>
      </c>
      <c r="AE34">
        <v>15.25</v>
      </c>
      <c r="AF34">
        <v>0</v>
      </c>
      <c r="AG34">
        <v>0</v>
      </c>
      <c r="AH34">
        <v>0</v>
      </c>
      <c r="AI34">
        <v>2.37</v>
      </c>
      <c r="AJ34">
        <v>1</v>
      </c>
      <c r="AK34">
        <v>1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0.1</v>
      </c>
      <c r="AU34" t="s">
        <v>31</v>
      </c>
      <c r="AV34">
        <v>0</v>
      </c>
      <c r="AW34">
        <v>2</v>
      </c>
      <c r="AX34">
        <v>57249619</v>
      </c>
      <c r="AY34">
        <v>1</v>
      </c>
      <c r="AZ34">
        <v>0</v>
      </c>
      <c r="BA34">
        <v>45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ROUND(Y34*Source!I35,9)</f>
        <v>0</v>
      </c>
      <c r="CY34">
        <f>AA34</f>
        <v>36.14</v>
      </c>
      <c r="CZ34">
        <f>AE34</f>
        <v>15.25</v>
      </c>
      <c r="DA34">
        <f>AI34</f>
        <v>2.37</v>
      </c>
      <c r="DB34">
        <f>ROUND(((ROUND(AT34*CZ34,2)*1)*0),6)</f>
        <v>0</v>
      </c>
      <c r="DC34">
        <f>ROUND(((ROUND(AT34*AG34,2)*1)*0),6)</f>
        <v>0</v>
      </c>
      <c r="DD34" t="s">
        <v>3</v>
      </c>
      <c r="DE34" t="s">
        <v>3</v>
      </c>
      <c r="DF34">
        <f>ROUND(ROUND(AE34*AI34,2)*CX34,2)</f>
        <v>0</v>
      </c>
      <c r="DG34">
        <f t="shared" si="24"/>
        <v>0</v>
      </c>
      <c r="DH34">
        <f t="shared" si="25"/>
        <v>0</v>
      </c>
      <c r="DI34">
        <f t="shared" si="6"/>
        <v>0</v>
      </c>
      <c r="DJ34">
        <f>DF34</f>
        <v>0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ROW(Source!A36)</f>
        <v>36</v>
      </c>
      <c r="B35">
        <v>57248835</v>
      </c>
      <c r="C35">
        <v>57249621</v>
      </c>
      <c r="D35">
        <v>54702434</v>
      </c>
      <c r="E35">
        <v>1081</v>
      </c>
      <c r="F35">
        <v>1</v>
      </c>
      <c r="G35">
        <v>1081</v>
      </c>
      <c r="H35">
        <v>1</v>
      </c>
      <c r="I35" t="s">
        <v>457</v>
      </c>
      <c r="J35" t="s">
        <v>3</v>
      </c>
      <c r="K35" t="s">
        <v>458</v>
      </c>
      <c r="L35">
        <v>1191</v>
      </c>
      <c r="N35">
        <v>1013</v>
      </c>
      <c r="O35" t="s">
        <v>459</v>
      </c>
      <c r="P35" t="s">
        <v>459</v>
      </c>
      <c r="Q35">
        <v>1</v>
      </c>
      <c r="W35">
        <v>0</v>
      </c>
      <c r="X35">
        <v>476480486</v>
      </c>
      <c r="Y35">
        <f>((AT35*1.2)*0.3)</f>
        <v>0.6048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1.68</v>
      </c>
      <c r="AU35" t="s">
        <v>32</v>
      </c>
      <c r="AV35">
        <v>1</v>
      </c>
      <c r="AW35">
        <v>2</v>
      </c>
      <c r="AX35">
        <v>57249623</v>
      </c>
      <c r="AY35">
        <v>1</v>
      </c>
      <c r="AZ35">
        <v>0</v>
      </c>
      <c r="BA35">
        <v>47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U35">
        <f>ROUND(AT35*Source!I36*AH35*AL35,2)</f>
        <v>0</v>
      </c>
      <c r="CV35">
        <f>ROUND(Y35*Source!I36,9)</f>
        <v>4.8384</v>
      </c>
      <c r="CW35">
        <v>0</v>
      </c>
      <c r="CX35">
        <f>ROUND(Y35*Source!I36,9)</f>
        <v>4.8384</v>
      </c>
      <c r="CY35">
        <f>AD35</f>
        <v>0</v>
      </c>
      <c r="CZ35">
        <f>AH35</f>
        <v>0</v>
      </c>
      <c r="DA35">
        <f>AL35</f>
        <v>1</v>
      </c>
      <c r="DB35">
        <f>ROUND(((ROUND(AT35*CZ35,2)*1.2)*0.3),6)</f>
        <v>0</v>
      </c>
      <c r="DC35">
        <f>ROUND(((ROUND(AT35*AG35,2)*1.2)*0.3),6)</f>
        <v>0</v>
      </c>
      <c r="DD35" t="s">
        <v>3</v>
      </c>
      <c r="DE35" t="s">
        <v>3</v>
      </c>
      <c r="DF35">
        <f t="shared" ref="DF35:DF40" si="26">ROUND(ROUND(AE35,2)*CX35,2)</f>
        <v>0</v>
      </c>
      <c r="DG35">
        <f t="shared" si="24"/>
        <v>0</v>
      </c>
      <c r="DH35">
        <f t="shared" si="25"/>
        <v>0</v>
      </c>
      <c r="DI35">
        <f t="shared" si="6"/>
        <v>0</v>
      </c>
      <c r="DJ35">
        <f>DI35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ROW(Source!A37)</f>
        <v>37</v>
      </c>
      <c r="B36">
        <v>57248837</v>
      </c>
      <c r="C36">
        <v>57249621</v>
      </c>
      <c r="D36">
        <v>54702434</v>
      </c>
      <c r="E36">
        <v>1081</v>
      </c>
      <c r="F36">
        <v>1</v>
      </c>
      <c r="G36">
        <v>1081</v>
      </c>
      <c r="H36">
        <v>1</v>
      </c>
      <c r="I36" t="s">
        <v>457</v>
      </c>
      <c r="J36" t="s">
        <v>3</v>
      </c>
      <c r="K36" t="s">
        <v>458</v>
      </c>
      <c r="L36">
        <v>1191</v>
      </c>
      <c r="N36">
        <v>1013</v>
      </c>
      <c r="O36" t="s">
        <v>459</v>
      </c>
      <c r="P36" t="s">
        <v>459</v>
      </c>
      <c r="Q36">
        <v>1</v>
      </c>
      <c r="W36">
        <v>0</v>
      </c>
      <c r="X36">
        <v>476480486</v>
      </c>
      <c r="Y36">
        <f>((AT36*1.2)*0.3)</f>
        <v>0.6048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1.68</v>
      </c>
      <c r="AU36" t="s">
        <v>32</v>
      </c>
      <c r="AV36">
        <v>1</v>
      </c>
      <c r="AW36">
        <v>2</v>
      </c>
      <c r="AX36">
        <v>57249623</v>
      </c>
      <c r="AY36">
        <v>1</v>
      </c>
      <c r="AZ36">
        <v>0</v>
      </c>
      <c r="BA36">
        <v>48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ROUND(AT36*Source!I37*AH36*AL36,2)</f>
        <v>0</v>
      </c>
      <c r="CV36">
        <f>ROUND(Y36*Source!I37,9)</f>
        <v>4.8384</v>
      </c>
      <c r="CW36">
        <v>0</v>
      </c>
      <c r="CX36">
        <f>ROUND(Y36*Source!I37,9)</f>
        <v>4.8384</v>
      </c>
      <c r="CY36">
        <f>AD36</f>
        <v>0</v>
      </c>
      <c r="CZ36">
        <f>AH36</f>
        <v>0</v>
      </c>
      <c r="DA36">
        <f>AL36</f>
        <v>1</v>
      </c>
      <c r="DB36">
        <f>ROUND(((ROUND(AT36*CZ36,2)*1.2)*0.3),6)</f>
        <v>0</v>
      </c>
      <c r="DC36">
        <f>ROUND(((ROUND(AT36*AG36,2)*1.2)*0.3),6)</f>
        <v>0</v>
      </c>
      <c r="DD36" t="s">
        <v>3</v>
      </c>
      <c r="DE36" t="s">
        <v>3</v>
      </c>
      <c r="DF36">
        <f t="shared" si="26"/>
        <v>0</v>
      </c>
      <c r="DG36">
        <f t="shared" si="24"/>
        <v>0</v>
      </c>
      <c r="DH36">
        <f t="shared" si="25"/>
        <v>0</v>
      </c>
      <c r="DI36">
        <f t="shared" si="6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ROW(Source!A38)</f>
        <v>38</v>
      </c>
      <c r="B37">
        <v>57248835</v>
      </c>
      <c r="C37">
        <v>57249624</v>
      </c>
      <c r="D37">
        <v>54702434</v>
      </c>
      <c r="E37">
        <v>1081</v>
      </c>
      <c r="F37">
        <v>1</v>
      </c>
      <c r="G37">
        <v>1081</v>
      </c>
      <c r="H37">
        <v>1</v>
      </c>
      <c r="I37" t="s">
        <v>457</v>
      </c>
      <c r="J37" t="s">
        <v>3</v>
      </c>
      <c r="K37" t="s">
        <v>458</v>
      </c>
      <c r="L37">
        <v>1191</v>
      </c>
      <c r="N37">
        <v>1013</v>
      </c>
      <c r="O37" t="s">
        <v>459</v>
      </c>
      <c r="P37" t="s">
        <v>459</v>
      </c>
      <c r="Q37">
        <v>1</v>
      </c>
      <c r="W37">
        <v>0</v>
      </c>
      <c r="X37">
        <v>476480486</v>
      </c>
      <c r="Y37">
        <f>((AT37*1.2)*0.3)</f>
        <v>0.36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1</v>
      </c>
      <c r="AK37">
        <v>1</v>
      </c>
      <c r="AL37">
        <v>1</v>
      </c>
      <c r="AM37">
        <v>-2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1</v>
      </c>
      <c r="AU37" t="s">
        <v>32</v>
      </c>
      <c r="AV37">
        <v>1</v>
      </c>
      <c r="AW37">
        <v>2</v>
      </c>
      <c r="AX37">
        <v>57249628</v>
      </c>
      <c r="AY37">
        <v>1</v>
      </c>
      <c r="AZ37">
        <v>0</v>
      </c>
      <c r="BA37">
        <v>49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U37">
        <f>ROUND(AT37*Source!I38*AH37*AL37,2)</f>
        <v>0</v>
      </c>
      <c r="CV37">
        <f>ROUND(Y37*Source!I38,9)</f>
        <v>1.44</v>
      </c>
      <c r="CW37">
        <v>0</v>
      </c>
      <c r="CX37">
        <f>ROUND(Y37*Source!I38,9)</f>
        <v>1.44</v>
      </c>
      <c r="CY37">
        <f>AD37</f>
        <v>0</v>
      </c>
      <c r="CZ37">
        <f>AH37</f>
        <v>0</v>
      </c>
      <c r="DA37">
        <f>AL37</f>
        <v>1</v>
      </c>
      <c r="DB37">
        <f>ROUND(((ROUND(AT37*CZ37,2)*1.2)*0.3),6)</f>
        <v>0</v>
      </c>
      <c r="DC37">
        <f>ROUND(((ROUND(AT37*AG37,2)*1.2)*0.3),6)</f>
        <v>0</v>
      </c>
      <c r="DD37" t="s">
        <v>3</v>
      </c>
      <c r="DE37" t="s">
        <v>3</v>
      </c>
      <c r="DF37">
        <f t="shared" si="26"/>
        <v>0</v>
      </c>
      <c r="DG37">
        <f t="shared" si="24"/>
        <v>0</v>
      </c>
      <c r="DH37">
        <f t="shared" si="25"/>
        <v>0</v>
      </c>
      <c r="DI37">
        <f t="shared" si="6"/>
        <v>0</v>
      </c>
      <c r="DJ37">
        <f>DI37</f>
        <v>0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ROW(Source!A38)</f>
        <v>38</v>
      </c>
      <c r="B38">
        <v>57248835</v>
      </c>
      <c r="C38">
        <v>57249624</v>
      </c>
      <c r="D38">
        <v>54737923</v>
      </c>
      <c r="E38">
        <v>1</v>
      </c>
      <c r="F38">
        <v>1</v>
      </c>
      <c r="G38">
        <v>1081</v>
      </c>
      <c r="H38">
        <v>3</v>
      </c>
      <c r="I38" t="s">
        <v>479</v>
      </c>
      <c r="J38" t="s">
        <v>480</v>
      </c>
      <c r="K38" t="s">
        <v>481</v>
      </c>
      <c r="L38">
        <v>1348</v>
      </c>
      <c r="N38">
        <v>1009</v>
      </c>
      <c r="O38" t="s">
        <v>298</v>
      </c>
      <c r="P38" t="s">
        <v>298</v>
      </c>
      <c r="Q38">
        <v>1000</v>
      </c>
      <c r="W38">
        <v>0</v>
      </c>
      <c r="X38">
        <v>-761454284</v>
      </c>
      <c r="Y38">
        <f>((AT38*1)*0)</f>
        <v>0</v>
      </c>
      <c r="AA38">
        <v>64123.05</v>
      </c>
      <c r="AB38">
        <v>0</v>
      </c>
      <c r="AC38">
        <v>0</v>
      </c>
      <c r="AD38">
        <v>0</v>
      </c>
      <c r="AE38">
        <v>64123.05</v>
      </c>
      <c r="AF38">
        <v>0</v>
      </c>
      <c r="AG38">
        <v>0</v>
      </c>
      <c r="AH38">
        <v>0</v>
      </c>
      <c r="AI38">
        <v>1</v>
      </c>
      <c r="AJ38">
        <v>1</v>
      </c>
      <c r="AK38">
        <v>1</v>
      </c>
      <c r="AL38">
        <v>1</v>
      </c>
      <c r="AM38">
        <v>-2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1.0000000000000001E-5</v>
      </c>
      <c r="AU38" t="s">
        <v>31</v>
      </c>
      <c r="AV38">
        <v>0</v>
      </c>
      <c r="AW38">
        <v>2</v>
      </c>
      <c r="AX38">
        <v>57249629</v>
      </c>
      <c r="AY38">
        <v>1</v>
      </c>
      <c r="AZ38">
        <v>0</v>
      </c>
      <c r="BA38">
        <v>50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ROUND(Y38*Source!I38,9)</f>
        <v>0</v>
      </c>
      <c r="CY38">
        <f>AA38</f>
        <v>64123.05</v>
      </c>
      <c r="CZ38">
        <f>AE38</f>
        <v>64123.05</v>
      </c>
      <c r="DA38">
        <f>AI38</f>
        <v>1</v>
      </c>
      <c r="DB38">
        <f>ROUND(((ROUND(AT38*CZ38,2)*1)*0),6)</f>
        <v>0</v>
      </c>
      <c r="DC38">
        <f>ROUND(((ROUND(AT38*AG38,2)*1)*0),6)</f>
        <v>0</v>
      </c>
      <c r="DD38" t="s">
        <v>3</v>
      </c>
      <c r="DE38" t="s">
        <v>3</v>
      </c>
      <c r="DF38">
        <f t="shared" si="26"/>
        <v>0</v>
      </c>
      <c r="DG38">
        <f t="shared" si="24"/>
        <v>0</v>
      </c>
      <c r="DH38">
        <f t="shared" si="25"/>
        <v>0</v>
      </c>
      <c r="DI38">
        <f t="shared" si="6"/>
        <v>0</v>
      </c>
      <c r="DJ38">
        <f>DF38</f>
        <v>0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ROW(Source!A38)</f>
        <v>38</v>
      </c>
      <c r="B39">
        <v>57248835</v>
      </c>
      <c r="C39">
        <v>57249624</v>
      </c>
      <c r="D39">
        <v>54766072</v>
      </c>
      <c r="E39">
        <v>1</v>
      </c>
      <c r="F39">
        <v>1</v>
      </c>
      <c r="G39">
        <v>1081</v>
      </c>
      <c r="H39">
        <v>3</v>
      </c>
      <c r="I39" t="s">
        <v>494</v>
      </c>
      <c r="J39" t="s">
        <v>495</v>
      </c>
      <c r="K39" t="s">
        <v>496</v>
      </c>
      <c r="L39">
        <v>1303</v>
      </c>
      <c r="N39">
        <v>1003</v>
      </c>
      <c r="O39" t="s">
        <v>390</v>
      </c>
      <c r="P39" t="s">
        <v>390</v>
      </c>
      <c r="Q39">
        <v>1000</v>
      </c>
      <c r="W39">
        <v>0</v>
      </c>
      <c r="X39">
        <v>-1692873835</v>
      </c>
      <c r="Y39">
        <f>((AT39*1)*0)</f>
        <v>0</v>
      </c>
      <c r="AA39">
        <v>516.63</v>
      </c>
      <c r="AB39">
        <v>0</v>
      </c>
      <c r="AC39">
        <v>0</v>
      </c>
      <c r="AD39">
        <v>0</v>
      </c>
      <c r="AE39">
        <v>516.63</v>
      </c>
      <c r="AF39">
        <v>0</v>
      </c>
      <c r="AG39">
        <v>0</v>
      </c>
      <c r="AH39">
        <v>0</v>
      </c>
      <c r="AI39">
        <v>1</v>
      </c>
      <c r="AJ39">
        <v>1</v>
      </c>
      <c r="AK39">
        <v>1</v>
      </c>
      <c r="AL39">
        <v>1</v>
      </c>
      <c r="AM39">
        <v>-2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2E-3</v>
      </c>
      <c r="AU39" t="s">
        <v>31</v>
      </c>
      <c r="AV39">
        <v>0</v>
      </c>
      <c r="AW39">
        <v>2</v>
      </c>
      <c r="AX39">
        <v>57249630</v>
      </c>
      <c r="AY39">
        <v>1</v>
      </c>
      <c r="AZ39">
        <v>0</v>
      </c>
      <c r="BA39">
        <v>51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ROUND(Y39*Source!I38,9)</f>
        <v>0</v>
      </c>
      <c r="CY39">
        <f>AA39</f>
        <v>516.63</v>
      </c>
      <c r="CZ39">
        <f>AE39</f>
        <v>516.63</v>
      </c>
      <c r="DA39">
        <f>AI39</f>
        <v>1</v>
      </c>
      <c r="DB39">
        <f>ROUND(((ROUND(AT39*CZ39,2)*1)*0),6)</f>
        <v>0</v>
      </c>
      <c r="DC39">
        <f>ROUND(((ROUND(AT39*AG39,2)*1)*0),6)</f>
        <v>0</v>
      </c>
      <c r="DD39" t="s">
        <v>3</v>
      </c>
      <c r="DE39" t="s">
        <v>3</v>
      </c>
      <c r="DF39">
        <f t="shared" si="26"/>
        <v>0</v>
      </c>
      <c r="DG39">
        <f t="shared" si="24"/>
        <v>0</v>
      </c>
      <c r="DH39">
        <f t="shared" si="25"/>
        <v>0</v>
      </c>
      <c r="DI39">
        <f t="shared" si="6"/>
        <v>0</v>
      </c>
      <c r="DJ39">
        <f>DF39</f>
        <v>0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ROW(Source!A39)</f>
        <v>39</v>
      </c>
      <c r="B40">
        <v>57248837</v>
      </c>
      <c r="C40">
        <v>57249624</v>
      </c>
      <c r="D40">
        <v>54702434</v>
      </c>
      <c r="E40">
        <v>1081</v>
      </c>
      <c r="F40">
        <v>1</v>
      </c>
      <c r="G40">
        <v>1081</v>
      </c>
      <c r="H40">
        <v>1</v>
      </c>
      <c r="I40" t="s">
        <v>457</v>
      </c>
      <c r="J40" t="s">
        <v>3</v>
      </c>
      <c r="K40" t="s">
        <v>458</v>
      </c>
      <c r="L40">
        <v>1191</v>
      </c>
      <c r="N40">
        <v>1013</v>
      </c>
      <c r="O40" t="s">
        <v>459</v>
      </c>
      <c r="P40" t="s">
        <v>459</v>
      </c>
      <c r="Q40">
        <v>1</v>
      </c>
      <c r="W40">
        <v>0</v>
      </c>
      <c r="X40">
        <v>476480486</v>
      </c>
      <c r="Y40">
        <f>((AT40*1.2)*0.3)</f>
        <v>0.36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32</v>
      </c>
      <c r="AV40">
        <v>1</v>
      </c>
      <c r="AW40">
        <v>2</v>
      </c>
      <c r="AX40">
        <v>57249628</v>
      </c>
      <c r="AY40">
        <v>1</v>
      </c>
      <c r="AZ40">
        <v>0</v>
      </c>
      <c r="BA40">
        <v>53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U40">
        <f>ROUND(AT40*Source!I39*AH40*AL40,2)</f>
        <v>0</v>
      </c>
      <c r="CV40">
        <f>ROUND(Y40*Source!I39,9)</f>
        <v>1.44</v>
      </c>
      <c r="CW40">
        <v>0</v>
      </c>
      <c r="CX40">
        <f>ROUND(Y40*Source!I39,9)</f>
        <v>1.44</v>
      </c>
      <c r="CY40">
        <f>AD40</f>
        <v>0</v>
      </c>
      <c r="CZ40">
        <f>AH40</f>
        <v>0</v>
      </c>
      <c r="DA40">
        <f>AL40</f>
        <v>1</v>
      </c>
      <c r="DB40">
        <f>ROUND(((ROUND(AT40*CZ40,2)*1.2)*0.3),6)</f>
        <v>0</v>
      </c>
      <c r="DC40">
        <f>ROUND(((ROUND(AT40*AG40,2)*1.2)*0.3),6)</f>
        <v>0</v>
      </c>
      <c r="DD40" t="s">
        <v>3</v>
      </c>
      <c r="DE40" t="s">
        <v>3</v>
      </c>
      <c r="DF40">
        <f t="shared" si="26"/>
        <v>0</v>
      </c>
      <c r="DG40">
        <f t="shared" si="24"/>
        <v>0</v>
      </c>
      <c r="DH40">
        <f t="shared" si="25"/>
        <v>0</v>
      </c>
      <c r="DI40">
        <f t="shared" si="6"/>
        <v>0</v>
      </c>
      <c r="DJ40">
        <f>DI40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ROW(Source!A39)</f>
        <v>39</v>
      </c>
      <c r="B41">
        <v>57248837</v>
      </c>
      <c r="C41">
        <v>57249624</v>
      </c>
      <c r="D41">
        <v>54737923</v>
      </c>
      <c r="E41">
        <v>1</v>
      </c>
      <c r="F41">
        <v>1</v>
      </c>
      <c r="G41">
        <v>1081</v>
      </c>
      <c r="H41">
        <v>3</v>
      </c>
      <c r="I41" t="s">
        <v>479</v>
      </c>
      <c r="J41" t="s">
        <v>480</v>
      </c>
      <c r="K41" t="s">
        <v>481</v>
      </c>
      <c r="L41">
        <v>1348</v>
      </c>
      <c r="N41">
        <v>1009</v>
      </c>
      <c r="O41" t="s">
        <v>298</v>
      </c>
      <c r="P41" t="s">
        <v>298</v>
      </c>
      <c r="Q41">
        <v>1000</v>
      </c>
      <c r="W41">
        <v>0</v>
      </c>
      <c r="X41">
        <v>-761454284</v>
      </c>
      <c r="Y41">
        <f>((AT41*1)*0)</f>
        <v>0</v>
      </c>
      <c r="AA41">
        <v>1930745.04</v>
      </c>
      <c r="AB41">
        <v>0</v>
      </c>
      <c r="AC41">
        <v>0</v>
      </c>
      <c r="AD41">
        <v>0</v>
      </c>
      <c r="AE41">
        <v>64123.05</v>
      </c>
      <c r="AF41">
        <v>0</v>
      </c>
      <c r="AG41">
        <v>0</v>
      </c>
      <c r="AH41">
        <v>0</v>
      </c>
      <c r="AI41">
        <v>30.11</v>
      </c>
      <c r="AJ41">
        <v>1</v>
      </c>
      <c r="AK41">
        <v>1</v>
      </c>
      <c r="AL41">
        <v>1</v>
      </c>
      <c r="AM41">
        <v>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1.0000000000000001E-5</v>
      </c>
      <c r="AU41" t="s">
        <v>31</v>
      </c>
      <c r="AV41">
        <v>0</v>
      </c>
      <c r="AW41">
        <v>2</v>
      </c>
      <c r="AX41">
        <v>57249629</v>
      </c>
      <c r="AY41">
        <v>1</v>
      </c>
      <c r="AZ41">
        <v>0</v>
      </c>
      <c r="BA41">
        <v>54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V41">
        <v>0</v>
      </c>
      <c r="CW41">
        <v>0</v>
      </c>
      <c r="CX41">
        <f>ROUND(Y41*Source!I39,9)</f>
        <v>0</v>
      </c>
      <c r="CY41">
        <f>AA41</f>
        <v>1930745.04</v>
      </c>
      <c r="CZ41">
        <f>AE41</f>
        <v>64123.05</v>
      </c>
      <c r="DA41">
        <f>AI41</f>
        <v>30.11</v>
      </c>
      <c r="DB41">
        <f>ROUND(((ROUND(AT41*CZ41,2)*1)*0),6)</f>
        <v>0</v>
      </c>
      <c r="DC41">
        <f>ROUND(((ROUND(AT41*AG41,2)*1)*0),6)</f>
        <v>0</v>
      </c>
      <c r="DD41" t="s">
        <v>3</v>
      </c>
      <c r="DE41" t="s">
        <v>3</v>
      </c>
      <c r="DF41">
        <f>ROUND(ROUND(AE41*AI41,2)*CX41,2)</f>
        <v>0</v>
      </c>
      <c r="DG41">
        <f t="shared" si="24"/>
        <v>0</v>
      </c>
      <c r="DH41">
        <f t="shared" si="25"/>
        <v>0</v>
      </c>
      <c r="DI41">
        <f t="shared" si="6"/>
        <v>0</v>
      </c>
      <c r="DJ41">
        <f>DF41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ROW(Source!A39)</f>
        <v>39</v>
      </c>
      <c r="B42">
        <v>57248837</v>
      </c>
      <c r="C42">
        <v>57249624</v>
      </c>
      <c r="D42">
        <v>54766072</v>
      </c>
      <c r="E42">
        <v>1</v>
      </c>
      <c r="F42">
        <v>1</v>
      </c>
      <c r="G42">
        <v>1081</v>
      </c>
      <c r="H42">
        <v>3</v>
      </c>
      <c r="I42" t="s">
        <v>494</v>
      </c>
      <c r="J42" t="s">
        <v>495</v>
      </c>
      <c r="K42" t="s">
        <v>496</v>
      </c>
      <c r="L42">
        <v>1303</v>
      </c>
      <c r="N42">
        <v>1003</v>
      </c>
      <c r="O42" t="s">
        <v>390</v>
      </c>
      <c r="P42" t="s">
        <v>390</v>
      </c>
      <c r="Q42">
        <v>1000</v>
      </c>
      <c r="W42">
        <v>0</v>
      </c>
      <c r="X42">
        <v>-1692873835</v>
      </c>
      <c r="Y42">
        <f>((AT42*1)*0)</f>
        <v>0</v>
      </c>
      <c r="AA42">
        <v>5269.63</v>
      </c>
      <c r="AB42">
        <v>0</v>
      </c>
      <c r="AC42">
        <v>0</v>
      </c>
      <c r="AD42">
        <v>0</v>
      </c>
      <c r="AE42">
        <v>516.63</v>
      </c>
      <c r="AF42">
        <v>0</v>
      </c>
      <c r="AG42">
        <v>0</v>
      </c>
      <c r="AH42">
        <v>0</v>
      </c>
      <c r="AI42">
        <v>10.199999999999999</v>
      </c>
      <c r="AJ42">
        <v>1</v>
      </c>
      <c r="AK42">
        <v>1</v>
      </c>
      <c r="AL42">
        <v>1</v>
      </c>
      <c r="AM42">
        <v>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2E-3</v>
      </c>
      <c r="AU42" t="s">
        <v>31</v>
      </c>
      <c r="AV42">
        <v>0</v>
      </c>
      <c r="AW42">
        <v>2</v>
      </c>
      <c r="AX42">
        <v>57249630</v>
      </c>
      <c r="AY42">
        <v>1</v>
      </c>
      <c r="AZ42">
        <v>0</v>
      </c>
      <c r="BA42">
        <v>55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v>0</v>
      </c>
      <c r="CX42">
        <f>ROUND(Y42*Source!I39,9)</f>
        <v>0</v>
      </c>
      <c r="CY42">
        <f>AA42</f>
        <v>5269.63</v>
      </c>
      <c r="CZ42">
        <f>AE42</f>
        <v>516.63</v>
      </c>
      <c r="DA42">
        <f>AI42</f>
        <v>10.199999999999999</v>
      </c>
      <c r="DB42">
        <f>ROUND(((ROUND(AT42*CZ42,2)*1)*0),6)</f>
        <v>0</v>
      </c>
      <c r="DC42">
        <f>ROUND(((ROUND(AT42*AG42,2)*1)*0),6)</f>
        <v>0</v>
      </c>
      <c r="DD42" t="s">
        <v>3</v>
      </c>
      <c r="DE42" t="s">
        <v>3</v>
      </c>
      <c r="DF42">
        <f>ROUND(ROUND(AE42*AI42,2)*CX42,2)</f>
        <v>0</v>
      </c>
      <c r="DG42">
        <f t="shared" si="24"/>
        <v>0</v>
      </c>
      <c r="DH42">
        <f t="shared" si="25"/>
        <v>0</v>
      </c>
      <c r="DI42">
        <f t="shared" si="6"/>
        <v>0</v>
      </c>
      <c r="DJ42">
        <f>DF42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ROW(Source!A40)</f>
        <v>40</v>
      </c>
      <c r="B43">
        <v>57248835</v>
      </c>
      <c r="C43">
        <v>57249633</v>
      </c>
      <c r="D43">
        <v>54702434</v>
      </c>
      <c r="E43">
        <v>1081</v>
      </c>
      <c r="F43">
        <v>1</v>
      </c>
      <c r="G43">
        <v>1081</v>
      </c>
      <c r="H43">
        <v>1</v>
      </c>
      <c r="I43" t="s">
        <v>457</v>
      </c>
      <c r="J43" t="s">
        <v>3</v>
      </c>
      <c r="K43" t="s">
        <v>458</v>
      </c>
      <c r="L43">
        <v>1191</v>
      </c>
      <c r="N43">
        <v>1013</v>
      </c>
      <c r="O43" t="s">
        <v>459</v>
      </c>
      <c r="P43" t="s">
        <v>459</v>
      </c>
      <c r="Q43">
        <v>1</v>
      </c>
      <c r="W43">
        <v>0</v>
      </c>
      <c r="X43">
        <v>476480486</v>
      </c>
      <c r="Y43">
        <f>((AT43*1.2)*0.3)</f>
        <v>0.3024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0.84</v>
      </c>
      <c r="AU43" t="s">
        <v>32</v>
      </c>
      <c r="AV43">
        <v>1</v>
      </c>
      <c r="AW43">
        <v>2</v>
      </c>
      <c r="AX43">
        <v>57249635</v>
      </c>
      <c r="AY43">
        <v>1</v>
      </c>
      <c r="AZ43">
        <v>0</v>
      </c>
      <c r="BA43">
        <v>57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ROUND(AT43*Source!I40*AH43*AL43,2)</f>
        <v>0</v>
      </c>
      <c r="CV43">
        <f>ROUND(Y43*Source!I40,9)</f>
        <v>1.2096</v>
      </c>
      <c r="CW43">
        <v>0</v>
      </c>
      <c r="CX43">
        <f>ROUND(Y43*Source!I40,9)</f>
        <v>1.2096</v>
      </c>
      <c r="CY43">
        <f>AD43</f>
        <v>0</v>
      </c>
      <c r="CZ43">
        <f>AH43</f>
        <v>0</v>
      </c>
      <c r="DA43">
        <f>AL43</f>
        <v>1</v>
      </c>
      <c r="DB43">
        <f>ROUND(((ROUND(AT43*CZ43,2)*1.2)*0.3),6)</f>
        <v>0</v>
      </c>
      <c r="DC43">
        <f>ROUND(((ROUND(AT43*AG43,2)*1.2)*0.3),6)</f>
        <v>0</v>
      </c>
      <c r="DD43" t="s">
        <v>3</v>
      </c>
      <c r="DE43" t="s">
        <v>3</v>
      </c>
      <c r="DF43">
        <f t="shared" ref="DF43:DF53" si="27">ROUND(ROUND(AE43,2)*CX43,2)</f>
        <v>0</v>
      </c>
      <c r="DG43">
        <f t="shared" si="24"/>
        <v>0</v>
      </c>
      <c r="DH43">
        <f t="shared" si="25"/>
        <v>0</v>
      </c>
      <c r="DI43">
        <f t="shared" si="6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ROW(Source!A41)</f>
        <v>41</v>
      </c>
      <c r="B44">
        <v>57248837</v>
      </c>
      <c r="C44">
        <v>57249633</v>
      </c>
      <c r="D44">
        <v>54702434</v>
      </c>
      <c r="E44">
        <v>1081</v>
      </c>
      <c r="F44">
        <v>1</v>
      </c>
      <c r="G44">
        <v>1081</v>
      </c>
      <c r="H44">
        <v>1</v>
      </c>
      <c r="I44" t="s">
        <v>457</v>
      </c>
      <c r="J44" t="s">
        <v>3</v>
      </c>
      <c r="K44" t="s">
        <v>458</v>
      </c>
      <c r="L44">
        <v>1191</v>
      </c>
      <c r="N44">
        <v>1013</v>
      </c>
      <c r="O44" t="s">
        <v>459</v>
      </c>
      <c r="P44" t="s">
        <v>459</v>
      </c>
      <c r="Q44">
        <v>1</v>
      </c>
      <c r="W44">
        <v>0</v>
      </c>
      <c r="X44">
        <v>476480486</v>
      </c>
      <c r="Y44">
        <f>((AT44*1.2)*0.3)</f>
        <v>0.3024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5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0.84</v>
      </c>
      <c r="AU44" t="s">
        <v>32</v>
      </c>
      <c r="AV44">
        <v>1</v>
      </c>
      <c r="AW44">
        <v>2</v>
      </c>
      <c r="AX44">
        <v>57249635</v>
      </c>
      <c r="AY44">
        <v>1</v>
      </c>
      <c r="AZ44">
        <v>0</v>
      </c>
      <c r="BA44">
        <v>58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U44">
        <f>ROUND(AT44*Source!I41*AH44*AL44,2)</f>
        <v>0</v>
      </c>
      <c r="CV44">
        <f>ROUND(Y44*Source!I41,9)</f>
        <v>1.2096</v>
      </c>
      <c r="CW44">
        <v>0</v>
      </c>
      <c r="CX44">
        <f>ROUND(Y44*Source!I41,9)</f>
        <v>1.2096</v>
      </c>
      <c r="CY44">
        <f>AD44</f>
        <v>0</v>
      </c>
      <c r="CZ44">
        <f>AH44</f>
        <v>0</v>
      </c>
      <c r="DA44">
        <f>AL44</f>
        <v>1</v>
      </c>
      <c r="DB44">
        <f>ROUND(((ROUND(AT44*CZ44,2)*1.2)*0.3),6)</f>
        <v>0</v>
      </c>
      <c r="DC44">
        <f>ROUND(((ROUND(AT44*AG44,2)*1.2)*0.3),6)</f>
        <v>0</v>
      </c>
      <c r="DD44" t="s">
        <v>3</v>
      </c>
      <c r="DE44" t="s">
        <v>3</v>
      </c>
      <c r="DF44">
        <f t="shared" si="27"/>
        <v>0</v>
      </c>
      <c r="DG44">
        <f t="shared" si="24"/>
        <v>0</v>
      </c>
      <c r="DH44">
        <f t="shared" si="25"/>
        <v>0</v>
      </c>
      <c r="DI44">
        <f t="shared" si="6"/>
        <v>0</v>
      </c>
      <c r="DJ44">
        <f>DI44</f>
        <v>0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ROW(Source!A42)</f>
        <v>42</v>
      </c>
      <c r="B45">
        <v>57248835</v>
      </c>
      <c r="C45">
        <v>57249637</v>
      </c>
      <c r="D45">
        <v>54702434</v>
      </c>
      <c r="E45">
        <v>1081</v>
      </c>
      <c r="F45">
        <v>1</v>
      </c>
      <c r="G45">
        <v>1081</v>
      </c>
      <c r="H45">
        <v>1</v>
      </c>
      <c r="I45" t="s">
        <v>457</v>
      </c>
      <c r="J45" t="s">
        <v>3</v>
      </c>
      <c r="K45" t="s">
        <v>458</v>
      </c>
      <c r="L45">
        <v>1191</v>
      </c>
      <c r="N45">
        <v>1013</v>
      </c>
      <c r="O45" t="s">
        <v>459</v>
      </c>
      <c r="P45" t="s">
        <v>459</v>
      </c>
      <c r="Q45">
        <v>1</v>
      </c>
      <c r="W45">
        <v>0</v>
      </c>
      <c r="X45">
        <v>476480486</v>
      </c>
      <c r="Y45">
        <f>((AT45*1.2)*0.3)</f>
        <v>30.481199999999998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84.67</v>
      </c>
      <c r="AU45" t="s">
        <v>32</v>
      </c>
      <c r="AV45">
        <v>1</v>
      </c>
      <c r="AW45">
        <v>2</v>
      </c>
      <c r="AX45">
        <v>57249644</v>
      </c>
      <c r="AY45">
        <v>1</v>
      </c>
      <c r="AZ45">
        <v>0</v>
      </c>
      <c r="BA45">
        <v>59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U45">
        <f>ROUND(AT45*Source!I42*AH45*AL45,2)</f>
        <v>0</v>
      </c>
      <c r="CV45">
        <f>ROUND(Y45*Source!I42,9)</f>
        <v>3.6577440000000001</v>
      </c>
      <c r="CW45">
        <v>0</v>
      </c>
      <c r="CX45">
        <f>ROUND(Y45*Source!I42,9)</f>
        <v>3.6577440000000001</v>
      </c>
      <c r="CY45">
        <f>AD45</f>
        <v>0</v>
      </c>
      <c r="CZ45">
        <f>AH45</f>
        <v>0</v>
      </c>
      <c r="DA45">
        <f>AL45</f>
        <v>1</v>
      </c>
      <c r="DB45">
        <f>ROUND(((ROUND(AT45*CZ45,2)*1.2)*0.3),6)</f>
        <v>0</v>
      </c>
      <c r="DC45">
        <f>ROUND(((ROUND(AT45*AG45,2)*1.2)*0.3),6)</f>
        <v>0</v>
      </c>
      <c r="DD45" t="s">
        <v>3</v>
      </c>
      <c r="DE45" t="s">
        <v>3</v>
      </c>
      <c r="DF45">
        <f t="shared" si="27"/>
        <v>0</v>
      </c>
      <c r="DG45">
        <f t="shared" si="24"/>
        <v>0</v>
      </c>
      <c r="DH45">
        <f t="shared" si="25"/>
        <v>0</v>
      </c>
      <c r="DI45">
        <f t="shared" si="6"/>
        <v>0</v>
      </c>
      <c r="DJ45">
        <f>DI45</f>
        <v>0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ROW(Source!A42)</f>
        <v>42</v>
      </c>
      <c r="B46">
        <v>57248835</v>
      </c>
      <c r="C46">
        <v>57249637</v>
      </c>
      <c r="D46">
        <v>54768339</v>
      </c>
      <c r="E46">
        <v>1</v>
      </c>
      <c r="F46">
        <v>1</v>
      </c>
      <c r="G46">
        <v>1081</v>
      </c>
      <c r="H46">
        <v>2</v>
      </c>
      <c r="I46" t="s">
        <v>497</v>
      </c>
      <c r="J46" t="s">
        <v>498</v>
      </c>
      <c r="K46" t="s">
        <v>499</v>
      </c>
      <c r="L46">
        <v>1368</v>
      </c>
      <c r="N46">
        <v>1011</v>
      </c>
      <c r="O46" t="s">
        <v>463</v>
      </c>
      <c r="P46" t="s">
        <v>463</v>
      </c>
      <c r="Q46">
        <v>1</v>
      </c>
      <c r="W46">
        <v>0</v>
      </c>
      <c r="X46">
        <v>874612079</v>
      </c>
      <c r="Y46">
        <f>((AT46*1.2)*0.3)</f>
        <v>0.37079999999999996</v>
      </c>
      <c r="AA46">
        <v>0</v>
      </c>
      <c r="AB46">
        <v>87.01</v>
      </c>
      <c r="AC46">
        <v>13.21</v>
      </c>
      <c r="AD46">
        <v>0</v>
      </c>
      <c r="AE46">
        <v>0</v>
      </c>
      <c r="AF46">
        <v>83.1</v>
      </c>
      <c r="AG46">
        <v>12.62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1.03</v>
      </c>
      <c r="AU46" t="s">
        <v>32</v>
      </c>
      <c r="AV46">
        <v>0</v>
      </c>
      <c r="AW46">
        <v>2</v>
      </c>
      <c r="AX46">
        <v>57249645</v>
      </c>
      <c r="AY46">
        <v>1</v>
      </c>
      <c r="AZ46">
        <v>0</v>
      </c>
      <c r="BA46">
        <v>60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ROUND(Y46*Source!I42*DO46,9)</f>
        <v>0.56153951999999996</v>
      </c>
      <c r="CX46">
        <f>ROUND(Y46*Source!I42,9)</f>
        <v>4.4496000000000001E-2</v>
      </c>
      <c r="CY46">
        <f>AB46</f>
        <v>87.01</v>
      </c>
      <c r="CZ46">
        <f>AF46</f>
        <v>83.1</v>
      </c>
      <c r="DA46">
        <f>AJ46</f>
        <v>1</v>
      </c>
      <c r="DB46">
        <f>ROUND(((ROUND(AT46*CZ46,2)*1.2)*0.3),6)</f>
        <v>30.8124</v>
      </c>
      <c r="DC46">
        <f>ROUND(((ROUND(AT46*AG46,2)*1.2)*0.3),6)</f>
        <v>4.68</v>
      </c>
      <c r="DD46" t="s">
        <v>3</v>
      </c>
      <c r="DE46" t="s">
        <v>3</v>
      </c>
      <c r="DF46">
        <f t="shared" si="27"/>
        <v>0</v>
      </c>
      <c r="DG46">
        <f t="shared" si="24"/>
        <v>3.7</v>
      </c>
      <c r="DH46">
        <f t="shared" si="25"/>
        <v>0.56000000000000005</v>
      </c>
      <c r="DI46">
        <f t="shared" si="6"/>
        <v>0</v>
      </c>
      <c r="DJ46">
        <f>DG46</f>
        <v>3.7</v>
      </c>
      <c r="DK46">
        <v>0</v>
      </c>
      <c r="DL46" t="s">
        <v>500</v>
      </c>
      <c r="DM46">
        <v>0</v>
      </c>
      <c r="DN46" t="s">
        <v>459</v>
      </c>
      <c r="DO46">
        <v>12.62</v>
      </c>
    </row>
    <row r="47" spans="1:119" x14ac:dyDescent="0.2">
      <c r="A47">
        <f>ROW(Source!A42)</f>
        <v>42</v>
      </c>
      <c r="B47">
        <v>57248835</v>
      </c>
      <c r="C47">
        <v>57249637</v>
      </c>
      <c r="D47">
        <v>54768454</v>
      </c>
      <c r="E47">
        <v>1</v>
      </c>
      <c r="F47">
        <v>1</v>
      </c>
      <c r="G47">
        <v>1081</v>
      </c>
      <c r="H47">
        <v>2</v>
      </c>
      <c r="I47" t="s">
        <v>501</v>
      </c>
      <c r="J47" t="s">
        <v>502</v>
      </c>
      <c r="K47" t="s">
        <v>503</v>
      </c>
      <c r="L47">
        <v>1368</v>
      </c>
      <c r="N47">
        <v>1011</v>
      </c>
      <c r="O47" t="s">
        <v>463</v>
      </c>
      <c r="P47" t="s">
        <v>463</v>
      </c>
      <c r="Q47">
        <v>1</v>
      </c>
      <c r="W47">
        <v>0</v>
      </c>
      <c r="X47">
        <v>1906446486</v>
      </c>
      <c r="Y47">
        <f>((AT47*1.2)*0.3)</f>
        <v>7.9487999999999994</v>
      </c>
      <c r="AA47">
        <v>0</v>
      </c>
      <c r="AB47">
        <v>0.37</v>
      </c>
      <c r="AC47">
        <v>0</v>
      </c>
      <c r="AD47">
        <v>0</v>
      </c>
      <c r="AE47">
        <v>0</v>
      </c>
      <c r="AF47">
        <v>0.35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22.08</v>
      </c>
      <c r="AU47" t="s">
        <v>32</v>
      </c>
      <c r="AV47">
        <v>0</v>
      </c>
      <c r="AW47">
        <v>2</v>
      </c>
      <c r="AX47">
        <v>57249646</v>
      </c>
      <c r="AY47">
        <v>1</v>
      </c>
      <c r="AZ47">
        <v>0</v>
      </c>
      <c r="BA47">
        <v>61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f>ROUND(Y47*Source!I42*DO47,9)</f>
        <v>0</v>
      </c>
      <c r="CX47">
        <f>ROUND(Y47*Source!I42,9)</f>
        <v>0.95385600000000004</v>
      </c>
      <c r="CY47">
        <f>AB47</f>
        <v>0.37</v>
      </c>
      <c r="CZ47">
        <f>AF47</f>
        <v>0.35</v>
      </c>
      <c r="DA47">
        <f>AJ47</f>
        <v>1</v>
      </c>
      <c r="DB47">
        <f>ROUND(((ROUND(AT47*CZ47,2)*1.2)*0.3),6)</f>
        <v>2.7827999999999999</v>
      </c>
      <c r="DC47">
        <f>ROUND(((ROUND(AT47*AG47,2)*1.2)*0.3),6)</f>
        <v>0</v>
      </c>
      <c r="DD47" t="s">
        <v>3</v>
      </c>
      <c r="DE47" t="s">
        <v>3</v>
      </c>
      <c r="DF47">
        <f t="shared" si="27"/>
        <v>0</v>
      </c>
      <c r="DG47">
        <f t="shared" si="24"/>
        <v>0.33</v>
      </c>
      <c r="DH47">
        <f t="shared" si="25"/>
        <v>0</v>
      </c>
      <c r="DI47">
        <f t="shared" si="6"/>
        <v>0</v>
      </c>
      <c r="DJ47">
        <f>DG47</f>
        <v>0.33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ROW(Source!A42)</f>
        <v>42</v>
      </c>
      <c r="B48">
        <v>57248835</v>
      </c>
      <c r="C48">
        <v>57249637</v>
      </c>
      <c r="D48">
        <v>54738554</v>
      </c>
      <c r="E48">
        <v>1</v>
      </c>
      <c r="F48">
        <v>1</v>
      </c>
      <c r="G48">
        <v>1081</v>
      </c>
      <c r="H48">
        <v>3</v>
      </c>
      <c r="I48" t="s">
        <v>504</v>
      </c>
      <c r="J48" t="s">
        <v>505</v>
      </c>
      <c r="K48" t="s">
        <v>506</v>
      </c>
      <c r="L48">
        <v>1346</v>
      </c>
      <c r="N48">
        <v>1009</v>
      </c>
      <c r="O48" t="s">
        <v>320</v>
      </c>
      <c r="P48" t="s">
        <v>320</v>
      </c>
      <c r="Q48">
        <v>1</v>
      </c>
      <c r="W48">
        <v>0</v>
      </c>
      <c r="X48">
        <v>1309298634</v>
      </c>
      <c r="Y48">
        <f>((AT48*1)*0)</f>
        <v>0</v>
      </c>
      <c r="AA48">
        <v>159.06</v>
      </c>
      <c r="AB48">
        <v>0</v>
      </c>
      <c r="AC48">
        <v>0</v>
      </c>
      <c r="AD48">
        <v>0</v>
      </c>
      <c r="AE48">
        <v>159.06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0.21</v>
      </c>
      <c r="AU48" t="s">
        <v>31</v>
      </c>
      <c r="AV48">
        <v>0</v>
      </c>
      <c r="AW48">
        <v>2</v>
      </c>
      <c r="AX48">
        <v>57249647</v>
      </c>
      <c r="AY48">
        <v>1</v>
      </c>
      <c r="AZ48">
        <v>0</v>
      </c>
      <c r="BA48">
        <v>62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ROUND(Y48*Source!I42,9)</f>
        <v>0</v>
      </c>
      <c r="CY48">
        <f>AA48</f>
        <v>159.06</v>
      </c>
      <c r="CZ48">
        <f>AE48</f>
        <v>159.06</v>
      </c>
      <c r="DA48">
        <f>AI48</f>
        <v>1</v>
      </c>
      <c r="DB48">
        <f>ROUND(((ROUND(AT48*CZ48,2)*1)*0),6)</f>
        <v>0</v>
      </c>
      <c r="DC48">
        <f>ROUND(((ROUND(AT48*AG48,2)*1)*0),6)</f>
        <v>0</v>
      </c>
      <c r="DD48" t="s">
        <v>3</v>
      </c>
      <c r="DE48" t="s">
        <v>3</v>
      </c>
      <c r="DF48">
        <f t="shared" si="27"/>
        <v>0</v>
      </c>
      <c r="DG48">
        <f t="shared" si="24"/>
        <v>0</v>
      </c>
      <c r="DH48">
        <f t="shared" si="25"/>
        <v>0</v>
      </c>
      <c r="DI48">
        <f t="shared" si="6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ROW(Source!A42)</f>
        <v>42</v>
      </c>
      <c r="B49">
        <v>57248835</v>
      </c>
      <c r="C49">
        <v>57249637</v>
      </c>
      <c r="D49">
        <v>54737470</v>
      </c>
      <c r="E49">
        <v>1</v>
      </c>
      <c r="F49">
        <v>1</v>
      </c>
      <c r="G49">
        <v>1081</v>
      </c>
      <c r="H49">
        <v>3</v>
      </c>
      <c r="I49" t="s">
        <v>467</v>
      </c>
      <c r="J49" t="s">
        <v>468</v>
      </c>
      <c r="K49" t="s">
        <v>469</v>
      </c>
      <c r="L49">
        <v>1354</v>
      </c>
      <c r="N49">
        <v>1010</v>
      </c>
      <c r="O49" t="s">
        <v>228</v>
      </c>
      <c r="P49" t="s">
        <v>228</v>
      </c>
      <c r="Q49">
        <v>1</v>
      </c>
      <c r="W49">
        <v>0</v>
      </c>
      <c r="X49">
        <v>-1352077490</v>
      </c>
      <c r="Y49">
        <f>((AT49*1)*0)</f>
        <v>0</v>
      </c>
      <c r="AA49">
        <v>0.89</v>
      </c>
      <c r="AB49">
        <v>0</v>
      </c>
      <c r="AC49">
        <v>0</v>
      </c>
      <c r="AD49">
        <v>0</v>
      </c>
      <c r="AE49">
        <v>0.89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4.08</v>
      </c>
      <c r="AU49" t="s">
        <v>31</v>
      </c>
      <c r="AV49">
        <v>0</v>
      </c>
      <c r="AW49">
        <v>2</v>
      </c>
      <c r="AX49">
        <v>57249648</v>
      </c>
      <c r="AY49">
        <v>1</v>
      </c>
      <c r="AZ49">
        <v>0</v>
      </c>
      <c r="BA49">
        <v>63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ROUND(Y49*Source!I42,9)</f>
        <v>0</v>
      </c>
      <c r="CY49">
        <f>AA49</f>
        <v>0.89</v>
      </c>
      <c r="CZ49">
        <f>AE49</f>
        <v>0.89</v>
      </c>
      <c r="DA49">
        <f>AI49</f>
        <v>1</v>
      </c>
      <c r="DB49">
        <f>ROUND(((ROUND(AT49*CZ49,2)*1)*0),6)</f>
        <v>0</v>
      </c>
      <c r="DC49">
        <f>ROUND(((ROUND(AT49*AG49,2)*1)*0),6)</f>
        <v>0</v>
      </c>
      <c r="DD49" t="s">
        <v>3</v>
      </c>
      <c r="DE49" t="s">
        <v>3</v>
      </c>
      <c r="DF49">
        <f t="shared" si="27"/>
        <v>0</v>
      </c>
      <c r="DG49">
        <f t="shared" si="24"/>
        <v>0</v>
      </c>
      <c r="DH49">
        <f t="shared" si="25"/>
        <v>0</v>
      </c>
      <c r="DI49">
        <f t="shared" si="6"/>
        <v>0</v>
      </c>
      <c r="DJ49">
        <f>DF49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ROW(Source!A42)</f>
        <v>42</v>
      </c>
      <c r="B50">
        <v>57248835</v>
      </c>
      <c r="C50">
        <v>57249637</v>
      </c>
      <c r="D50">
        <v>54766003</v>
      </c>
      <c r="E50">
        <v>1</v>
      </c>
      <c r="F50">
        <v>1</v>
      </c>
      <c r="G50">
        <v>1081</v>
      </c>
      <c r="H50">
        <v>3</v>
      </c>
      <c r="I50" t="s">
        <v>507</v>
      </c>
      <c r="J50" t="s">
        <v>508</v>
      </c>
      <c r="K50" t="s">
        <v>509</v>
      </c>
      <c r="L50">
        <v>1303</v>
      </c>
      <c r="N50">
        <v>1003</v>
      </c>
      <c r="O50" t="s">
        <v>390</v>
      </c>
      <c r="P50" t="s">
        <v>390</v>
      </c>
      <c r="Q50">
        <v>1000</v>
      </c>
      <c r="W50">
        <v>0</v>
      </c>
      <c r="X50">
        <v>1578855358</v>
      </c>
      <c r="Y50">
        <f>((AT50*1)*0)</f>
        <v>0</v>
      </c>
      <c r="AA50">
        <v>2897.31</v>
      </c>
      <c r="AB50">
        <v>0</v>
      </c>
      <c r="AC50">
        <v>0</v>
      </c>
      <c r="AD50">
        <v>0</v>
      </c>
      <c r="AE50">
        <v>2897.31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1.5299999999999999E-2</v>
      </c>
      <c r="AU50" t="s">
        <v>31</v>
      </c>
      <c r="AV50">
        <v>0</v>
      </c>
      <c r="AW50">
        <v>2</v>
      </c>
      <c r="AX50">
        <v>57249649</v>
      </c>
      <c r="AY50">
        <v>1</v>
      </c>
      <c r="AZ50">
        <v>0</v>
      </c>
      <c r="BA50">
        <v>64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ROUND(Y50*Source!I42,9)</f>
        <v>0</v>
      </c>
      <c r="CY50">
        <f>AA50</f>
        <v>2897.31</v>
      </c>
      <c r="CZ50">
        <f>AE50</f>
        <v>2897.31</v>
      </c>
      <c r="DA50">
        <f>AI50</f>
        <v>1</v>
      </c>
      <c r="DB50">
        <f>ROUND(((ROUND(AT50*CZ50,2)*1)*0),6)</f>
        <v>0</v>
      </c>
      <c r="DC50">
        <f>ROUND(((ROUND(AT50*AG50,2)*1)*0),6)</f>
        <v>0</v>
      </c>
      <c r="DD50" t="s">
        <v>3</v>
      </c>
      <c r="DE50" t="s">
        <v>3</v>
      </c>
      <c r="DF50">
        <f t="shared" si="27"/>
        <v>0</v>
      </c>
      <c r="DG50">
        <f t="shared" si="24"/>
        <v>0</v>
      </c>
      <c r="DH50">
        <f t="shared" si="25"/>
        <v>0</v>
      </c>
      <c r="DI50">
        <f t="shared" si="6"/>
        <v>0</v>
      </c>
      <c r="DJ50">
        <f>DF50</f>
        <v>0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ROW(Source!A43)</f>
        <v>43</v>
      </c>
      <c r="B51">
        <v>57248837</v>
      </c>
      <c r="C51">
        <v>57249637</v>
      </c>
      <c r="D51">
        <v>54702434</v>
      </c>
      <c r="E51">
        <v>1081</v>
      </c>
      <c r="F51">
        <v>1</v>
      </c>
      <c r="G51">
        <v>1081</v>
      </c>
      <c r="H51">
        <v>1</v>
      </c>
      <c r="I51" t="s">
        <v>457</v>
      </c>
      <c r="J51" t="s">
        <v>3</v>
      </c>
      <c r="K51" t="s">
        <v>458</v>
      </c>
      <c r="L51">
        <v>1191</v>
      </c>
      <c r="N51">
        <v>1013</v>
      </c>
      <c r="O51" t="s">
        <v>459</v>
      </c>
      <c r="P51" t="s">
        <v>459</v>
      </c>
      <c r="Q51">
        <v>1</v>
      </c>
      <c r="W51">
        <v>0</v>
      </c>
      <c r="X51">
        <v>476480486</v>
      </c>
      <c r="Y51">
        <f>((AT51*1.2)*0.3)</f>
        <v>30.481199999999998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84.67</v>
      </c>
      <c r="AU51" t="s">
        <v>32</v>
      </c>
      <c r="AV51">
        <v>1</v>
      </c>
      <c r="AW51">
        <v>2</v>
      </c>
      <c r="AX51">
        <v>57249644</v>
      </c>
      <c r="AY51">
        <v>1</v>
      </c>
      <c r="AZ51">
        <v>0</v>
      </c>
      <c r="BA51">
        <v>67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ROUND(AT51*Source!I43*AH51*AL51,2)</f>
        <v>0</v>
      </c>
      <c r="CV51">
        <f>ROUND(Y51*Source!I43,9)</f>
        <v>3.6577440000000001</v>
      </c>
      <c r="CW51">
        <v>0</v>
      </c>
      <c r="CX51">
        <f>ROUND(Y51*Source!I43,9)</f>
        <v>3.6577440000000001</v>
      </c>
      <c r="CY51">
        <f>AD51</f>
        <v>0</v>
      </c>
      <c r="CZ51">
        <f>AH51</f>
        <v>0</v>
      </c>
      <c r="DA51">
        <f>AL51</f>
        <v>1</v>
      </c>
      <c r="DB51">
        <f>ROUND(((ROUND(AT51*CZ51,2)*1.2)*0.3),6)</f>
        <v>0</v>
      </c>
      <c r="DC51">
        <f>ROUND(((ROUND(AT51*AG51,2)*1.2)*0.3),6)</f>
        <v>0</v>
      </c>
      <c r="DD51" t="s">
        <v>3</v>
      </c>
      <c r="DE51" t="s">
        <v>3</v>
      </c>
      <c r="DF51">
        <f t="shared" si="27"/>
        <v>0</v>
      </c>
      <c r="DG51">
        <f t="shared" si="24"/>
        <v>0</v>
      </c>
      <c r="DH51">
        <f t="shared" si="25"/>
        <v>0</v>
      </c>
      <c r="DI51">
        <f t="shared" si="6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ROW(Source!A43)</f>
        <v>43</v>
      </c>
      <c r="B52">
        <v>57248837</v>
      </c>
      <c r="C52">
        <v>57249637</v>
      </c>
      <c r="D52">
        <v>54768339</v>
      </c>
      <c r="E52">
        <v>1</v>
      </c>
      <c r="F52">
        <v>1</v>
      </c>
      <c r="G52">
        <v>1081</v>
      </c>
      <c r="H52">
        <v>2</v>
      </c>
      <c r="I52" t="s">
        <v>497</v>
      </c>
      <c r="J52" t="s">
        <v>498</v>
      </c>
      <c r="K52" t="s">
        <v>499</v>
      </c>
      <c r="L52">
        <v>1368</v>
      </c>
      <c r="N52">
        <v>1011</v>
      </c>
      <c r="O52" t="s">
        <v>463</v>
      </c>
      <c r="P52" t="s">
        <v>463</v>
      </c>
      <c r="Q52">
        <v>1</v>
      </c>
      <c r="W52">
        <v>0</v>
      </c>
      <c r="X52">
        <v>874612079</v>
      </c>
      <c r="Y52">
        <f>((AT52*1.2)*0.3)</f>
        <v>0.37079999999999996</v>
      </c>
      <c r="AA52">
        <v>0</v>
      </c>
      <c r="AB52">
        <v>1485.19</v>
      </c>
      <c r="AC52">
        <v>744.56</v>
      </c>
      <c r="AD52">
        <v>0</v>
      </c>
      <c r="AE52">
        <v>0</v>
      </c>
      <c r="AF52">
        <v>83.1</v>
      </c>
      <c r="AG52">
        <v>12.62</v>
      </c>
      <c r="AH52">
        <v>0</v>
      </c>
      <c r="AI52">
        <v>1</v>
      </c>
      <c r="AJ52">
        <v>17.07</v>
      </c>
      <c r="AK52">
        <v>56.35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1.03</v>
      </c>
      <c r="AU52" t="s">
        <v>32</v>
      </c>
      <c r="AV52">
        <v>0</v>
      </c>
      <c r="AW52">
        <v>2</v>
      </c>
      <c r="AX52">
        <v>57249645</v>
      </c>
      <c r="AY52">
        <v>1</v>
      </c>
      <c r="AZ52">
        <v>0</v>
      </c>
      <c r="BA52">
        <v>68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ROUND(Y52*Source!I43*DO52,9)</f>
        <v>0.56153951999999996</v>
      </c>
      <c r="CX52">
        <f>ROUND(Y52*Source!I43,9)</f>
        <v>4.4496000000000001E-2</v>
      </c>
      <c r="CY52">
        <f>AB52</f>
        <v>1485.19</v>
      </c>
      <c r="CZ52">
        <f>AF52</f>
        <v>83.1</v>
      </c>
      <c r="DA52">
        <f>AJ52</f>
        <v>17.07</v>
      </c>
      <c r="DB52">
        <f>ROUND(((ROUND(AT52*CZ52,2)*1.2)*0.3),6)</f>
        <v>30.8124</v>
      </c>
      <c r="DC52">
        <f>ROUND(((ROUND(AT52*AG52,2)*1.2)*0.3),6)</f>
        <v>4.68</v>
      </c>
      <c r="DD52" t="s">
        <v>3</v>
      </c>
      <c r="DE52" t="s">
        <v>3</v>
      </c>
      <c r="DF52">
        <f t="shared" si="27"/>
        <v>0</v>
      </c>
      <c r="DG52">
        <f>ROUND(ROUND(AF52*AJ52,2)*CX52,2)</f>
        <v>63.12</v>
      </c>
      <c r="DH52">
        <f>ROUND(ROUND(AG52*AK52,2)*CX52,2)</f>
        <v>31.64</v>
      </c>
      <c r="DI52">
        <f t="shared" si="6"/>
        <v>0</v>
      </c>
      <c r="DJ52">
        <f>DG52</f>
        <v>63.12</v>
      </c>
      <c r="DK52">
        <v>0</v>
      </c>
      <c r="DL52" t="s">
        <v>500</v>
      </c>
      <c r="DM52">
        <v>0</v>
      </c>
      <c r="DN52" t="s">
        <v>459</v>
      </c>
      <c r="DO52">
        <v>12.62</v>
      </c>
    </row>
    <row r="53" spans="1:119" x14ac:dyDescent="0.2">
      <c r="A53">
        <f>ROW(Source!A43)</f>
        <v>43</v>
      </c>
      <c r="B53">
        <v>57248837</v>
      </c>
      <c r="C53">
        <v>57249637</v>
      </c>
      <c r="D53">
        <v>54768454</v>
      </c>
      <c r="E53">
        <v>1</v>
      </c>
      <c r="F53">
        <v>1</v>
      </c>
      <c r="G53">
        <v>1081</v>
      </c>
      <c r="H53">
        <v>2</v>
      </c>
      <c r="I53" t="s">
        <v>501</v>
      </c>
      <c r="J53" t="s">
        <v>502</v>
      </c>
      <c r="K53" t="s">
        <v>503</v>
      </c>
      <c r="L53">
        <v>1368</v>
      </c>
      <c r="N53">
        <v>1011</v>
      </c>
      <c r="O53" t="s">
        <v>463</v>
      </c>
      <c r="P53" t="s">
        <v>463</v>
      </c>
      <c r="Q53">
        <v>1</v>
      </c>
      <c r="W53">
        <v>0</v>
      </c>
      <c r="X53">
        <v>1906446486</v>
      </c>
      <c r="Y53">
        <f>((AT53*1.2)*0.3)</f>
        <v>7.9487999999999994</v>
      </c>
      <c r="AA53">
        <v>0</v>
      </c>
      <c r="AB53">
        <v>3.37</v>
      </c>
      <c r="AC53">
        <v>0</v>
      </c>
      <c r="AD53">
        <v>0</v>
      </c>
      <c r="AE53">
        <v>0</v>
      </c>
      <c r="AF53">
        <v>0.35</v>
      </c>
      <c r="AG53">
        <v>0</v>
      </c>
      <c r="AH53">
        <v>0</v>
      </c>
      <c r="AI53">
        <v>1</v>
      </c>
      <c r="AJ53">
        <v>9.1999999999999993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22.08</v>
      </c>
      <c r="AU53" t="s">
        <v>32</v>
      </c>
      <c r="AV53">
        <v>0</v>
      </c>
      <c r="AW53">
        <v>2</v>
      </c>
      <c r="AX53">
        <v>57249646</v>
      </c>
      <c r="AY53">
        <v>1</v>
      </c>
      <c r="AZ53">
        <v>0</v>
      </c>
      <c r="BA53">
        <v>69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ROUND(Y53*Source!I43*DO53,9)</f>
        <v>0</v>
      </c>
      <c r="CX53">
        <f>ROUND(Y53*Source!I43,9)</f>
        <v>0.95385600000000004</v>
      </c>
      <c r="CY53">
        <f>AB53</f>
        <v>3.37</v>
      </c>
      <c r="CZ53">
        <f>AF53</f>
        <v>0.35</v>
      </c>
      <c r="DA53">
        <f>AJ53</f>
        <v>9.1999999999999993</v>
      </c>
      <c r="DB53">
        <f>ROUND(((ROUND(AT53*CZ53,2)*1.2)*0.3),6)</f>
        <v>2.7827999999999999</v>
      </c>
      <c r="DC53">
        <f>ROUND(((ROUND(AT53*AG53,2)*1.2)*0.3),6)</f>
        <v>0</v>
      </c>
      <c r="DD53" t="s">
        <v>3</v>
      </c>
      <c r="DE53" t="s">
        <v>3</v>
      </c>
      <c r="DF53">
        <f t="shared" si="27"/>
        <v>0</v>
      </c>
      <c r="DG53">
        <f>ROUND(ROUND(AF53*AJ53,2)*CX53,2)</f>
        <v>3.07</v>
      </c>
      <c r="DH53">
        <f t="shared" ref="DH53:DH74" si="28">ROUND(ROUND(AG53,2)*CX53,2)</f>
        <v>0</v>
      </c>
      <c r="DI53">
        <f t="shared" si="6"/>
        <v>0</v>
      </c>
      <c r="DJ53">
        <f>DG53</f>
        <v>3.07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ROW(Source!A43)</f>
        <v>43</v>
      </c>
      <c r="B54">
        <v>57248837</v>
      </c>
      <c r="C54">
        <v>57249637</v>
      </c>
      <c r="D54">
        <v>54738554</v>
      </c>
      <c r="E54">
        <v>1</v>
      </c>
      <c r="F54">
        <v>1</v>
      </c>
      <c r="G54">
        <v>1081</v>
      </c>
      <c r="H54">
        <v>3</v>
      </c>
      <c r="I54" t="s">
        <v>504</v>
      </c>
      <c r="J54" t="s">
        <v>505</v>
      </c>
      <c r="K54" t="s">
        <v>506</v>
      </c>
      <c r="L54">
        <v>1346</v>
      </c>
      <c r="N54">
        <v>1009</v>
      </c>
      <c r="O54" t="s">
        <v>320</v>
      </c>
      <c r="P54" t="s">
        <v>320</v>
      </c>
      <c r="Q54">
        <v>1</v>
      </c>
      <c r="W54">
        <v>0</v>
      </c>
      <c r="X54">
        <v>1309298634</v>
      </c>
      <c r="Y54">
        <f>((AT54*1)*0)</f>
        <v>0</v>
      </c>
      <c r="AA54">
        <v>286.31</v>
      </c>
      <c r="AB54">
        <v>0</v>
      </c>
      <c r="AC54">
        <v>0</v>
      </c>
      <c r="AD54">
        <v>0</v>
      </c>
      <c r="AE54">
        <v>159.06</v>
      </c>
      <c r="AF54">
        <v>0</v>
      </c>
      <c r="AG54">
        <v>0</v>
      </c>
      <c r="AH54">
        <v>0</v>
      </c>
      <c r="AI54">
        <v>1.8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0.21</v>
      </c>
      <c r="AU54" t="s">
        <v>31</v>
      </c>
      <c r="AV54">
        <v>0</v>
      </c>
      <c r="AW54">
        <v>2</v>
      </c>
      <c r="AX54">
        <v>57249647</v>
      </c>
      <c r="AY54">
        <v>1</v>
      </c>
      <c r="AZ54">
        <v>0</v>
      </c>
      <c r="BA54">
        <v>70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ROUND(Y54*Source!I43,9)</f>
        <v>0</v>
      </c>
      <c r="CY54">
        <f>AA54</f>
        <v>286.31</v>
      </c>
      <c r="CZ54">
        <f>AE54</f>
        <v>159.06</v>
      </c>
      <c r="DA54">
        <f>AI54</f>
        <v>1.8</v>
      </c>
      <c r="DB54">
        <f>ROUND(((ROUND(AT54*CZ54,2)*1)*0),6)</f>
        <v>0</v>
      </c>
      <c r="DC54">
        <f>ROUND(((ROUND(AT54*AG54,2)*1)*0),6)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3" si="29">ROUND(ROUND(AF54,2)*CX54,2)</f>
        <v>0</v>
      </c>
      <c r="DH54">
        <f t="shared" si="28"/>
        <v>0</v>
      </c>
      <c r="DI54">
        <f t="shared" si="6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ROW(Source!A43)</f>
        <v>43</v>
      </c>
      <c r="B55">
        <v>57248837</v>
      </c>
      <c r="C55">
        <v>57249637</v>
      </c>
      <c r="D55">
        <v>54737470</v>
      </c>
      <c r="E55">
        <v>1</v>
      </c>
      <c r="F55">
        <v>1</v>
      </c>
      <c r="G55">
        <v>1081</v>
      </c>
      <c r="H55">
        <v>3</v>
      </c>
      <c r="I55" t="s">
        <v>467</v>
      </c>
      <c r="J55" t="s">
        <v>468</v>
      </c>
      <c r="K55" t="s">
        <v>469</v>
      </c>
      <c r="L55">
        <v>1354</v>
      </c>
      <c r="N55">
        <v>1010</v>
      </c>
      <c r="O55" t="s">
        <v>228</v>
      </c>
      <c r="P55" t="s">
        <v>228</v>
      </c>
      <c r="Q55">
        <v>1</v>
      </c>
      <c r="W55">
        <v>0</v>
      </c>
      <c r="X55">
        <v>-1352077490</v>
      </c>
      <c r="Y55">
        <f>((AT55*1)*0)</f>
        <v>0</v>
      </c>
      <c r="AA55">
        <v>0.83</v>
      </c>
      <c r="AB55">
        <v>0</v>
      </c>
      <c r="AC55">
        <v>0</v>
      </c>
      <c r="AD55">
        <v>0</v>
      </c>
      <c r="AE55">
        <v>0.89</v>
      </c>
      <c r="AF55">
        <v>0</v>
      </c>
      <c r="AG55">
        <v>0</v>
      </c>
      <c r="AH55">
        <v>0</v>
      </c>
      <c r="AI55">
        <v>0.93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4.08</v>
      </c>
      <c r="AU55" t="s">
        <v>31</v>
      </c>
      <c r="AV55">
        <v>0</v>
      </c>
      <c r="AW55">
        <v>2</v>
      </c>
      <c r="AX55">
        <v>57249648</v>
      </c>
      <c r="AY55">
        <v>1</v>
      </c>
      <c r="AZ55">
        <v>0</v>
      </c>
      <c r="BA55">
        <v>71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ROUND(Y55*Source!I43,9)</f>
        <v>0</v>
      </c>
      <c r="CY55">
        <f>AA55</f>
        <v>0.83</v>
      </c>
      <c r="CZ55">
        <f>AE55</f>
        <v>0.89</v>
      </c>
      <c r="DA55">
        <f>AI55</f>
        <v>0.93</v>
      </c>
      <c r="DB55">
        <f>ROUND(((ROUND(AT55*CZ55,2)*1)*0),6)</f>
        <v>0</v>
      </c>
      <c r="DC55">
        <f>ROUND(((ROUND(AT55*AG55,2)*1)*0),6)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29"/>
        <v>0</v>
      </c>
      <c r="DH55">
        <f t="shared" si="28"/>
        <v>0</v>
      </c>
      <c r="DI55">
        <f t="shared" si="6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ROW(Source!A43)</f>
        <v>43</v>
      </c>
      <c r="B56">
        <v>57248837</v>
      </c>
      <c r="C56">
        <v>57249637</v>
      </c>
      <c r="D56">
        <v>54766003</v>
      </c>
      <c r="E56">
        <v>1</v>
      </c>
      <c r="F56">
        <v>1</v>
      </c>
      <c r="G56">
        <v>1081</v>
      </c>
      <c r="H56">
        <v>3</v>
      </c>
      <c r="I56" t="s">
        <v>507</v>
      </c>
      <c r="J56" t="s">
        <v>508</v>
      </c>
      <c r="K56" t="s">
        <v>509</v>
      </c>
      <c r="L56">
        <v>1303</v>
      </c>
      <c r="N56">
        <v>1003</v>
      </c>
      <c r="O56" t="s">
        <v>390</v>
      </c>
      <c r="P56" t="s">
        <v>390</v>
      </c>
      <c r="Q56">
        <v>1000</v>
      </c>
      <c r="W56">
        <v>0</v>
      </c>
      <c r="X56">
        <v>1578855358</v>
      </c>
      <c r="Y56">
        <f>((AT56*1)*0)</f>
        <v>0</v>
      </c>
      <c r="AA56">
        <v>52499.26</v>
      </c>
      <c r="AB56">
        <v>0</v>
      </c>
      <c r="AC56">
        <v>0</v>
      </c>
      <c r="AD56">
        <v>0</v>
      </c>
      <c r="AE56">
        <v>2897.31</v>
      </c>
      <c r="AF56">
        <v>0</v>
      </c>
      <c r="AG56">
        <v>0</v>
      </c>
      <c r="AH56">
        <v>0</v>
      </c>
      <c r="AI56">
        <v>18.12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1.5299999999999999E-2</v>
      </c>
      <c r="AU56" t="s">
        <v>31</v>
      </c>
      <c r="AV56">
        <v>0</v>
      </c>
      <c r="AW56">
        <v>2</v>
      </c>
      <c r="AX56">
        <v>57249649</v>
      </c>
      <c r="AY56">
        <v>1</v>
      </c>
      <c r="AZ56">
        <v>0</v>
      </c>
      <c r="BA56">
        <v>72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ROUND(Y56*Source!I43,9)</f>
        <v>0</v>
      </c>
      <c r="CY56">
        <f>AA56</f>
        <v>52499.26</v>
      </c>
      <c r="CZ56">
        <f>AE56</f>
        <v>2897.31</v>
      </c>
      <c r="DA56">
        <f>AI56</f>
        <v>18.12</v>
      </c>
      <c r="DB56">
        <f>ROUND(((ROUND(AT56*CZ56,2)*1)*0),6)</f>
        <v>0</v>
      </c>
      <c r="DC56">
        <f>ROUND(((ROUND(AT56*AG56,2)*1)*0),6)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29"/>
        <v>0</v>
      </c>
      <c r="DH56">
        <f t="shared" si="28"/>
        <v>0</v>
      </c>
      <c r="DI56">
        <f t="shared" si="6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ROW(Source!A44)</f>
        <v>44</v>
      </c>
      <c r="B57">
        <v>57248835</v>
      </c>
      <c r="C57">
        <v>57249653</v>
      </c>
      <c r="D57">
        <v>54702434</v>
      </c>
      <c r="E57">
        <v>1081</v>
      </c>
      <c r="F57">
        <v>1</v>
      </c>
      <c r="G57">
        <v>1081</v>
      </c>
      <c r="H57">
        <v>1</v>
      </c>
      <c r="I57" t="s">
        <v>457</v>
      </c>
      <c r="J57" t="s">
        <v>3</v>
      </c>
      <c r="K57" t="s">
        <v>458</v>
      </c>
      <c r="L57">
        <v>1191</v>
      </c>
      <c r="N57">
        <v>1013</v>
      </c>
      <c r="O57" t="s">
        <v>459</v>
      </c>
      <c r="P57" t="s">
        <v>459</v>
      </c>
      <c r="Q57">
        <v>1</v>
      </c>
      <c r="W57">
        <v>0</v>
      </c>
      <c r="X57">
        <v>476480486</v>
      </c>
      <c r="Y57">
        <f>((AT57*1.2)*0.3)</f>
        <v>0.6048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1.68</v>
      </c>
      <c r="AU57" t="s">
        <v>32</v>
      </c>
      <c r="AV57">
        <v>1</v>
      </c>
      <c r="AW57">
        <v>2</v>
      </c>
      <c r="AX57">
        <v>57249655</v>
      </c>
      <c r="AY57">
        <v>1</v>
      </c>
      <c r="AZ57">
        <v>0</v>
      </c>
      <c r="BA57">
        <v>75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ROUND(AT57*Source!I44*AH57*AL57,2)</f>
        <v>0</v>
      </c>
      <c r="CV57">
        <f>ROUND(Y57*Source!I44,9)</f>
        <v>2.4192</v>
      </c>
      <c r="CW57">
        <v>0</v>
      </c>
      <c r="CX57">
        <f>ROUND(Y57*Source!I44,9)</f>
        <v>2.4192</v>
      </c>
      <c r="CY57">
        <f>AD57</f>
        <v>0</v>
      </c>
      <c r="CZ57">
        <f>AH57</f>
        <v>0</v>
      </c>
      <c r="DA57">
        <f>AL57</f>
        <v>1</v>
      </c>
      <c r="DB57">
        <f>ROUND(((ROUND(AT57*CZ57,2)*1.2)*0.3),6)</f>
        <v>0</v>
      </c>
      <c r="DC57">
        <f>ROUND(((ROUND(AT57*AG57,2)*1.2)*0.3),6)</f>
        <v>0</v>
      </c>
      <c r="DD57" t="s">
        <v>3</v>
      </c>
      <c r="DE57" t="s">
        <v>3</v>
      </c>
      <c r="DF57">
        <f t="shared" ref="DF57:DF64" si="30">ROUND(ROUND(AE57,2)*CX57,2)</f>
        <v>0</v>
      </c>
      <c r="DG57">
        <f t="shared" si="29"/>
        <v>0</v>
      </c>
      <c r="DH57">
        <f t="shared" si="28"/>
        <v>0</v>
      </c>
      <c r="DI57">
        <f t="shared" si="6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ROW(Source!A45)</f>
        <v>45</v>
      </c>
      <c r="B58">
        <v>57248837</v>
      </c>
      <c r="C58">
        <v>57249653</v>
      </c>
      <c r="D58">
        <v>54702434</v>
      </c>
      <c r="E58">
        <v>1081</v>
      </c>
      <c r="F58">
        <v>1</v>
      </c>
      <c r="G58">
        <v>1081</v>
      </c>
      <c r="H58">
        <v>1</v>
      </c>
      <c r="I58" t="s">
        <v>457</v>
      </c>
      <c r="J58" t="s">
        <v>3</v>
      </c>
      <c r="K58" t="s">
        <v>458</v>
      </c>
      <c r="L58">
        <v>1191</v>
      </c>
      <c r="N58">
        <v>1013</v>
      </c>
      <c r="O58" t="s">
        <v>459</v>
      </c>
      <c r="P58" t="s">
        <v>459</v>
      </c>
      <c r="Q58">
        <v>1</v>
      </c>
      <c r="W58">
        <v>0</v>
      </c>
      <c r="X58">
        <v>476480486</v>
      </c>
      <c r="Y58">
        <f>((AT58*1.2)*0.3)</f>
        <v>0.6048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5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1.68</v>
      </c>
      <c r="AU58" t="s">
        <v>32</v>
      </c>
      <c r="AV58">
        <v>1</v>
      </c>
      <c r="AW58">
        <v>2</v>
      </c>
      <c r="AX58">
        <v>57249655</v>
      </c>
      <c r="AY58">
        <v>1</v>
      </c>
      <c r="AZ58">
        <v>0</v>
      </c>
      <c r="BA58">
        <v>76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U58">
        <f>ROUND(AT58*Source!I45*AH58*AL58,2)</f>
        <v>0</v>
      </c>
      <c r="CV58">
        <f>ROUND(Y58*Source!I45,9)</f>
        <v>2.4192</v>
      </c>
      <c r="CW58">
        <v>0</v>
      </c>
      <c r="CX58">
        <f>ROUND(Y58*Source!I45,9)</f>
        <v>2.4192</v>
      </c>
      <c r="CY58">
        <f>AD58</f>
        <v>0</v>
      </c>
      <c r="CZ58">
        <f>AH58</f>
        <v>0</v>
      </c>
      <c r="DA58">
        <f>AL58</f>
        <v>1</v>
      </c>
      <c r="DB58">
        <f>ROUND(((ROUND(AT58*CZ58,2)*1.2)*0.3),6)</f>
        <v>0</v>
      </c>
      <c r="DC58">
        <f>ROUND(((ROUND(AT58*AG58,2)*1.2)*0.3),6)</f>
        <v>0</v>
      </c>
      <c r="DD58" t="s">
        <v>3</v>
      </c>
      <c r="DE58" t="s">
        <v>3</v>
      </c>
      <c r="DF58">
        <f t="shared" si="30"/>
        <v>0</v>
      </c>
      <c r="DG58">
        <f t="shared" si="29"/>
        <v>0</v>
      </c>
      <c r="DH58">
        <f t="shared" si="28"/>
        <v>0</v>
      </c>
      <c r="DI58">
        <f t="shared" si="6"/>
        <v>0</v>
      </c>
      <c r="DJ58">
        <f>DI58</f>
        <v>0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ROW(Source!A46)</f>
        <v>46</v>
      </c>
      <c r="B59">
        <v>57248835</v>
      </c>
      <c r="C59">
        <v>57249657</v>
      </c>
      <c r="D59">
        <v>54702434</v>
      </c>
      <c r="E59">
        <v>1081</v>
      </c>
      <c r="F59">
        <v>1</v>
      </c>
      <c r="G59">
        <v>1081</v>
      </c>
      <c r="H59">
        <v>1</v>
      </c>
      <c r="I59" t="s">
        <v>457</v>
      </c>
      <c r="J59" t="s">
        <v>3</v>
      </c>
      <c r="K59" t="s">
        <v>458</v>
      </c>
      <c r="L59">
        <v>1191</v>
      </c>
      <c r="N59">
        <v>1013</v>
      </c>
      <c r="O59" t="s">
        <v>459</v>
      </c>
      <c r="P59" t="s">
        <v>459</v>
      </c>
      <c r="Q59">
        <v>1</v>
      </c>
      <c r="W59">
        <v>0</v>
      </c>
      <c r="X59">
        <v>476480486</v>
      </c>
      <c r="Y59">
        <f>((AT59*1.2)*0.3)</f>
        <v>0.216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0.6</v>
      </c>
      <c r="AU59" t="s">
        <v>32</v>
      </c>
      <c r="AV59">
        <v>1</v>
      </c>
      <c r="AW59">
        <v>2</v>
      </c>
      <c r="AX59">
        <v>57249662</v>
      </c>
      <c r="AY59">
        <v>1</v>
      </c>
      <c r="AZ59">
        <v>0</v>
      </c>
      <c r="BA59">
        <v>77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ROUND(AT59*Source!I46*AH59*AL59,2)</f>
        <v>0</v>
      </c>
      <c r="CV59">
        <f>ROUND(Y59*Source!I46,9)</f>
        <v>1.944</v>
      </c>
      <c r="CW59">
        <v>0</v>
      </c>
      <c r="CX59">
        <f>ROUND(Y59*Source!I46,9)</f>
        <v>1.944</v>
      </c>
      <c r="CY59">
        <f>AD59</f>
        <v>0</v>
      </c>
      <c r="CZ59">
        <f>AH59</f>
        <v>0</v>
      </c>
      <c r="DA59">
        <f>AL59</f>
        <v>1</v>
      </c>
      <c r="DB59">
        <f>ROUND(((ROUND(AT59*CZ59,2)*1.2)*0.3),6)</f>
        <v>0</v>
      </c>
      <c r="DC59">
        <f>ROUND(((ROUND(AT59*AG59,2)*1.2)*0.3),6)</f>
        <v>0</v>
      </c>
      <c r="DD59" t="s">
        <v>3</v>
      </c>
      <c r="DE59" t="s">
        <v>3</v>
      </c>
      <c r="DF59">
        <f t="shared" si="30"/>
        <v>0</v>
      </c>
      <c r="DG59">
        <f t="shared" si="29"/>
        <v>0</v>
      </c>
      <c r="DH59">
        <f t="shared" si="28"/>
        <v>0</v>
      </c>
      <c r="DI59">
        <f t="shared" si="6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ROW(Source!A46)</f>
        <v>46</v>
      </c>
      <c r="B60">
        <v>57248835</v>
      </c>
      <c r="C60">
        <v>57249657</v>
      </c>
      <c r="D60">
        <v>54768393</v>
      </c>
      <c r="E60">
        <v>1</v>
      </c>
      <c r="F60">
        <v>1</v>
      </c>
      <c r="G60">
        <v>1081</v>
      </c>
      <c r="H60">
        <v>2</v>
      </c>
      <c r="I60" t="s">
        <v>510</v>
      </c>
      <c r="J60" t="s">
        <v>511</v>
      </c>
      <c r="K60" t="s">
        <v>512</v>
      </c>
      <c r="L60">
        <v>1368</v>
      </c>
      <c r="N60">
        <v>1011</v>
      </c>
      <c r="O60" t="s">
        <v>463</v>
      </c>
      <c r="P60" t="s">
        <v>463</v>
      </c>
      <c r="Q60">
        <v>1</v>
      </c>
      <c r="W60">
        <v>0</v>
      </c>
      <c r="X60">
        <v>-1895752648</v>
      </c>
      <c r="Y60">
        <f>((AT60*1.2)*0.3)</f>
        <v>2.1599999999999998E-2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0.06</v>
      </c>
      <c r="AU60" t="s">
        <v>32</v>
      </c>
      <c r="AV60">
        <v>0</v>
      </c>
      <c r="AW60">
        <v>2</v>
      </c>
      <c r="AX60">
        <v>57249663</v>
      </c>
      <c r="AY60">
        <v>1</v>
      </c>
      <c r="AZ60">
        <v>0</v>
      </c>
      <c r="BA60">
        <v>78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ROUND(Y60*Source!I46*DO60,9)</f>
        <v>0</v>
      </c>
      <c r="CX60">
        <f>ROUND(Y60*Source!I46,9)</f>
        <v>0.19439999999999999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ROUND(((ROUND(AT60*CZ60,2)*1.2)*0.3),6)</f>
        <v>1.7999999999999999E-2</v>
      </c>
      <c r="DC60">
        <f>ROUND(((ROUND(AT60*AG60,2)*1.2)*0.3),6)</f>
        <v>0</v>
      </c>
      <c r="DD60" t="s">
        <v>3</v>
      </c>
      <c r="DE60" t="s">
        <v>3</v>
      </c>
      <c r="DF60">
        <f t="shared" si="30"/>
        <v>0</v>
      </c>
      <c r="DG60">
        <f t="shared" si="29"/>
        <v>0.15</v>
      </c>
      <c r="DH60">
        <f t="shared" si="28"/>
        <v>0</v>
      </c>
      <c r="DI60">
        <f t="shared" si="6"/>
        <v>0</v>
      </c>
      <c r="DJ60">
        <f>DG60</f>
        <v>0.15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ROW(Source!A46)</f>
        <v>46</v>
      </c>
      <c r="B61">
        <v>57248835</v>
      </c>
      <c r="C61">
        <v>57249657</v>
      </c>
      <c r="D61">
        <v>54739202</v>
      </c>
      <c r="E61">
        <v>1</v>
      </c>
      <c r="F61">
        <v>1</v>
      </c>
      <c r="G61">
        <v>1081</v>
      </c>
      <c r="H61">
        <v>3</v>
      </c>
      <c r="I61" t="s">
        <v>513</v>
      </c>
      <c r="J61" t="s">
        <v>514</v>
      </c>
      <c r="K61" t="s">
        <v>515</v>
      </c>
      <c r="L61">
        <v>1348</v>
      </c>
      <c r="N61">
        <v>1009</v>
      </c>
      <c r="O61" t="s">
        <v>298</v>
      </c>
      <c r="P61" t="s">
        <v>298</v>
      </c>
      <c r="Q61">
        <v>1000</v>
      </c>
      <c r="W61">
        <v>0</v>
      </c>
      <c r="X61">
        <v>895851324</v>
      </c>
      <c r="Y61">
        <f>((AT61*1)*0)</f>
        <v>0</v>
      </c>
      <c r="AA61">
        <v>38894.449999999997</v>
      </c>
      <c r="AB61">
        <v>0</v>
      </c>
      <c r="AC61">
        <v>0</v>
      </c>
      <c r="AD61">
        <v>0</v>
      </c>
      <c r="AE61">
        <v>37835.07</v>
      </c>
      <c r="AF61">
        <v>0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3.0000000000000001E-5</v>
      </c>
      <c r="AU61" t="s">
        <v>31</v>
      </c>
      <c r="AV61">
        <v>0</v>
      </c>
      <c r="AW61">
        <v>2</v>
      </c>
      <c r="AX61">
        <v>57249665</v>
      </c>
      <c r="AY61">
        <v>1</v>
      </c>
      <c r="AZ61">
        <v>0</v>
      </c>
      <c r="BA61">
        <v>80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v>0</v>
      </c>
      <c r="CX61">
        <f>ROUND(Y61*Source!I46,9)</f>
        <v>0</v>
      </c>
      <c r="CY61">
        <f>AA61</f>
        <v>38894.449999999997</v>
      </c>
      <c r="CZ61">
        <f>AE61</f>
        <v>37835.07</v>
      </c>
      <c r="DA61">
        <f>AI61</f>
        <v>1</v>
      </c>
      <c r="DB61">
        <f>ROUND(((ROUND(AT61*CZ61,2)*1)*0),6)</f>
        <v>0</v>
      </c>
      <c r="DC61">
        <f>ROUND(((ROUND(AT61*AG61,2)*1)*0),6)</f>
        <v>0</v>
      </c>
      <c r="DD61" t="s">
        <v>3</v>
      </c>
      <c r="DE61" t="s">
        <v>3</v>
      </c>
      <c r="DF61">
        <f t="shared" si="30"/>
        <v>0</v>
      </c>
      <c r="DG61">
        <f t="shared" si="29"/>
        <v>0</v>
      </c>
      <c r="DH61">
        <f t="shared" si="28"/>
        <v>0</v>
      </c>
      <c r="DI61">
        <f t="shared" si="6"/>
        <v>0</v>
      </c>
      <c r="DJ61">
        <f>DF61</f>
        <v>0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ROW(Source!A46)</f>
        <v>46</v>
      </c>
      <c r="B62">
        <v>57248835</v>
      </c>
      <c r="C62">
        <v>57249657</v>
      </c>
      <c r="D62">
        <v>54739891</v>
      </c>
      <c r="E62">
        <v>1</v>
      </c>
      <c r="F62">
        <v>1</v>
      </c>
      <c r="G62">
        <v>1081</v>
      </c>
      <c r="H62">
        <v>3</v>
      </c>
      <c r="I62" t="s">
        <v>516</v>
      </c>
      <c r="J62" t="s">
        <v>517</v>
      </c>
      <c r="K62" t="s">
        <v>518</v>
      </c>
      <c r="L62">
        <v>1348</v>
      </c>
      <c r="N62">
        <v>1009</v>
      </c>
      <c r="O62" t="s">
        <v>298</v>
      </c>
      <c r="P62" t="s">
        <v>298</v>
      </c>
      <c r="Q62">
        <v>1000</v>
      </c>
      <c r="W62">
        <v>0</v>
      </c>
      <c r="X62">
        <v>893353442</v>
      </c>
      <c r="Y62">
        <f>((AT62*1)*0)</f>
        <v>0</v>
      </c>
      <c r="AA62">
        <v>17525.23</v>
      </c>
      <c r="AB62">
        <v>0</v>
      </c>
      <c r="AC62">
        <v>0</v>
      </c>
      <c r="AD62">
        <v>0</v>
      </c>
      <c r="AE62">
        <v>17047.89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1.0000000000000001E-5</v>
      </c>
      <c r="AU62" t="s">
        <v>31</v>
      </c>
      <c r="AV62">
        <v>0</v>
      </c>
      <c r="AW62">
        <v>2</v>
      </c>
      <c r="AX62">
        <v>57249666</v>
      </c>
      <c r="AY62">
        <v>1</v>
      </c>
      <c r="AZ62">
        <v>0</v>
      </c>
      <c r="BA62">
        <v>81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ROUND(Y62*Source!I46,9)</f>
        <v>0</v>
      </c>
      <c r="CY62">
        <f>AA62</f>
        <v>17525.23</v>
      </c>
      <c r="CZ62">
        <f>AE62</f>
        <v>17047.89</v>
      </c>
      <c r="DA62">
        <f>AI62</f>
        <v>1</v>
      </c>
      <c r="DB62">
        <f>ROUND(((ROUND(AT62*CZ62,2)*1)*0),6)</f>
        <v>0</v>
      </c>
      <c r="DC62">
        <f>ROUND(((ROUND(AT62*AG62,2)*1)*0),6)</f>
        <v>0</v>
      </c>
      <c r="DD62" t="s">
        <v>3</v>
      </c>
      <c r="DE62" t="s">
        <v>3</v>
      </c>
      <c r="DF62">
        <f t="shared" si="30"/>
        <v>0</v>
      </c>
      <c r="DG62">
        <f t="shared" si="29"/>
        <v>0</v>
      </c>
      <c r="DH62">
        <f t="shared" si="28"/>
        <v>0</v>
      </c>
      <c r="DI62">
        <f t="shared" si="6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ROW(Source!A47)</f>
        <v>47</v>
      </c>
      <c r="B63">
        <v>57248837</v>
      </c>
      <c r="C63">
        <v>57249657</v>
      </c>
      <c r="D63">
        <v>54702434</v>
      </c>
      <c r="E63">
        <v>1081</v>
      </c>
      <c r="F63">
        <v>1</v>
      </c>
      <c r="G63">
        <v>1081</v>
      </c>
      <c r="H63">
        <v>1</v>
      </c>
      <c r="I63" t="s">
        <v>457</v>
      </c>
      <c r="J63" t="s">
        <v>3</v>
      </c>
      <c r="K63" t="s">
        <v>458</v>
      </c>
      <c r="L63">
        <v>1191</v>
      </c>
      <c r="N63">
        <v>1013</v>
      </c>
      <c r="O63" t="s">
        <v>459</v>
      </c>
      <c r="P63" t="s">
        <v>459</v>
      </c>
      <c r="Q63">
        <v>1</v>
      </c>
      <c r="W63">
        <v>0</v>
      </c>
      <c r="X63">
        <v>476480486</v>
      </c>
      <c r="Y63">
        <f>((AT63*1.2)*0.3)</f>
        <v>0.216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5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0.6</v>
      </c>
      <c r="AU63" t="s">
        <v>32</v>
      </c>
      <c r="AV63">
        <v>1</v>
      </c>
      <c r="AW63">
        <v>2</v>
      </c>
      <c r="AX63">
        <v>57249662</v>
      </c>
      <c r="AY63">
        <v>1</v>
      </c>
      <c r="AZ63">
        <v>0</v>
      </c>
      <c r="BA63">
        <v>83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U63">
        <f>ROUND(AT63*Source!I47*AH63*AL63,2)</f>
        <v>0</v>
      </c>
      <c r="CV63">
        <f>ROUND(Y63*Source!I47,9)</f>
        <v>1.944</v>
      </c>
      <c r="CW63">
        <v>0</v>
      </c>
      <c r="CX63">
        <f>ROUND(Y63*Source!I47,9)</f>
        <v>1.944</v>
      </c>
      <c r="CY63">
        <f>AD63</f>
        <v>0</v>
      </c>
      <c r="CZ63">
        <f>AH63</f>
        <v>0</v>
      </c>
      <c r="DA63">
        <f>AL63</f>
        <v>1</v>
      </c>
      <c r="DB63">
        <f>ROUND(((ROUND(AT63*CZ63,2)*1.2)*0.3),6)</f>
        <v>0</v>
      </c>
      <c r="DC63">
        <f>ROUND(((ROUND(AT63*AG63,2)*1.2)*0.3),6)</f>
        <v>0</v>
      </c>
      <c r="DD63" t="s">
        <v>3</v>
      </c>
      <c r="DE63" t="s">
        <v>3</v>
      </c>
      <c r="DF63">
        <f t="shared" si="30"/>
        <v>0</v>
      </c>
      <c r="DG63">
        <f t="shared" si="29"/>
        <v>0</v>
      </c>
      <c r="DH63">
        <f t="shared" si="28"/>
        <v>0</v>
      </c>
      <c r="DI63">
        <f t="shared" si="6"/>
        <v>0</v>
      </c>
      <c r="DJ63">
        <f>DI63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ROW(Source!A47)</f>
        <v>47</v>
      </c>
      <c r="B64">
        <v>57248837</v>
      </c>
      <c r="C64">
        <v>57249657</v>
      </c>
      <c r="D64">
        <v>54768393</v>
      </c>
      <c r="E64">
        <v>1</v>
      </c>
      <c r="F64">
        <v>1</v>
      </c>
      <c r="G64">
        <v>1081</v>
      </c>
      <c r="H64">
        <v>2</v>
      </c>
      <c r="I64" t="s">
        <v>510</v>
      </c>
      <c r="J64" t="s">
        <v>511</v>
      </c>
      <c r="K64" t="s">
        <v>512</v>
      </c>
      <c r="L64">
        <v>1368</v>
      </c>
      <c r="N64">
        <v>1011</v>
      </c>
      <c r="O64" t="s">
        <v>463</v>
      </c>
      <c r="P64" t="s">
        <v>463</v>
      </c>
      <c r="Q64">
        <v>1</v>
      </c>
      <c r="W64">
        <v>0</v>
      </c>
      <c r="X64">
        <v>-1895752648</v>
      </c>
      <c r="Y64">
        <f>((AT64*1.2)*0.3)</f>
        <v>2.1599999999999998E-2</v>
      </c>
      <c r="AA64">
        <v>0</v>
      </c>
      <c r="AB64">
        <v>7.85</v>
      </c>
      <c r="AC64">
        <v>0</v>
      </c>
      <c r="AD64">
        <v>0</v>
      </c>
      <c r="AE64">
        <v>0</v>
      </c>
      <c r="AF64">
        <v>0.77</v>
      </c>
      <c r="AG64">
        <v>0</v>
      </c>
      <c r="AH64">
        <v>0</v>
      </c>
      <c r="AI64">
        <v>1</v>
      </c>
      <c r="AJ64">
        <v>9.56</v>
      </c>
      <c r="AK64">
        <v>1</v>
      </c>
      <c r="AL64">
        <v>1</v>
      </c>
      <c r="AM64">
        <v>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0.06</v>
      </c>
      <c r="AU64" t="s">
        <v>32</v>
      </c>
      <c r="AV64">
        <v>0</v>
      </c>
      <c r="AW64">
        <v>2</v>
      </c>
      <c r="AX64">
        <v>57249663</v>
      </c>
      <c r="AY64">
        <v>1</v>
      </c>
      <c r="AZ64">
        <v>0</v>
      </c>
      <c r="BA64">
        <v>84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f>ROUND(Y64*Source!I47*DO64,9)</f>
        <v>0</v>
      </c>
      <c r="CX64">
        <f>ROUND(Y64*Source!I47,9)</f>
        <v>0.19439999999999999</v>
      </c>
      <c r="CY64">
        <f>AB64</f>
        <v>7.85</v>
      </c>
      <c r="CZ64">
        <f>AF64</f>
        <v>0.77</v>
      </c>
      <c r="DA64">
        <f>AJ64</f>
        <v>9.56</v>
      </c>
      <c r="DB64">
        <f>ROUND(((ROUND(AT64*CZ64,2)*1.2)*0.3),6)</f>
        <v>1.7999999999999999E-2</v>
      </c>
      <c r="DC64">
        <f>ROUND(((ROUND(AT64*AG64,2)*1.2)*0.3),6)</f>
        <v>0</v>
      </c>
      <c r="DD64" t="s">
        <v>3</v>
      </c>
      <c r="DE64" t="s">
        <v>3</v>
      </c>
      <c r="DF64">
        <f t="shared" si="30"/>
        <v>0</v>
      </c>
      <c r="DG64">
        <f>ROUND(ROUND(AF64*AJ64,2)*CX64,2)</f>
        <v>1.43</v>
      </c>
      <c r="DH64">
        <f t="shared" si="28"/>
        <v>0</v>
      </c>
      <c r="DI64">
        <f t="shared" si="6"/>
        <v>0</v>
      </c>
      <c r="DJ64">
        <f>DG64</f>
        <v>1.43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ROW(Source!A47)</f>
        <v>47</v>
      </c>
      <c r="B65">
        <v>57248837</v>
      </c>
      <c r="C65">
        <v>57249657</v>
      </c>
      <c r="D65">
        <v>54739202</v>
      </c>
      <c r="E65">
        <v>1</v>
      </c>
      <c r="F65">
        <v>1</v>
      </c>
      <c r="G65">
        <v>1081</v>
      </c>
      <c r="H65">
        <v>3</v>
      </c>
      <c r="I65" t="s">
        <v>513</v>
      </c>
      <c r="J65" t="s">
        <v>514</v>
      </c>
      <c r="K65" t="s">
        <v>515</v>
      </c>
      <c r="L65">
        <v>1348</v>
      </c>
      <c r="N65">
        <v>1009</v>
      </c>
      <c r="O65" t="s">
        <v>298</v>
      </c>
      <c r="P65" t="s">
        <v>298</v>
      </c>
      <c r="Q65">
        <v>1000</v>
      </c>
      <c r="W65">
        <v>0</v>
      </c>
      <c r="X65">
        <v>895851324</v>
      </c>
      <c r="Y65">
        <f>((AT65*1)*0)</f>
        <v>0</v>
      </c>
      <c r="AA65">
        <v>95680.35</v>
      </c>
      <c r="AB65">
        <v>0</v>
      </c>
      <c r="AC65">
        <v>0</v>
      </c>
      <c r="AD65">
        <v>0</v>
      </c>
      <c r="AE65">
        <v>37835.07</v>
      </c>
      <c r="AF65">
        <v>0</v>
      </c>
      <c r="AG65">
        <v>0</v>
      </c>
      <c r="AH65">
        <v>0</v>
      </c>
      <c r="AI65">
        <v>2.46</v>
      </c>
      <c r="AJ65">
        <v>1</v>
      </c>
      <c r="AK65">
        <v>1</v>
      </c>
      <c r="AL65">
        <v>1</v>
      </c>
      <c r="AM65">
        <v>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3.0000000000000001E-5</v>
      </c>
      <c r="AU65" t="s">
        <v>31</v>
      </c>
      <c r="AV65">
        <v>0</v>
      </c>
      <c r="AW65">
        <v>2</v>
      </c>
      <c r="AX65">
        <v>57249665</v>
      </c>
      <c r="AY65">
        <v>1</v>
      </c>
      <c r="AZ65">
        <v>0</v>
      </c>
      <c r="BA65">
        <v>86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ROUND(Y65*Source!I47,9)</f>
        <v>0</v>
      </c>
      <c r="CY65">
        <f>AA65</f>
        <v>95680.35</v>
      </c>
      <c r="CZ65">
        <f>AE65</f>
        <v>37835.07</v>
      </c>
      <c r="DA65">
        <f>AI65</f>
        <v>2.46</v>
      </c>
      <c r="DB65">
        <f>ROUND(((ROUND(AT65*CZ65,2)*1)*0),6)</f>
        <v>0</v>
      </c>
      <c r="DC65">
        <f>ROUND(((ROUND(AT65*AG65,2)*1)*0),6)</f>
        <v>0</v>
      </c>
      <c r="DD65" t="s">
        <v>3</v>
      </c>
      <c r="DE65" t="s">
        <v>3</v>
      </c>
      <c r="DF65">
        <f>ROUND(ROUND(AE65*AI65,2)*CX65,2)</f>
        <v>0</v>
      </c>
      <c r="DG65">
        <f t="shared" ref="DG65:DG74" si="31">ROUND(ROUND(AF65,2)*CX65,2)</f>
        <v>0</v>
      </c>
      <c r="DH65">
        <f t="shared" si="28"/>
        <v>0</v>
      </c>
      <c r="DI65">
        <f t="shared" ref="DI65:DI128" si="32">ROUND(ROUND(AH65,2)*CX65,2)</f>
        <v>0</v>
      </c>
      <c r="DJ65">
        <f>DF65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ROW(Source!A47)</f>
        <v>47</v>
      </c>
      <c r="B66">
        <v>57248837</v>
      </c>
      <c r="C66">
        <v>57249657</v>
      </c>
      <c r="D66">
        <v>54739891</v>
      </c>
      <c r="E66">
        <v>1</v>
      </c>
      <c r="F66">
        <v>1</v>
      </c>
      <c r="G66">
        <v>1081</v>
      </c>
      <c r="H66">
        <v>3</v>
      </c>
      <c r="I66" t="s">
        <v>516</v>
      </c>
      <c r="J66" t="s">
        <v>517</v>
      </c>
      <c r="K66" t="s">
        <v>518</v>
      </c>
      <c r="L66">
        <v>1348</v>
      </c>
      <c r="N66">
        <v>1009</v>
      </c>
      <c r="O66" t="s">
        <v>298</v>
      </c>
      <c r="P66" t="s">
        <v>298</v>
      </c>
      <c r="Q66">
        <v>1000</v>
      </c>
      <c r="W66">
        <v>0</v>
      </c>
      <c r="X66">
        <v>893353442</v>
      </c>
      <c r="Y66">
        <f>((AT66*1)*0)</f>
        <v>0</v>
      </c>
      <c r="AA66">
        <v>103223.61</v>
      </c>
      <c r="AB66">
        <v>0</v>
      </c>
      <c r="AC66">
        <v>0</v>
      </c>
      <c r="AD66">
        <v>0</v>
      </c>
      <c r="AE66">
        <v>17047.89</v>
      </c>
      <c r="AF66">
        <v>0</v>
      </c>
      <c r="AG66">
        <v>0</v>
      </c>
      <c r="AH66">
        <v>0</v>
      </c>
      <c r="AI66">
        <v>5.89</v>
      </c>
      <c r="AJ66">
        <v>1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1.0000000000000001E-5</v>
      </c>
      <c r="AU66" t="s">
        <v>31</v>
      </c>
      <c r="AV66">
        <v>0</v>
      </c>
      <c r="AW66">
        <v>2</v>
      </c>
      <c r="AX66">
        <v>57249666</v>
      </c>
      <c r="AY66">
        <v>1</v>
      </c>
      <c r="AZ66">
        <v>0</v>
      </c>
      <c r="BA66">
        <v>87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v>0</v>
      </c>
      <c r="CX66">
        <f>ROUND(Y66*Source!I47,9)</f>
        <v>0</v>
      </c>
      <c r="CY66">
        <f>AA66</f>
        <v>103223.61</v>
      </c>
      <c r="CZ66">
        <f>AE66</f>
        <v>17047.89</v>
      </c>
      <c r="DA66">
        <f>AI66</f>
        <v>5.89</v>
      </c>
      <c r="DB66">
        <f>ROUND(((ROUND(AT66*CZ66,2)*1)*0),6)</f>
        <v>0</v>
      </c>
      <c r="DC66">
        <f>ROUND(((ROUND(AT66*AG66,2)*1)*0),6)</f>
        <v>0</v>
      </c>
      <c r="DD66" t="s">
        <v>3</v>
      </c>
      <c r="DE66" t="s">
        <v>3</v>
      </c>
      <c r="DF66">
        <f>ROUND(ROUND(AE66*AI66,2)*CX66,2)</f>
        <v>0</v>
      </c>
      <c r="DG66">
        <f t="shared" si="31"/>
        <v>0</v>
      </c>
      <c r="DH66">
        <f t="shared" si="28"/>
        <v>0</v>
      </c>
      <c r="DI66">
        <f t="shared" si="32"/>
        <v>0</v>
      </c>
      <c r="DJ66">
        <f>DF66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ROW(Source!A48)</f>
        <v>48</v>
      </c>
      <c r="B67">
        <v>57248835</v>
      </c>
      <c r="C67">
        <v>57249669</v>
      </c>
      <c r="D67">
        <v>54702434</v>
      </c>
      <c r="E67">
        <v>1081</v>
      </c>
      <c r="F67">
        <v>1</v>
      </c>
      <c r="G67">
        <v>1081</v>
      </c>
      <c r="H67">
        <v>1</v>
      </c>
      <c r="I67" t="s">
        <v>457</v>
      </c>
      <c r="J67" t="s">
        <v>3</v>
      </c>
      <c r="K67" t="s">
        <v>458</v>
      </c>
      <c r="L67">
        <v>1191</v>
      </c>
      <c r="N67">
        <v>1013</v>
      </c>
      <c r="O67" t="s">
        <v>459</v>
      </c>
      <c r="P67" t="s">
        <v>459</v>
      </c>
      <c r="Q67">
        <v>1</v>
      </c>
      <c r="W67">
        <v>0</v>
      </c>
      <c r="X67">
        <v>476480486</v>
      </c>
      <c r="Y67">
        <f>((AT67*1.2)*0.6)</f>
        <v>13.233599999999997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1</v>
      </c>
      <c r="AK67">
        <v>1</v>
      </c>
      <c r="AL67">
        <v>1</v>
      </c>
      <c r="AM67">
        <v>-2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18.38</v>
      </c>
      <c r="AU67" t="s">
        <v>85</v>
      </c>
      <c r="AV67">
        <v>1</v>
      </c>
      <c r="AW67">
        <v>2</v>
      </c>
      <c r="AX67">
        <v>57249677</v>
      </c>
      <c r="AY67">
        <v>1</v>
      </c>
      <c r="AZ67">
        <v>0</v>
      </c>
      <c r="BA67">
        <v>89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U67">
        <f>ROUND(AT67*Source!I48*AH67*AL67,2)</f>
        <v>0</v>
      </c>
      <c r="CV67">
        <f>ROUND(Y67*Source!I48,9)</f>
        <v>5.2934400000000004</v>
      </c>
      <c r="CW67">
        <v>0</v>
      </c>
      <c r="CX67">
        <f>ROUND(Y67*Source!I48,9)</f>
        <v>5.2934400000000004</v>
      </c>
      <c r="CY67">
        <f>AD67</f>
        <v>0</v>
      </c>
      <c r="CZ67">
        <f>AH67</f>
        <v>0</v>
      </c>
      <c r="DA67">
        <f>AL67</f>
        <v>1</v>
      </c>
      <c r="DB67">
        <f>ROUND(((ROUND(AT67*CZ67,2)*1.2)*0.6),6)</f>
        <v>0</v>
      </c>
      <c r="DC67">
        <f>ROUND(((ROUND(AT67*AG67,2)*1.2)*0.6),6)</f>
        <v>0</v>
      </c>
      <c r="DD67" t="s">
        <v>3</v>
      </c>
      <c r="DE67" t="s">
        <v>3</v>
      </c>
      <c r="DF67">
        <f t="shared" ref="DF67:DF77" si="33">ROUND(ROUND(AE67,2)*CX67,2)</f>
        <v>0</v>
      </c>
      <c r="DG67">
        <f t="shared" si="31"/>
        <v>0</v>
      </c>
      <c r="DH67">
        <f t="shared" si="28"/>
        <v>0</v>
      </c>
      <c r="DI67">
        <f t="shared" si="32"/>
        <v>0</v>
      </c>
      <c r="DJ67">
        <f>DI67</f>
        <v>0</v>
      </c>
      <c r="DK67">
        <v>0</v>
      </c>
      <c r="DL67" t="s">
        <v>3</v>
      </c>
      <c r="DM67">
        <v>0</v>
      </c>
      <c r="DN67" t="s">
        <v>3</v>
      </c>
      <c r="DO67">
        <v>0</v>
      </c>
    </row>
    <row r="68" spans="1:119" x14ac:dyDescent="0.2">
      <c r="A68">
        <f>ROW(Source!A48)</f>
        <v>48</v>
      </c>
      <c r="B68">
        <v>57248835</v>
      </c>
      <c r="C68">
        <v>57249669</v>
      </c>
      <c r="D68">
        <v>54768339</v>
      </c>
      <c r="E68">
        <v>1</v>
      </c>
      <c r="F68">
        <v>1</v>
      </c>
      <c r="G68">
        <v>1081</v>
      </c>
      <c r="H68">
        <v>2</v>
      </c>
      <c r="I68" t="s">
        <v>497</v>
      </c>
      <c r="J68" t="s">
        <v>498</v>
      </c>
      <c r="K68" t="s">
        <v>499</v>
      </c>
      <c r="L68">
        <v>1368</v>
      </c>
      <c r="N68">
        <v>1011</v>
      </c>
      <c r="O68" t="s">
        <v>463</v>
      </c>
      <c r="P68" t="s">
        <v>463</v>
      </c>
      <c r="Q68">
        <v>1</v>
      </c>
      <c r="W68">
        <v>0</v>
      </c>
      <c r="X68">
        <v>874612079</v>
      </c>
      <c r="Y68">
        <f>((AT68*1.2)*0.6)</f>
        <v>0.97920000000000007</v>
      </c>
      <c r="AA68">
        <v>0</v>
      </c>
      <c r="AB68">
        <v>90.33</v>
      </c>
      <c r="AC68">
        <v>13.72</v>
      </c>
      <c r="AD68">
        <v>0</v>
      </c>
      <c r="AE68">
        <v>0</v>
      </c>
      <c r="AF68">
        <v>83.1</v>
      </c>
      <c r="AG68">
        <v>12.62</v>
      </c>
      <c r="AH68">
        <v>0</v>
      </c>
      <c r="AI68">
        <v>1</v>
      </c>
      <c r="AJ68">
        <v>1</v>
      </c>
      <c r="AK68">
        <v>1</v>
      </c>
      <c r="AL68">
        <v>1</v>
      </c>
      <c r="AM68">
        <v>-2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1.36</v>
      </c>
      <c r="AU68" t="s">
        <v>85</v>
      </c>
      <c r="AV68">
        <v>0</v>
      </c>
      <c r="AW68">
        <v>2</v>
      </c>
      <c r="AX68">
        <v>57249678</v>
      </c>
      <c r="AY68">
        <v>1</v>
      </c>
      <c r="AZ68">
        <v>0</v>
      </c>
      <c r="BA68">
        <v>90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ROUND(Y68*Source!I48*DO68,9)</f>
        <v>4.9430015999999997</v>
      </c>
      <c r="CX68">
        <f>ROUND(Y68*Source!I48,9)</f>
        <v>0.39167999999999997</v>
      </c>
      <c r="CY68">
        <f>AB68</f>
        <v>90.33</v>
      </c>
      <c r="CZ68">
        <f>AF68</f>
        <v>83.1</v>
      </c>
      <c r="DA68">
        <f>AJ68</f>
        <v>1</v>
      </c>
      <c r="DB68">
        <f>ROUND(((ROUND(AT68*CZ68,2)*1.2)*0.6),6)</f>
        <v>81.374399999999994</v>
      </c>
      <c r="DC68">
        <f>ROUND(((ROUND(AT68*AG68,2)*1.2)*0.6),6)</f>
        <v>12.3552</v>
      </c>
      <c r="DD68" t="s">
        <v>3</v>
      </c>
      <c r="DE68" t="s">
        <v>3</v>
      </c>
      <c r="DF68">
        <f t="shared" si="33"/>
        <v>0</v>
      </c>
      <c r="DG68">
        <f t="shared" si="31"/>
        <v>32.549999999999997</v>
      </c>
      <c r="DH68">
        <f t="shared" si="28"/>
        <v>4.9400000000000004</v>
      </c>
      <c r="DI68">
        <f t="shared" si="32"/>
        <v>0</v>
      </c>
      <c r="DJ68">
        <f>DG68</f>
        <v>32.549999999999997</v>
      </c>
      <c r="DK68">
        <v>0</v>
      </c>
      <c r="DL68" t="s">
        <v>500</v>
      </c>
      <c r="DM68">
        <v>0</v>
      </c>
      <c r="DN68" t="s">
        <v>459</v>
      </c>
      <c r="DO68">
        <v>12.62</v>
      </c>
    </row>
    <row r="69" spans="1:119" x14ac:dyDescent="0.2">
      <c r="A69">
        <f>ROW(Source!A48)</f>
        <v>48</v>
      </c>
      <c r="B69">
        <v>57248835</v>
      </c>
      <c r="C69">
        <v>57249669</v>
      </c>
      <c r="D69">
        <v>54768461</v>
      </c>
      <c r="E69">
        <v>1</v>
      </c>
      <c r="F69">
        <v>1</v>
      </c>
      <c r="G69">
        <v>1081</v>
      </c>
      <c r="H69">
        <v>2</v>
      </c>
      <c r="I69" t="s">
        <v>464</v>
      </c>
      <c r="J69" t="s">
        <v>465</v>
      </c>
      <c r="K69" t="s">
        <v>466</v>
      </c>
      <c r="L69">
        <v>1368</v>
      </c>
      <c r="N69">
        <v>1011</v>
      </c>
      <c r="O69" t="s">
        <v>463</v>
      </c>
      <c r="P69" t="s">
        <v>463</v>
      </c>
      <c r="Q69">
        <v>1</v>
      </c>
      <c r="W69">
        <v>0</v>
      </c>
      <c r="X69">
        <v>1043446422</v>
      </c>
      <c r="Y69">
        <f>((AT69*1.2)*0.6)</f>
        <v>0.38879999999999998</v>
      </c>
      <c r="AA69">
        <v>0</v>
      </c>
      <c r="AB69">
        <v>1.21</v>
      </c>
      <c r="AC69">
        <v>0</v>
      </c>
      <c r="AD69">
        <v>0</v>
      </c>
      <c r="AE69">
        <v>0</v>
      </c>
      <c r="AF69">
        <v>1.1100000000000001</v>
      </c>
      <c r="AG69">
        <v>0</v>
      </c>
      <c r="AH69">
        <v>0</v>
      </c>
      <c r="AI69">
        <v>1</v>
      </c>
      <c r="AJ69">
        <v>1</v>
      </c>
      <c r="AK69">
        <v>1</v>
      </c>
      <c r="AL69">
        <v>1</v>
      </c>
      <c r="AM69">
        <v>-2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0.54</v>
      </c>
      <c r="AU69" t="s">
        <v>85</v>
      </c>
      <c r="AV69">
        <v>0</v>
      </c>
      <c r="AW69">
        <v>2</v>
      </c>
      <c r="AX69">
        <v>57249679</v>
      </c>
      <c r="AY69">
        <v>1</v>
      </c>
      <c r="AZ69">
        <v>0</v>
      </c>
      <c r="BA69">
        <v>91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ROUND(Y69*Source!I48*DO69,9)</f>
        <v>0</v>
      </c>
      <c r="CX69">
        <f>ROUND(Y69*Source!I48,9)</f>
        <v>0.15551999999999999</v>
      </c>
      <c r="CY69">
        <f>AB69</f>
        <v>1.21</v>
      </c>
      <c r="CZ69">
        <f>AF69</f>
        <v>1.1100000000000001</v>
      </c>
      <c r="DA69">
        <f>AJ69</f>
        <v>1</v>
      </c>
      <c r="DB69">
        <f>ROUND(((ROUND(AT69*CZ69,2)*1.2)*0.6),6)</f>
        <v>0.432</v>
      </c>
      <c r="DC69">
        <f>ROUND(((ROUND(AT69*AG69,2)*1.2)*0.6),6)</f>
        <v>0</v>
      </c>
      <c r="DD69" t="s">
        <v>3</v>
      </c>
      <c r="DE69" t="s">
        <v>3</v>
      </c>
      <c r="DF69">
        <f t="shared" si="33"/>
        <v>0</v>
      </c>
      <c r="DG69">
        <f t="shared" si="31"/>
        <v>0.17</v>
      </c>
      <c r="DH69">
        <f t="shared" si="28"/>
        <v>0</v>
      </c>
      <c r="DI69">
        <f t="shared" si="32"/>
        <v>0</v>
      </c>
      <c r="DJ69">
        <f>DG69</f>
        <v>0.17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ROW(Source!A48)</f>
        <v>48</v>
      </c>
      <c r="B70">
        <v>57248835</v>
      </c>
      <c r="C70">
        <v>57249669</v>
      </c>
      <c r="D70">
        <v>54768426</v>
      </c>
      <c r="E70">
        <v>1</v>
      </c>
      <c r="F70">
        <v>1</v>
      </c>
      <c r="G70">
        <v>1081</v>
      </c>
      <c r="H70">
        <v>2</v>
      </c>
      <c r="I70" t="s">
        <v>485</v>
      </c>
      <c r="J70" t="s">
        <v>486</v>
      </c>
      <c r="K70" t="s">
        <v>487</v>
      </c>
      <c r="L70">
        <v>1368</v>
      </c>
      <c r="N70">
        <v>1011</v>
      </c>
      <c r="O70" t="s">
        <v>463</v>
      </c>
      <c r="P70" t="s">
        <v>463</v>
      </c>
      <c r="Q70">
        <v>1</v>
      </c>
      <c r="W70">
        <v>0</v>
      </c>
      <c r="X70">
        <v>-643591644</v>
      </c>
      <c r="Y70">
        <f>((AT70*1.2)*0.6)</f>
        <v>0.17279999999999998</v>
      </c>
      <c r="AA70">
        <v>0</v>
      </c>
      <c r="AB70">
        <v>0.51</v>
      </c>
      <c r="AC70">
        <v>0</v>
      </c>
      <c r="AD70">
        <v>0</v>
      </c>
      <c r="AE70">
        <v>0</v>
      </c>
      <c r="AF70">
        <v>0.47</v>
      </c>
      <c r="AG70">
        <v>0</v>
      </c>
      <c r="AH70">
        <v>0</v>
      </c>
      <c r="AI70">
        <v>1</v>
      </c>
      <c r="AJ70">
        <v>1</v>
      </c>
      <c r="AK70">
        <v>1</v>
      </c>
      <c r="AL70">
        <v>1</v>
      </c>
      <c r="AM70">
        <v>-2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0.24</v>
      </c>
      <c r="AU70" t="s">
        <v>85</v>
      </c>
      <c r="AV70">
        <v>0</v>
      </c>
      <c r="AW70">
        <v>2</v>
      </c>
      <c r="AX70">
        <v>57249680</v>
      </c>
      <c r="AY70">
        <v>1</v>
      </c>
      <c r="AZ70">
        <v>0</v>
      </c>
      <c r="BA70">
        <v>92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ROUND(Y70*Source!I48*DO70,9)</f>
        <v>0</v>
      </c>
      <c r="CX70">
        <f>ROUND(Y70*Source!I48,9)</f>
        <v>6.9120000000000001E-2</v>
      </c>
      <c r="CY70">
        <f>AB70</f>
        <v>0.51</v>
      </c>
      <c r="CZ70">
        <f>AF70</f>
        <v>0.47</v>
      </c>
      <c r="DA70">
        <f>AJ70</f>
        <v>1</v>
      </c>
      <c r="DB70">
        <f>ROUND(((ROUND(AT70*CZ70,2)*1.2)*0.6),6)</f>
        <v>7.9200000000000007E-2</v>
      </c>
      <c r="DC70">
        <f>ROUND(((ROUND(AT70*AG70,2)*1.2)*0.6),6)</f>
        <v>0</v>
      </c>
      <c r="DD70" t="s">
        <v>3</v>
      </c>
      <c r="DE70" t="s">
        <v>3</v>
      </c>
      <c r="DF70">
        <f t="shared" si="33"/>
        <v>0</v>
      </c>
      <c r="DG70">
        <f t="shared" si="31"/>
        <v>0.03</v>
      </c>
      <c r="DH70">
        <f t="shared" si="28"/>
        <v>0</v>
      </c>
      <c r="DI70">
        <f t="shared" si="32"/>
        <v>0</v>
      </c>
      <c r="DJ70">
        <f>DG70</f>
        <v>0.03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ROW(Source!A48)</f>
        <v>48</v>
      </c>
      <c r="B71">
        <v>57248835</v>
      </c>
      <c r="C71">
        <v>57249669</v>
      </c>
      <c r="D71">
        <v>54739820</v>
      </c>
      <c r="E71">
        <v>1</v>
      </c>
      <c r="F71">
        <v>1</v>
      </c>
      <c r="G71">
        <v>1081</v>
      </c>
      <c r="H71">
        <v>3</v>
      </c>
      <c r="I71" t="s">
        <v>519</v>
      </c>
      <c r="J71" t="s">
        <v>520</v>
      </c>
      <c r="K71" t="s">
        <v>521</v>
      </c>
      <c r="L71">
        <v>1296</v>
      </c>
      <c r="N71">
        <v>1002</v>
      </c>
      <c r="O71" t="s">
        <v>522</v>
      </c>
      <c r="P71" t="s">
        <v>522</v>
      </c>
      <c r="Q71">
        <v>1</v>
      </c>
      <c r="W71">
        <v>0</v>
      </c>
      <c r="X71">
        <v>-770347070</v>
      </c>
      <c r="Y71">
        <f>((AT71*1)*0.6)</f>
        <v>1.512</v>
      </c>
      <c r="AA71">
        <v>125.73</v>
      </c>
      <c r="AB71">
        <v>0</v>
      </c>
      <c r="AC71">
        <v>0</v>
      </c>
      <c r="AD71">
        <v>0</v>
      </c>
      <c r="AE71">
        <v>125.73</v>
      </c>
      <c r="AF71">
        <v>0</v>
      </c>
      <c r="AG71">
        <v>0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-2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2.52</v>
      </c>
      <c r="AU71" t="s">
        <v>84</v>
      </c>
      <c r="AV71">
        <v>0</v>
      </c>
      <c r="AW71">
        <v>2</v>
      </c>
      <c r="AX71">
        <v>57249681</v>
      </c>
      <c r="AY71">
        <v>1</v>
      </c>
      <c r="AZ71">
        <v>0</v>
      </c>
      <c r="BA71">
        <v>93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ROUND(Y71*Source!I48,9)</f>
        <v>0.6048</v>
      </c>
      <c r="CY71">
        <f>AA71</f>
        <v>125.73</v>
      </c>
      <c r="CZ71">
        <f>AE71</f>
        <v>125.73</v>
      </c>
      <c r="DA71">
        <f>AI71</f>
        <v>1</v>
      </c>
      <c r="DB71">
        <f>ROUND(((ROUND(AT71*CZ71,2)*1)*0.6),6)</f>
        <v>190.10400000000001</v>
      </c>
      <c r="DC71">
        <f>ROUND(((ROUND(AT71*AG71,2)*1)*0.6),6)</f>
        <v>0</v>
      </c>
      <c r="DD71" t="s">
        <v>3</v>
      </c>
      <c r="DE71" t="s">
        <v>3</v>
      </c>
      <c r="DF71">
        <f t="shared" si="33"/>
        <v>76.040000000000006</v>
      </c>
      <c r="DG71">
        <f t="shared" si="31"/>
        <v>0</v>
      </c>
      <c r="DH71">
        <f t="shared" si="28"/>
        <v>0</v>
      </c>
      <c r="DI71">
        <f t="shared" si="32"/>
        <v>0</v>
      </c>
      <c r="DJ71">
        <f>DF71</f>
        <v>76.040000000000006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ROW(Source!A48)</f>
        <v>48</v>
      </c>
      <c r="B72">
        <v>57248835</v>
      </c>
      <c r="C72">
        <v>57249669</v>
      </c>
      <c r="D72">
        <v>54747392</v>
      </c>
      <c r="E72">
        <v>1</v>
      </c>
      <c r="F72">
        <v>1</v>
      </c>
      <c r="G72">
        <v>1081</v>
      </c>
      <c r="H72">
        <v>3</v>
      </c>
      <c r="I72" t="s">
        <v>482</v>
      </c>
      <c r="J72" t="s">
        <v>483</v>
      </c>
      <c r="K72" t="s">
        <v>484</v>
      </c>
      <c r="L72">
        <v>1354</v>
      </c>
      <c r="N72">
        <v>1010</v>
      </c>
      <c r="O72" t="s">
        <v>228</v>
      </c>
      <c r="P72" t="s">
        <v>228</v>
      </c>
      <c r="Q72">
        <v>1</v>
      </c>
      <c r="W72">
        <v>0</v>
      </c>
      <c r="X72">
        <v>-407007888</v>
      </c>
      <c r="Y72">
        <f>((AT72*1)*0.6)</f>
        <v>5.7599999999999998E-2</v>
      </c>
      <c r="AA72">
        <v>10.53</v>
      </c>
      <c r="AB72">
        <v>0</v>
      </c>
      <c r="AC72">
        <v>0</v>
      </c>
      <c r="AD72">
        <v>0</v>
      </c>
      <c r="AE72">
        <v>10.53</v>
      </c>
      <c r="AF72">
        <v>0</v>
      </c>
      <c r="AG72">
        <v>0</v>
      </c>
      <c r="AH72">
        <v>0</v>
      </c>
      <c r="AI72">
        <v>1</v>
      </c>
      <c r="AJ72">
        <v>1</v>
      </c>
      <c r="AK72">
        <v>1</v>
      </c>
      <c r="AL72">
        <v>1</v>
      </c>
      <c r="AM72">
        <v>-2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9.6000000000000002E-2</v>
      </c>
      <c r="AU72" t="s">
        <v>84</v>
      </c>
      <c r="AV72">
        <v>0</v>
      </c>
      <c r="AW72">
        <v>2</v>
      </c>
      <c r="AX72">
        <v>57249682</v>
      </c>
      <c r="AY72">
        <v>1</v>
      </c>
      <c r="AZ72">
        <v>0</v>
      </c>
      <c r="BA72">
        <v>94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ROUND(Y72*Source!I48,9)</f>
        <v>2.3040000000000001E-2</v>
      </c>
      <c r="CY72">
        <f>AA72</f>
        <v>10.53</v>
      </c>
      <c r="CZ72">
        <f>AE72</f>
        <v>10.53</v>
      </c>
      <c r="DA72">
        <f>AI72</f>
        <v>1</v>
      </c>
      <c r="DB72">
        <f>ROUND(((ROUND(AT72*CZ72,2)*1)*0.6),6)</f>
        <v>0.60599999999999998</v>
      </c>
      <c r="DC72">
        <f>ROUND(((ROUND(AT72*AG72,2)*1)*0.6),6)</f>
        <v>0</v>
      </c>
      <c r="DD72" t="s">
        <v>3</v>
      </c>
      <c r="DE72" t="s">
        <v>3</v>
      </c>
      <c r="DF72">
        <f t="shared" si="33"/>
        <v>0.24</v>
      </c>
      <c r="DG72">
        <f t="shared" si="31"/>
        <v>0</v>
      </c>
      <c r="DH72">
        <f t="shared" si="28"/>
        <v>0</v>
      </c>
      <c r="DI72">
        <f t="shared" si="32"/>
        <v>0</v>
      </c>
      <c r="DJ72">
        <f>DF72</f>
        <v>0.24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ROW(Source!A48)</f>
        <v>48</v>
      </c>
      <c r="B73">
        <v>57248835</v>
      </c>
      <c r="C73">
        <v>57249669</v>
      </c>
      <c r="D73">
        <v>54747602</v>
      </c>
      <c r="E73">
        <v>1</v>
      </c>
      <c r="F73">
        <v>1</v>
      </c>
      <c r="G73">
        <v>1081</v>
      </c>
      <c r="H73">
        <v>3</v>
      </c>
      <c r="I73" t="s">
        <v>523</v>
      </c>
      <c r="J73" t="s">
        <v>524</v>
      </c>
      <c r="K73" t="s">
        <v>525</v>
      </c>
      <c r="L73">
        <v>1355</v>
      </c>
      <c r="N73">
        <v>1010</v>
      </c>
      <c r="O73" t="s">
        <v>67</v>
      </c>
      <c r="P73" t="s">
        <v>67</v>
      </c>
      <c r="Q73">
        <v>100</v>
      </c>
      <c r="W73">
        <v>0</v>
      </c>
      <c r="X73">
        <v>-106825780</v>
      </c>
      <c r="Y73">
        <f>((AT73*1)*0.6)</f>
        <v>0.36599999999999999</v>
      </c>
      <c r="AA73">
        <v>278.73</v>
      </c>
      <c r="AB73">
        <v>0</v>
      </c>
      <c r="AC73">
        <v>0</v>
      </c>
      <c r="AD73">
        <v>0</v>
      </c>
      <c r="AE73">
        <v>278.73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0.61</v>
      </c>
      <c r="AU73" t="s">
        <v>84</v>
      </c>
      <c r="AV73">
        <v>0</v>
      </c>
      <c r="AW73">
        <v>2</v>
      </c>
      <c r="AX73">
        <v>57249683</v>
      </c>
      <c r="AY73">
        <v>1</v>
      </c>
      <c r="AZ73">
        <v>0</v>
      </c>
      <c r="BA73">
        <v>95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V73">
        <v>0</v>
      </c>
      <c r="CW73">
        <v>0</v>
      </c>
      <c r="CX73">
        <f>ROUND(Y73*Source!I48,9)</f>
        <v>0.1464</v>
      </c>
      <c r="CY73">
        <f>AA73</f>
        <v>278.73</v>
      </c>
      <c r="CZ73">
        <f>AE73</f>
        <v>278.73</v>
      </c>
      <c r="DA73">
        <f>AI73</f>
        <v>1</v>
      </c>
      <c r="DB73">
        <f>ROUND(((ROUND(AT73*CZ73,2)*1)*0.6),6)</f>
        <v>102.018</v>
      </c>
      <c r="DC73">
        <f>ROUND(((ROUND(AT73*AG73,2)*1)*0.6),6)</f>
        <v>0</v>
      </c>
      <c r="DD73" t="s">
        <v>3</v>
      </c>
      <c r="DE73" t="s">
        <v>3</v>
      </c>
      <c r="DF73">
        <f t="shared" si="33"/>
        <v>40.81</v>
      </c>
      <c r="DG73">
        <f t="shared" si="31"/>
        <v>0</v>
      </c>
      <c r="DH73">
        <f t="shared" si="28"/>
        <v>0</v>
      </c>
      <c r="DI73">
        <f t="shared" si="32"/>
        <v>0</v>
      </c>
      <c r="DJ73">
        <f>DF73</f>
        <v>40.81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ROW(Source!A49)</f>
        <v>49</v>
      </c>
      <c r="B74">
        <v>57248837</v>
      </c>
      <c r="C74">
        <v>57249669</v>
      </c>
      <c r="D74">
        <v>54702434</v>
      </c>
      <c r="E74">
        <v>1081</v>
      </c>
      <c r="F74">
        <v>1</v>
      </c>
      <c r="G74">
        <v>1081</v>
      </c>
      <c r="H74">
        <v>1</v>
      </c>
      <c r="I74" t="s">
        <v>457</v>
      </c>
      <c r="J74" t="s">
        <v>3</v>
      </c>
      <c r="K74" t="s">
        <v>458</v>
      </c>
      <c r="L74">
        <v>1191</v>
      </c>
      <c r="N74">
        <v>1013</v>
      </c>
      <c r="O74" t="s">
        <v>459</v>
      </c>
      <c r="P74" t="s">
        <v>459</v>
      </c>
      <c r="Q74">
        <v>1</v>
      </c>
      <c r="W74">
        <v>0</v>
      </c>
      <c r="X74">
        <v>476480486</v>
      </c>
      <c r="Y74">
        <f>((AT74*1.2)*0.6)</f>
        <v>13.233599999999997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18.38</v>
      </c>
      <c r="AU74" t="s">
        <v>85</v>
      </c>
      <c r="AV74">
        <v>1</v>
      </c>
      <c r="AW74">
        <v>2</v>
      </c>
      <c r="AX74">
        <v>57249677</v>
      </c>
      <c r="AY74">
        <v>1</v>
      </c>
      <c r="AZ74">
        <v>0</v>
      </c>
      <c r="BA74">
        <v>97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ROUND(AT74*Source!I49*AH74*AL74,2)</f>
        <v>0</v>
      </c>
      <c r="CV74">
        <f>ROUND(Y74*Source!I49,9)</f>
        <v>5.2934400000000004</v>
      </c>
      <c r="CW74">
        <v>0</v>
      </c>
      <c r="CX74">
        <f>ROUND(Y74*Source!I49,9)</f>
        <v>5.2934400000000004</v>
      </c>
      <c r="CY74">
        <f>AD74</f>
        <v>0</v>
      </c>
      <c r="CZ74">
        <f>AH74</f>
        <v>0</v>
      </c>
      <c r="DA74">
        <f>AL74</f>
        <v>1</v>
      </c>
      <c r="DB74">
        <f>ROUND(((ROUND(AT74*CZ74,2)*1.2)*0.6),6)</f>
        <v>0</v>
      </c>
      <c r="DC74">
        <f>ROUND(((ROUND(AT74*AG74,2)*1.2)*0.6),6)</f>
        <v>0</v>
      </c>
      <c r="DD74" t="s">
        <v>3</v>
      </c>
      <c r="DE74" t="s">
        <v>3</v>
      </c>
      <c r="DF74">
        <f t="shared" si="33"/>
        <v>0</v>
      </c>
      <c r="DG74">
        <f t="shared" si="31"/>
        <v>0</v>
      </c>
      <c r="DH74">
        <f t="shared" si="28"/>
        <v>0</v>
      </c>
      <c r="DI74">
        <f t="shared" si="32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ROW(Source!A49)</f>
        <v>49</v>
      </c>
      <c r="B75">
        <v>57248837</v>
      </c>
      <c r="C75">
        <v>57249669</v>
      </c>
      <c r="D75">
        <v>54768339</v>
      </c>
      <c r="E75">
        <v>1</v>
      </c>
      <c r="F75">
        <v>1</v>
      </c>
      <c r="G75">
        <v>1081</v>
      </c>
      <c r="H75">
        <v>2</v>
      </c>
      <c r="I75" t="s">
        <v>497</v>
      </c>
      <c r="J75" t="s">
        <v>498</v>
      </c>
      <c r="K75" t="s">
        <v>499</v>
      </c>
      <c r="L75">
        <v>1368</v>
      </c>
      <c r="N75">
        <v>1011</v>
      </c>
      <c r="O75" t="s">
        <v>463</v>
      </c>
      <c r="P75" t="s">
        <v>463</v>
      </c>
      <c r="Q75">
        <v>1</v>
      </c>
      <c r="W75">
        <v>0</v>
      </c>
      <c r="X75">
        <v>874612079</v>
      </c>
      <c r="Y75">
        <f>((AT75*1.2)*0.6)</f>
        <v>0.97920000000000007</v>
      </c>
      <c r="AA75">
        <v>0</v>
      </c>
      <c r="AB75">
        <v>1541.93</v>
      </c>
      <c r="AC75">
        <v>773.01</v>
      </c>
      <c r="AD75">
        <v>0</v>
      </c>
      <c r="AE75">
        <v>0</v>
      </c>
      <c r="AF75">
        <v>83.1</v>
      </c>
      <c r="AG75">
        <v>12.62</v>
      </c>
      <c r="AH75">
        <v>0</v>
      </c>
      <c r="AI75">
        <v>1</v>
      </c>
      <c r="AJ75">
        <v>17.07</v>
      </c>
      <c r="AK75">
        <v>56.35</v>
      </c>
      <c r="AL75">
        <v>1</v>
      </c>
      <c r="AM75">
        <v>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1.36</v>
      </c>
      <c r="AU75" t="s">
        <v>85</v>
      </c>
      <c r="AV75">
        <v>0</v>
      </c>
      <c r="AW75">
        <v>2</v>
      </c>
      <c r="AX75">
        <v>57249678</v>
      </c>
      <c r="AY75">
        <v>1</v>
      </c>
      <c r="AZ75">
        <v>0</v>
      </c>
      <c r="BA75">
        <v>98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f>ROUND(Y75*Source!I49*DO75,9)</f>
        <v>4.9430015999999997</v>
      </c>
      <c r="CX75">
        <f>ROUND(Y75*Source!I49,9)</f>
        <v>0.39167999999999997</v>
      </c>
      <c r="CY75">
        <f>AB75</f>
        <v>1541.93</v>
      </c>
      <c r="CZ75">
        <f>AF75</f>
        <v>83.1</v>
      </c>
      <c r="DA75">
        <f>AJ75</f>
        <v>17.07</v>
      </c>
      <c r="DB75">
        <f>ROUND(((ROUND(AT75*CZ75,2)*1.2)*0.6),6)</f>
        <v>81.374399999999994</v>
      </c>
      <c r="DC75">
        <f>ROUND(((ROUND(AT75*AG75,2)*1.2)*0.6),6)</f>
        <v>12.3552</v>
      </c>
      <c r="DD75" t="s">
        <v>3</v>
      </c>
      <c r="DE75" t="s">
        <v>3</v>
      </c>
      <c r="DF75">
        <f t="shared" si="33"/>
        <v>0</v>
      </c>
      <c r="DG75">
        <f>ROUND(ROUND(AF75*AJ75,2)*CX75,2)</f>
        <v>555.61</v>
      </c>
      <c r="DH75">
        <f>ROUND(ROUND(AG75*AK75,2)*CX75,2)</f>
        <v>278.54000000000002</v>
      </c>
      <c r="DI75">
        <f t="shared" si="32"/>
        <v>0</v>
      </c>
      <c r="DJ75">
        <f>DG75</f>
        <v>555.61</v>
      </c>
      <c r="DK75">
        <v>0</v>
      </c>
      <c r="DL75" t="s">
        <v>500</v>
      </c>
      <c r="DM75">
        <v>0</v>
      </c>
      <c r="DN75" t="s">
        <v>459</v>
      </c>
      <c r="DO75">
        <v>12.62</v>
      </c>
    </row>
    <row r="76" spans="1:119" x14ac:dyDescent="0.2">
      <c r="A76">
        <f>ROW(Source!A49)</f>
        <v>49</v>
      </c>
      <c r="B76">
        <v>57248837</v>
      </c>
      <c r="C76">
        <v>57249669</v>
      </c>
      <c r="D76">
        <v>54768461</v>
      </c>
      <c r="E76">
        <v>1</v>
      </c>
      <c r="F76">
        <v>1</v>
      </c>
      <c r="G76">
        <v>1081</v>
      </c>
      <c r="H76">
        <v>2</v>
      </c>
      <c r="I76" t="s">
        <v>464</v>
      </c>
      <c r="J76" t="s">
        <v>465</v>
      </c>
      <c r="K76" t="s">
        <v>466</v>
      </c>
      <c r="L76">
        <v>1368</v>
      </c>
      <c r="N76">
        <v>1011</v>
      </c>
      <c r="O76" t="s">
        <v>463</v>
      </c>
      <c r="P76" t="s">
        <v>463</v>
      </c>
      <c r="Q76">
        <v>1</v>
      </c>
      <c r="W76">
        <v>0</v>
      </c>
      <c r="X76">
        <v>1043446422</v>
      </c>
      <c r="Y76">
        <f>((AT76*1.2)*0.6)</f>
        <v>0.38879999999999998</v>
      </c>
      <c r="AA76">
        <v>0</v>
      </c>
      <c r="AB76">
        <v>11.49</v>
      </c>
      <c r="AC76">
        <v>0</v>
      </c>
      <c r="AD76">
        <v>0</v>
      </c>
      <c r="AE76">
        <v>0</v>
      </c>
      <c r="AF76">
        <v>1.1100000000000001</v>
      </c>
      <c r="AG76">
        <v>0</v>
      </c>
      <c r="AH76">
        <v>0</v>
      </c>
      <c r="AI76">
        <v>1</v>
      </c>
      <c r="AJ76">
        <v>9.52</v>
      </c>
      <c r="AK76">
        <v>1</v>
      </c>
      <c r="AL76">
        <v>1</v>
      </c>
      <c r="AM76">
        <v>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0.54</v>
      </c>
      <c r="AU76" t="s">
        <v>85</v>
      </c>
      <c r="AV76">
        <v>0</v>
      </c>
      <c r="AW76">
        <v>2</v>
      </c>
      <c r="AX76">
        <v>57249679</v>
      </c>
      <c r="AY76">
        <v>1</v>
      </c>
      <c r="AZ76">
        <v>0</v>
      </c>
      <c r="BA76">
        <v>99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f>ROUND(Y76*Source!I49*DO76,9)</f>
        <v>0</v>
      </c>
      <c r="CX76">
        <f>ROUND(Y76*Source!I49,9)</f>
        <v>0.15551999999999999</v>
      </c>
      <c r="CY76">
        <f>AB76</f>
        <v>11.49</v>
      </c>
      <c r="CZ76">
        <f>AF76</f>
        <v>1.1100000000000001</v>
      </c>
      <c r="DA76">
        <f>AJ76</f>
        <v>9.52</v>
      </c>
      <c r="DB76">
        <f>ROUND(((ROUND(AT76*CZ76,2)*1.2)*0.6),6)</f>
        <v>0.432</v>
      </c>
      <c r="DC76">
        <f>ROUND(((ROUND(AT76*AG76,2)*1.2)*0.6),6)</f>
        <v>0</v>
      </c>
      <c r="DD76" t="s">
        <v>3</v>
      </c>
      <c r="DE76" t="s">
        <v>3</v>
      </c>
      <c r="DF76">
        <f t="shared" si="33"/>
        <v>0</v>
      </c>
      <c r="DG76">
        <f>ROUND(ROUND(AF76*AJ76,2)*CX76,2)</f>
        <v>1.64</v>
      </c>
      <c r="DH76">
        <f t="shared" ref="DH76:DH89" si="34">ROUND(ROUND(AG76,2)*CX76,2)</f>
        <v>0</v>
      </c>
      <c r="DI76">
        <f t="shared" si="32"/>
        <v>0</v>
      </c>
      <c r="DJ76">
        <f>DG76</f>
        <v>1.64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ROW(Source!A49)</f>
        <v>49</v>
      </c>
      <c r="B77">
        <v>57248837</v>
      </c>
      <c r="C77">
        <v>57249669</v>
      </c>
      <c r="D77">
        <v>54768426</v>
      </c>
      <c r="E77">
        <v>1</v>
      </c>
      <c r="F77">
        <v>1</v>
      </c>
      <c r="G77">
        <v>1081</v>
      </c>
      <c r="H77">
        <v>2</v>
      </c>
      <c r="I77" t="s">
        <v>485</v>
      </c>
      <c r="J77" t="s">
        <v>486</v>
      </c>
      <c r="K77" t="s">
        <v>487</v>
      </c>
      <c r="L77">
        <v>1368</v>
      </c>
      <c r="N77">
        <v>1011</v>
      </c>
      <c r="O77" t="s">
        <v>463</v>
      </c>
      <c r="P77" t="s">
        <v>463</v>
      </c>
      <c r="Q77">
        <v>1</v>
      </c>
      <c r="W77">
        <v>0</v>
      </c>
      <c r="X77">
        <v>-643591644</v>
      </c>
      <c r="Y77">
        <f>((AT77*1.2)*0.6)</f>
        <v>0.17279999999999998</v>
      </c>
      <c r="AA77">
        <v>0</v>
      </c>
      <c r="AB77">
        <v>4.9400000000000004</v>
      </c>
      <c r="AC77">
        <v>0</v>
      </c>
      <c r="AD77">
        <v>0</v>
      </c>
      <c r="AE77">
        <v>0</v>
      </c>
      <c r="AF77">
        <v>0.47</v>
      </c>
      <c r="AG77">
        <v>0</v>
      </c>
      <c r="AH77">
        <v>0</v>
      </c>
      <c r="AI77">
        <v>1</v>
      </c>
      <c r="AJ77">
        <v>9.66</v>
      </c>
      <c r="AK77">
        <v>1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0.24</v>
      </c>
      <c r="AU77" t="s">
        <v>85</v>
      </c>
      <c r="AV77">
        <v>0</v>
      </c>
      <c r="AW77">
        <v>2</v>
      </c>
      <c r="AX77">
        <v>57249680</v>
      </c>
      <c r="AY77">
        <v>1</v>
      </c>
      <c r="AZ77">
        <v>0</v>
      </c>
      <c r="BA77">
        <v>100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ROUND(Y77*Source!I49*DO77,9)</f>
        <v>0</v>
      </c>
      <c r="CX77">
        <f>ROUND(Y77*Source!I49,9)</f>
        <v>6.9120000000000001E-2</v>
      </c>
      <c r="CY77">
        <f>AB77</f>
        <v>4.9400000000000004</v>
      </c>
      <c r="CZ77">
        <f>AF77</f>
        <v>0.47</v>
      </c>
      <c r="DA77">
        <f>AJ77</f>
        <v>9.66</v>
      </c>
      <c r="DB77">
        <f>ROUND(((ROUND(AT77*CZ77,2)*1.2)*0.6),6)</f>
        <v>7.9200000000000007E-2</v>
      </c>
      <c r="DC77">
        <f>ROUND(((ROUND(AT77*AG77,2)*1.2)*0.6),6)</f>
        <v>0</v>
      </c>
      <c r="DD77" t="s">
        <v>3</v>
      </c>
      <c r="DE77" t="s">
        <v>3</v>
      </c>
      <c r="DF77">
        <f t="shared" si="33"/>
        <v>0</v>
      </c>
      <c r="DG77">
        <f>ROUND(ROUND(AF77*AJ77,2)*CX77,2)</f>
        <v>0.31</v>
      </c>
      <c r="DH77">
        <f t="shared" si="34"/>
        <v>0</v>
      </c>
      <c r="DI77">
        <f t="shared" si="32"/>
        <v>0</v>
      </c>
      <c r="DJ77">
        <f>DG77</f>
        <v>0.31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ROW(Source!A49)</f>
        <v>49</v>
      </c>
      <c r="B78">
        <v>57248837</v>
      </c>
      <c r="C78">
        <v>57249669</v>
      </c>
      <c r="D78">
        <v>54739820</v>
      </c>
      <c r="E78">
        <v>1</v>
      </c>
      <c r="F78">
        <v>1</v>
      </c>
      <c r="G78">
        <v>1081</v>
      </c>
      <c r="H78">
        <v>3</v>
      </c>
      <c r="I78" t="s">
        <v>519</v>
      </c>
      <c r="J78" t="s">
        <v>520</v>
      </c>
      <c r="K78" t="s">
        <v>521</v>
      </c>
      <c r="L78">
        <v>1296</v>
      </c>
      <c r="N78">
        <v>1002</v>
      </c>
      <c r="O78" t="s">
        <v>522</v>
      </c>
      <c r="P78" t="s">
        <v>522</v>
      </c>
      <c r="Q78">
        <v>1</v>
      </c>
      <c r="W78">
        <v>0</v>
      </c>
      <c r="X78">
        <v>-770347070</v>
      </c>
      <c r="Y78">
        <f>((AT78*1)*0.6)</f>
        <v>1.512</v>
      </c>
      <c r="AA78">
        <v>350.79</v>
      </c>
      <c r="AB78">
        <v>0</v>
      </c>
      <c r="AC78">
        <v>0</v>
      </c>
      <c r="AD78">
        <v>0</v>
      </c>
      <c r="AE78">
        <v>125.73</v>
      </c>
      <c r="AF78">
        <v>0</v>
      </c>
      <c r="AG78">
        <v>0</v>
      </c>
      <c r="AH78">
        <v>0</v>
      </c>
      <c r="AI78">
        <v>2.79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2.52</v>
      </c>
      <c r="AU78" t="s">
        <v>84</v>
      </c>
      <c r="AV78">
        <v>0</v>
      </c>
      <c r="AW78">
        <v>2</v>
      </c>
      <c r="AX78">
        <v>57249681</v>
      </c>
      <c r="AY78">
        <v>1</v>
      </c>
      <c r="AZ78">
        <v>0</v>
      </c>
      <c r="BA78">
        <v>101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ROUND(Y78*Source!I49,9)</f>
        <v>0.6048</v>
      </c>
      <c r="CY78">
        <f>AA78</f>
        <v>350.79</v>
      </c>
      <c r="CZ78">
        <f>AE78</f>
        <v>125.73</v>
      </c>
      <c r="DA78">
        <f>AI78</f>
        <v>2.79</v>
      </c>
      <c r="DB78">
        <f>ROUND(((ROUND(AT78*CZ78,2)*1)*0.6),6)</f>
        <v>190.10400000000001</v>
      </c>
      <c r="DC78">
        <f>ROUND(((ROUND(AT78*AG78,2)*1)*0.6),6)</f>
        <v>0</v>
      </c>
      <c r="DD78" t="s">
        <v>3</v>
      </c>
      <c r="DE78" t="s">
        <v>3</v>
      </c>
      <c r="DF78">
        <f>ROUND(ROUND(AE78*AI78,2)*CX78,2)</f>
        <v>212.16</v>
      </c>
      <c r="DG78">
        <f t="shared" ref="DG78:DG89" si="35">ROUND(ROUND(AF78,2)*CX78,2)</f>
        <v>0</v>
      </c>
      <c r="DH78">
        <f t="shared" si="34"/>
        <v>0</v>
      </c>
      <c r="DI78">
        <f t="shared" si="32"/>
        <v>0</v>
      </c>
      <c r="DJ78">
        <f>DF78</f>
        <v>212.16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ROW(Source!A49)</f>
        <v>49</v>
      </c>
      <c r="B79">
        <v>57248837</v>
      </c>
      <c r="C79">
        <v>57249669</v>
      </c>
      <c r="D79">
        <v>54747392</v>
      </c>
      <c r="E79">
        <v>1</v>
      </c>
      <c r="F79">
        <v>1</v>
      </c>
      <c r="G79">
        <v>1081</v>
      </c>
      <c r="H79">
        <v>3</v>
      </c>
      <c r="I79" t="s">
        <v>482</v>
      </c>
      <c r="J79" t="s">
        <v>483</v>
      </c>
      <c r="K79" t="s">
        <v>484</v>
      </c>
      <c r="L79">
        <v>1354</v>
      </c>
      <c r="N79">
        <v>1010</v>
      </c>
      <c r="O79" t="s">
        <v>228</v>
      </c>
      <c r="P79" t="s">
        <v>228</v>
      </c>
      <c r="Q79">
        <v>1</v>
      </c>
      <c r="W79">
        <v>0</v>
      </c>
      <c r="X79">
        <v>-407007888</v>
      </c>
      <c r="Y79">
        <f>((AT79*1)*0.6)</f>
        <v>5.7599999999999998E-2</v>
      </c>
      <c r="AA79">
        <v>103.72</v>
      </c>
      <c r="AB79">
        <v>0</v>
      </c>
      <c r="AC79">
        <v>0</v>
      </c>
      <c r="AD79">
        <v>0</v>
      </c>
      <c r="AE79">
        <v>10.53</v>
      </c>
      <c r="AF79">
        <v>0</v>
      </c>
      <c r="AG79">
        <v>0</v>
      </c>
      <c r="AH79">
        <v>0</v>
      </c>
      <c r="AI79">
        <v>9.85</v>
      </c>
      <c r="AJ79">
        <v>1</v>
      </c>
      <c r="AK79">
        <v>1</v>
      </c>
      <c r="AL79">
        <v>1</v>
      </c>
      <c r="AM79">
        <v>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9.6000000000000002E-2</v>
      </c>
      <c r="AU79" t="s">
        <v>84</v>
      </c>
      <c r="AV79">
        <v>0</v>
      </c>
      <c r="AW79">
        <v>2</v>
      </c>
      <c r="AX79">
        <v>57249682</v>
      </c>
      <c r="AY79">
        <v>1</v>
      </c>
      <c r="AZ79">
        <v>0</v>
      </c>
      <c r="BA79">
        <v>102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V79">
        <v>0</v>
      </c>
      <c r="CW79">
        <v>0</v>
      </c>
      <c r="CX79">
        <f>ROUND(Y79*Source!I49,9)</f>
        <v>2.3040000000000001E-2</v>
      </c>
      <c r="CY79">
        <f>AA79</f>
        <v>103.72</v>
      </c>
      <c r="CZ79">
        <f>AE79</f>
        <v>10.53</v>
      </c>
      <c r="DA79">
        <f>AI79</f>
        <v>9.85</v>
      </c>
      <c r="DB79">
        <f>ROUND(((ROUND(AT79*CZ79,2)*1)*0.6),6)</f>
        <v>0.60599999999999998</v>
      </c>
      <c r="DC79">
        <f>ROUND(((ROUND(AT79*AG79,2)*1)*0.6),6)</f>
        <v>0</v>
      </c>
      <c r="DD79" t="s">
        <v>3</v>
      </c>
      <c r="DE79" t="s">
        <v>3</v>
      </c>
      <c r="DF79">
        <f>ROUND(ROUND(AE79*AI79,2)*CX79,2)</f>
        <v>2.39</v>
      </c>
      <c r="DG79">
        <f t="shared" si="35"/>
        <v>0</v>
      </c>
      <c r="DH79">
        <f t="shared" si="34"/>
        <v>0</v>
      </c>
      <c r="DI79">
        <f t="shared" si="32"/>
        <v>0</v>
      </c>
      <c r="DJ79">
        <f>DF79</f>
        <v>2.39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ROW(Source!A49)</f>
        <v>49</v>
      </c>
      <c r="B80">
        <v>57248837</v>
      </c>
      <c r="C80">
        <v>57249669</v>
      </c>
      <c r="D80">
        <v>54747602</v>
      </c>
      <c r="E80">
        <v>1</v>
      </c>
      <c r="F80">
        <v>1</v>
      </c>
      <c r="G80">
        <v>1081</v>
      </c>
      <c r="H80">
        <v>3</v>
      </c>
      <c r="I80" t="s">
        <v>523</v>
      </c>
      <c r="J80" t="s">
        <v>524</v>
      </c>
      <c r="K80" t="s">
        <v>525</v>
      </c>
      <c r="L80">
        <v>1355</v>
      </c>
      <c r="N80">
        <v>1010</v>
      </c>
      <c r="O80" t="s">
        <v>67</v>
      </c>
      <c r="P80" t="s">
        <v>67</v>
      </c>
      <c r="Q80">
        <v>100</v>
      </c>
      <c r="W80">
        <v>0</v>
      </c>
      <c r="X80">
        <v>-106825780</v>
      </c>
      <c r="Y80">
        <f>((AT80*1)*0.6)</f>
        <v>0.36599999999999999</v>
      </c>
      <c r="AA80">
        <v>3654.15</v>
      </c>
      <c r="AB80">
        <v>0</v>
      </c>
      <c r="AC80">
        <v>0</v>
      </c>
      <c r="AD80">
        <v>0</v>
      </c>
      <c r="AE80">
        <v>278.73</v>
      </c>
      <c r="AF80">
        <v>0</v>
      </c>
      <c r="AG80">
        <v>0</v>
      </c>
      <c r="AH80">
        <v>0</v>
      </c>
      <c r="AI80">
        <v>13.11</v>
      </c>
      <c r="AJ80">
        <v>1</v>
      </c>
      <c r="AK80">
        <v>1</v>
      </c>
      <c r="AL80">
        <v>1</v>
      </c>
      <c r="AM80">
        <v>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0.61</v>
      </c>
      <c r="AU80" t="s">
        <v>84</v>
      </c>
      <c r="AV80">
        <v>0</v>
      </c>
      <c r="AW80">
        <v>2</v>
      </c>
      <c r="AX80">
        <v>57249683</v>
      </c>
      <c r="AY80">
        <v>1</v>
      </c>
      <c r="AZ80">
        <v>0</v>
      </c>
      <c r="BA80">
        <v>103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ROUND(Y80*Source!I49,9)</f>
        <v>0.1464</v>
      </c>
      <c r="CY80">
        <f>AA80</f>
        <v>3654.15</v>
      </c>
      <c r="CZ80">
        <f>AE80</f>
        <v>278.73</v>
      </c>
      <c r="DA80">
        <f>AI80</f>
        <v>13.11</v>
      </c>
      <c r="DB80">
        <f>ROUND(((ROUND(AT80*CZ80,2)*1)*0.6),6)</f>
        <v>102.018</v>
      </c>
      <c r="DC80">
        <f>ROUND(((ROUND(AT80*AG80,2)*1)*0.6),6)</f>
        <v>0</v>
      </c>
      <c r="DD80" t="s">
        <v>3</v>
      </c>
      <c r="DE80" t="s">
        <v>3</v>
      </c>
      <c r="DF80">
        <f>ROUND(ROUND(AE80*AI80,2)*CX80,2)</f>
        <v>534.97</v>
      </c>
      <c r="DG80">
        <f t="shared" si="35"/>
        <v>0</v>
      </c>
      <c r="DH80">
        <f t="shared" si="34"/>
        <v>0</v>
      </c>
      <c r="DI80">
        <f t="shared" si="32"/>
        <v>0</v>
      </c>
      <c r="DJ80">
        <f>DF80</f>
        <v>534.97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ROW(Source!A50)</f>
        <v>50</v>
      </c>
      <c r="B81">
        <v>57248835</v>
      </c>
      <c r="C81">
        <v>57249686</v>
      </c>
      <c r="D81">
        <v>54702434</v>
      </c>
      <c r="E81">
        <v>1081</v>
      </c>
      <c r="F81">
        <v>1</v>
      </c>
      <c r="G81">
        <v>1081</v>
      </c>
      <c r="H81">
        <v>1</v>
      </c>
      <c r="I81" t="s">
        <v>457</v>
      </c>
      <c r="J81" t="s">
        <v>3</v>
      </c>
      <c r="K81" t="s">
        <v>458</v>
      </c>
      <c r="L81">
        <v>1191</v>
      </c>
      <c r="N81">
        <v>1013</v>
      </c>
      <c r="O81" t="s">
        <v>459</v>
      </c>
      <c r="P81" t="s">
        <v>459</v>
      </c>
      <c r="Q81">
        <v>1</v>
      </c>
      <c r="W81">
        <v>0</v>
      </c>
      <c r="X81">
        <v>476480486</v>
      </c>
      <c r="Y81">
        <f>((AT81*1.2)*0.3)</f>
        <v>2.52E-2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7.0000000000000007E-2</v>
      </c>
      <c r="AU81" t="s">
        <v>32</v>
      </c>
      <c r="AV81">
        <v>1</v>
      </c>
      <c r="AW81">
        <v>2</v>
      </c>
      <c r="AX81">
        <v>57249688</v>
      </c>
      <c r="AY81">
        <v>1</v>
      </c>
      <c r="AZ81">
        <v>0</v>
      </c>
      <c r="BA81">
        <v>105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ROUND(AT81*Source!I50*AH81*AL81,2)</f>
        <v>0</v>
      </c>
      <c r="CV81">
        <f>ROUND(Y81*Source!I50,9)</f>
        <v>0.2016</v>
      </c>
      <c r="CW81">
        <v>0</v>
      </c>
      <c r="CX81">
        <f>ROUND(Y81*Source!I50,9)</f>
        <v>0.2016</v>
      </c>
      <c r="CY81">
        <f>AD81</f>
        <v>0</v>
      </c>
      <c r="CZ81">
        <f>AH81</f>
        <v>0</v>
      </c>
      <c r="DA81">
        <f>AL81</f>
        <v>1</v>
      </c>
      <c r="DB81">
        <f>ROUND(((ROUND(AT81*CZ81,2)*1.2)*0.3),6)</f>
        <v>0</v>
      </c>
      <c r="DC81">
        <f>ROUND(((ROUND(AT81*AG81,2)*1.2)*0.3),6)</f>
        <v>0</v>
      </c>
      <c r="DD81" t="s">
        <v>3</v>
      </c>
      <c r="DE81" t="s">
        <v>3</v>
      </c>
      <c r="DF81">
        <f t="shared" ref="DF81:DF92" si="36">ROUND(ROUND(AE81,2)*CX81,2)</f>
        <v>0</v>
      </c>
      <c r="DG81">
        <f t="shared" si="35"/>
        <v>0</v>
      </c>
      <c r="DH81">
        <f t="shared" si="34"/>
        <v>0</v>
      </c>
      <c r="DI81">
        <f t="shared" si="32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ROW(Source!A51)</f>
        <v>51</v>
      </c>
      <c r="B82">
        <v>57248837</v>
      </c>
      <c r="C82">
        <v>57249686</v>
      </c>
      <c r="D82">
        <v>54702434</v>
      </c>
      <c r="E82">
        <v>1081</v>
      </c>
      <c r="F82">
        <v>1</v>
      </c>
      <c r="G82">
        <v>1081</v>
      </c>
      <c r="H82">
        <v>1</v>
      </c>
      <c r="I82" t="s">
        <v>457</v>
      </c>
      <c r="J82" t="s">
        <v>3</v>
      </c>
      <c r="K82" t="s">
        <v>458</v>
      </c>
      <c r="L82">
        <v>1191</v>
      </c>
      <c r="N82">
        <v>1013</v>
      </c>
      <c r="O82" t="s">
        <v>459</v>
      </c>
      <c r="P82" t="s">
        <v>459</v>
      </c>
      <c r="Q82">
        <v>1</v>
      </c>
      <c r="W82">
        <v>0</v>
      </c>
      <c r="X82">
        <v>476480486</v>
      </c>
      <c r="Y82">
        <f>((AT82*1.2)*0.3)</f>
        <v>2.52E-2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7.0000000000000007E-2</v>
      </c>
      <c r="AU82" t="s">
        <v>32</v>
      </c>
      <c r="AV82">
        <v>1</v>
      </c>
      <c r="AW82">
        <v>2</v>
      </c>
      <c r="AX82">
        <v>57249688</v>
      </c>
      <c r="AY82">
        <v>1</v>
      </c>
      <c r="AZ82">
        <v>0</v>
      </c>
      <c r="BA82">
        <v>107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ROUND(AT82*Source!I51*AH82*AL82,2)</f>
        <v>0</v>
      </c>
      <c r="CV82">
        <f>ROUND(Y82*Source!I51,9)</f>
        <v>0.2016</v>
      </c>
      <c r="CW82">
        <v>0</v>
      </c>
      <c r="CX82">
        <f>ROUND(Y82*Source!I51,9)</f>
        <v>0.2016</v>
      </c>
      <c r="CY82">
        <f>AD82</f>
        <v>0</v>
      </c>
      <c r="CZ82">
        <f>AH82</f>
        <v>0</v>
      </c>
      <c r="DA82">
        <f>AL82</f>
        <v>1</v>
      </c>
      <c r="DB82">
        <f>ROUND(((ROUND(AT82*CZ82,2)*1.2)*0.3),6)</f>
        <v>0</v>
      </c>
      <c r="DC82">
        <f>ROUND(((ROUND(AT82*AG82,2)*1.2)*0.3),6)</f>
        <v>0</v>
      </c>
      <c r="DD82" t="s">
        <v>3</v>
      </c>
      <c r="DE82" t="s">
        <v>3</v>
      </c>
      <c r="DF82">
        <f t="shared" si="36"/>
        <v>0</v>
      </c>
      <c r="DG82">
        <f t="shared" si="35"/>
        <v>0</v>
      </c>
      <c r="DH82">
        <f t="shared" si="34"/>
        <v>0</v>
      </c>
      <c r="DI82">
        <f t="shared" si="32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ROW(Source!A52)</f>
        <v>52</v>
      </c>
      <c r="B83">
        <v>57248835</v>
      </c>
      <c r="C83">
        <v>57249691</v>
      </c>
      <c r="D83">
        <v>54702434</v>
      </c>
      <c r="E83">
        <v>1081</v>
      </c>
      <c r="F83">
        <v>1</v>
      </c>
      <c r="G83">
        <v>1081</v>
      </c>
      <c r="H83">
        <v>1</v>
      </c>
      <c r="I83" t="s">
        <v>457</v>
      </c>
      <c r="J83" t="s">
        <v>3</v>
      </c>
      <c r="K83" t="s">
        <v>458</v>
      </c>
      <c r="L83">
        <v>1191</v>
      </c>
      <c r="N83">
        <v>1013</v>
      </c>
      <c r="O83" t="s">
        <v>459</v>
      </c>
      <c r="P83" t="s">
        <v>459</v>
      </c>
      <c r="Q83">
        <v>1</v>
      </c>
      <c r="W83">
        <v>0</v>
      </c>
      <c r="X83">
        <v>476480486</v>
      </c>
      <c r="Y83">
        <f>((AT83*1.2)*0.6)</f>
        <v>8.3303999999999991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11.57</v>
      </c>
      <c r="AU83" t="s">
        <v>85</v>
      </c>
      <c r="AV83">
        <v>1</v>
      </c>
      <c r="AW83">
        <v>2</v>
      </c>
      <c r="AX83">
        <v>57249698</v>
      </c>
      <c r="AY83">
        <v>1</v>
      </c>
      <c r="AZ83">
        <v>0</v>
      </c>
      <c r="BA83">
        <v>109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ROUND(AT83*Source!I52*AH83*AL83,2)</f>
        <v>0</v>
      </c>
      <c r="CV83">
        <f>ROUND(Y83*Source!I52,9)</f>
        <v>0.33321600000000001</v>
      </c>
      <c r="CW83">
        <v>0</v>
      </c>
      <c r="CX83">
        <f>ROUND(Y83*Source!I52,9)</f>
        <v>0.33321600000000001</v>
      </c>
      <c r="CY83">
        <f>AD83</f>
        <v>0</v>
      </c>
      <c r="CZ83">
        <f>AH83</f>
        <v>0</v>
      </c>
      <c r="DA83">
        <f>AL83</f>
        <v>1</v>
      </c>
      <c r="DB83">
        <f>ROUND(((ROUND(AT83*CZ83,2)*1.2)*0.6),6)</f>
        <v>0</v>
      </c>
      <c r="DC83">
        <f>ROUND(((ROUND(AT83*AG83,2)*1.2)*0.6),6)</f>
        <v>0</v>
      </c>
      <c r="DD83" t="s">
        <v>3</v>
      </c>
      <c r="DE83" t="s">
        <v>3</v>
      </c>
      <c r="DF83">
        <f t="shared" si="36"/>
        <v>0</v>
      </c>
      <c r="DG83">
        <f t="shared" si="35"/>
        <v>0</v>
      </c>
      <c r="DH83">
        <f t="shared" si="34"/>
        <v>0</v>
      </c>
      <c r="DI83">
        <f t="shared" si="32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ROW(Source!A52)</f>
        <v>52</v>
      </c>
      <c r="B84">
        <v>57248835</v>
      </c>
      <c r="C84">
        <v>57249691</v>
      </c>
      <c r="D84">
        <v>54768339</v>
      </c>
      <c r="E84">
        <v>1</v>
      </c>
      <c r="F84">
        <v>1</v>
      </c>
      <c r="G84">
        <v>1081</v>
      </c>
      <c r="H84">
        <v>2</v>
      </c>
      <c r="I84" t="s">
        <v>497</v>
      </c>
      <c r="J84" t="s">
        <v>498</v>
      </c>
      <c r="K84" t="s">
        <v>499</v>
      </c>
      <c r="L84">
        <v>1368</v>
      </c>
      <c r="N84">
        <v>1011</v>
      </c>
      <c r="O84" t="s">
        <v>463</v>
      </c>
      <c r="P84" t="s">
        <v>463</v>
      </c>
      <c r="Q84">
        <v>1</v>
      </c>
      <c r="W84">
        <v>0</v>
      </c>
      <c r="X84">
        <v>874612079</v>
      </c>
      <c r="Y84">
        <f>((AT84*1.2)*0.6)</f>
        <v>0.12959999999999999</v>
      </c>
      <c r="AA84">
        <v>0</v>
      </c>
      <c r="AB84">
        <v>90.33</v>
      </c>
      <c r="AC84">
        <v>13.72</v>
      </c>
      <c r="AD84">
        <v>0</v>
      </c>
      <c r="AE84">
        <v>0</v>
      </c>
      <c r="AF84">
        <v>83.1</v>
      </c>
      <c r="AG84">
        <v>12.62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0.18</v>
      </c>
      <c r="AU84" t="s">
        <v>85</v>
      </c>
      <c r="AV84">
        <v>0</v>
      </c>
      <c r="AW84">
        <v>2</v>
      </c>
      <c r="AX84">
        <v>57249699</v>
      </c>
      <c r="AY84">
        <v>1</v>
      </c>
      <c r="AZ84">
        <v>0</v>
      </c>
      <c r="BA84">
        <v>110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f>ROUND(Y84*Source!I52*DO84,9)</f>
        <v>6.5422079999999994E-2</v>
      </c>
      <c r="CX84">
        <f>ROUND(Y84*Source!I52,9)</f>
        <v>5.1840000000000002E-3</v>
      </c>
      <c r="CY84">
        <f>AB84</f>
        <v>90.33</v>
      </c>
      <c r="CZ84">
        <f>AF84</f>
        <v>83.1</v>
      </c>
      <c r="DA84">
        <f>AJ84</f>
        <v>1</v>
      </c>
      <c r="DB84">
        <f>ROUND(((ROUND(AT84*CZ84,2)*1.2)*0.6),6)</f>
        <v>10.7712</v>
      </c>
      <c r="DC84">
        <f>ROUND(((ROUND(AT84*AG84,2)*1.2)*0.6),6)</f>
        <v>1.6344000000000001</v>
      </c>
      <c r="DD84" t="s">
        <v>3</v>
      </c>
      <c r="DE84" t="s">
        <v>3</v>
      </c>
      <c r="DF84">
        <f t="shared" si="36"/>
        <v>0</v>
      </c>
      <c r="DG84">
        <f t="shared" si="35"/>
        <v>0.43</v>
      </c>
      <c r="DH84">
        <f t="shared" si="34"/>
        <v>7.0000000000000007E-2</v>
      </c>
      <c r="DI84">
        <f t="shared" si="32"/>
        <v>0</v>
      </c>
      <c r="DJ84">
        <f>DG84</f>
        <v>0.43</v>
      </c>
      <c r="DK84">
        <v>0</v>
      </c>
      <c r="DL84" t="s">
        <v>500</v>
      </c>
      <c r="DM84">
        <v>0</v>
      </c>
      <c r="DN84" t="s">
        <v>459</v>
      </c>
      <c r="DO84">
        <v>12.62</v>
      </c>
    </row>
    <row r="85" spans="1:119" x14ac:dyDescent="0.2">
      <c r="A85">
        <f>ROW(Source!A52)</f>
        <v>52</v>
      </c>
      <c r="B85">
        <v>57248835</v>
      </c>
      <c r="C85">
        <v>57249691</v>
      </c>
      <c r="D85">
        <v>54768460</v>
      </c>
      <c r="E85">
        <v>1</v>
      </c>
      <c r="F85">
        <v>1</v>
      </c>
      <c r="G85">
        <v>1081</v>
      </c>
      <c r="H85">
        <v>2</v>
      </c>
      <c r="I85" t="s">
        <v>460</v>
      </c>
      <c r="J85" t="s">
        <v>461</v>
      </c>
      <c r="K85" t="s">
        <v>462</v>
      </c>
      <c r="L85">
        <v>1368</v>
      </c>
      <c r="N85">
        <v>1011</v>
      </c>
      <c r="O85" t="s">
        <v>463</v>
      </c>
      <c r="P85" t="s">
        <v>463</v>
      </c>
      <c r="Q85">
        <v>1</v>
      </c>
      <c r="W85">
        <v>0</v>
      </c>
      <c r="X85">
        <v>-2083101341</v>
      </c>
      <c r="Y85">
        <f>((AT85*1.2)*0.6)</f>
        <v>0.99359999999999993</v>
      </c>
      <c r="AA85">
        <v>0</v>
      </c>
      <c r="AB85">
        <v>0.87</v>
      </c>
      <c r="AC85">
        <v>0</v>
      </c>
      <c r="AD85">
        <v>0</v>
      </c>
      <c r="AE85">
        <v>0</v>
      </c>
      <c r="AF85">
        <v>0.8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1.38</v>
      </c>
      <c r="AU85" t="s">
        <v>85</v>
      </c>
      <c r="AV85">
        <v>0</v>
      </c>
      <c r="AW85">
        <v>2</v>
      </c>
      <c r="AX85">
        <v>57249700</v>
      </c>
      <c r="AY85">
        <v>1</v>
      </c>
      <c r="AZ85">
        <v>0</v>
      </c>
      <c r="BA85">
        <v>111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V85">
        <v>0</v>
      </c>
      <c r="CW85">
        <f>ROUND(Y85*Source!I52*DO85,9)</f>
        <v>0</v>
      </c>
      <c r="CX85">
        <f>ROUND(Y85*Source!I52,9)</f>
        <v>3.9744000000000002E-2</v>
      </c>
      <c r="CY85">
        <f>AB85</f>
        <v>0.87</v>
      </c>
      <c r="CZ85">
        <f>AF85</f>
        <v>0.8</v>
      </c>
      <c r="DA85">
        <f>AJ85</f>
        <v>1</v>
      </c>
      <c r="DB85">
        <f>ROUND(((ROUND(AT85*CZ85,2)*1.2)*0.6),6)</f>
        <v>0.79200000000000004</v>
      </c>
      <c r="DC85">
        <f>ROUND(((ROUND(AT85*AG85,2)*1.2)*0.6),6)</f>
        <v>0</v>
      </c>
      <c r="DD85" t="s">
        <v>3</v>
      </c>
      <c r="DE85" t="s">
        <v>3</v>
      </c>
      <c r="DF85">
        <f t="shared" si="36"/>
        <v>0</v>
      </c>
      <c r="DG85">
        <f t="shared" si="35"/>
        <v>0.03</v>
      </c>
      <c r="DH85">
        <f t="shared" si="34"/>
        <v>0</v>
      </c>
      <c r="DI85">
        <f t="shared" si="32"/>
        <v>0</v>
      </c>
      <c r="DJ85">
        <f>DG85</f>
        <v>0.03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ROW(Source!A52)</f>
        <v>52</v>
      </c>
      <c r="B86">
        <v>57248835</v>
      </c>
      <c r="C86">
        <v>57249691</v>
      </c>
      <c r="D86">
        <v>54768426</v>
      </c>
      <c r="E86">
        <v>1</v>
      </c>
      <c r="F86">
        <v>1</v>
      </c>
      <c r="G86">
        <v>1081</v>
      </c>
      <c r="H86">
        <v>2</v>
      </c>
      <c r="I86" t="s">
        <v>485</v>
      </c>
      <c r="J86" t="s">
        <v>486</v>
      </c>
      <c r="K86" t="s">
        <v>487</v>
      </c>
      <c r="L86">
        <v>1368</v>
      </c>
      <c r="N86">
        <v>1011</v>
      </c>
      <c r="O86" t="s">
        <v>463</v>
      </c>
      <c r="P86" t="s">
        <v>463</v>
      </c>
      <c r="Q86">
        <v>1</v>
      </c>
      <c r="W86">
        <v>0</v>
      </c>
      <c r="X86">
        <v>-643591644</v>
      </c>
      <c r="Y86">
        <f>((AT86*1.2)*0.6)</f>
        <v>4.032</v>
      </c>
      <c r="AA86">
        <v>0</v>
      </c>
      <c r="AB86">
        <v>0.51</v>
      </c>
      <c r="AC86">
        <v>0</v>
      </c>
      <c r="AD86">
        <v>0</v>
      </c>
      <c r="AE86">
        <v>0</v>
      </c>
      <c r="AF86">
        <v>0.47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5.6</v>
      </c>
      <c r="AU86" t="s">
        <v>85</v>
      </c>
      <c r="AV86">
        <v>0</v>
      </c>
      <c r="AW86">
        <v>2</v>
      </c>
      <c r="AX86">
        <v>57249701</v>
      </c>
      <c r="AY86">
        <v>1</v>
      </c>
      <c r="AZ86">
        <v>0</v>
      </c>
      <c r="BA86">
        <v>112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f>ROUND(Y86*Source!I52*DO86,9)</f>
        <v>0</v>
      </c>
      <c r="CX86">
        <f>ROUND(Y86*Source!I52,9)</f>
        <v>0.16128000000000001</v>
      </c>
      <c r="CY86">
        <f>AB86</f>
        <v>0.51</v>
      </c>
      <c r="CZ86">
        <f>AF86</f>
        <v>0.47</v>
      </c>
      <c r="DA86">
        <f>AJ86</f>
        <v>1</v>
      </c>
      <c r="DB86">
        <f>ROUND(((ROUND(AT86*CZ86,2)*1.2)*0.6),6)</f>
        <v>1.8935999999999999</v>
      </c>
      <c r="DC86">
        <f>ROUND(((ROUND(AT86*AG86,2)*1.2)*0.6),6)</f>
        <v>0</v>
      </c>
      <c r="DD86" t="s">
        <v>3</v>
      </c>
      <c r="DE86" t="s">
        <v>3</v>
      </c>
      <c r="DF86">
        <f t="shared" si="36"/>
        <v>0</v>
      </c>
      <c r="DG86">
        <f t="shared" si="35"/>
        <v>0.08</v>
      </c>
      <c r="DH86">
        <f t="shared" si="34"/>
        <v>0</v>
      </c>
      <c r="DI86">
        <f t="shared" si="32"/>
        <v>0</v>
      </c>
      <c r="DJ86">
        <f>DG86</f>
        <v>0.08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ROW(Source!A52)</f>
        <v>52</v>
      </c>
      <c r="B87">
        <v>57248835</v>
      </c>
      <c r="C87">
        <v>57249691</v>
      </c>
      <c r="D87">
        <v>54739203</v>
      </c>
      <c r="E87">
        <v>1</v>
      </c>
      <c r="F87">
        <v>1</v>
      </c>
      <c r="G87">
        <v>1081</v>
      </c>
      <c r="H87">
        <v>3</v>
      </c>
      <c r="I87" t="s">
        <v>526</v>
      </c>
      <c r="J87" t="s">
        <v>527</v>
      </c>
      <c r="K87" t="s">
        <v>528</v>
      </c>
      <c r="L87">
        <v>1346</v>
      </c>
      <c r="N87">
        <v>1009</v>
      </c>
      <c r="O87" t="s">
        <v>320</v>
      </c>
      <c r="P87" t="s">
        <v>320</v>
      </c>
      <c r="Q87">
        <v>1</v>
      </c>
      <c r="W87">
        <v>0</v>
      </c>
      <c r="X87">
        <v>383020592</v>
      </c>
      <c r="Y87">
        <f>((AT87*1)*0.6)</f>
        <v>1.6320000000000001</v>
      </c>
      <c r="AA87">
        <v>20.62</v>
      </c>
      <c r="AB87">
        <v>0</v>
      </c>
      <c r="AC87">
        <v>0</v>
      </c>
      <c r="AD87">
        <v>0</v>
      </c>
      <c r="AE87">
        <v>20.62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2.72</v>
      </c>
      <c r="AU87" t="s">
        <v>84</v>
      </c>
      <c r="AV87">
        <v>0</v>
      </c>
      <c r="AW87">
        <v>2</v>
      </c>
      <c r="AX87">
        <v>57249702</v>
      </c>
      <c r="AY87">
        <v>1</v>
      </c>
      <c r="AZ87">
        <v>0</v>
      </c>
      <c r="BA87">
        <v>113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V87">
        <v>0</v>
      </c>
      <c r="CW87">
        <v>0</v>
      </c>
      <c r="CX87">
        <f>ROUND(Y87*Source!I52,9)</f>
        <v>6.5280000000000005E-2</v>
      </c>
      <c r="CY87">
        <f>AA87</f>
        <v>20.62</v>
      </c>
      <c r="CZ87">
        <f>AE87</f>
        <v>20.62</v>
      </c>
      <c r="DA87">
        <f>AI87</f>
        <v>1</v>
      </c>
      <c r="DB87">
        <f>ROUND(((ROUND(AT87*CZ87,2)*1)*0.6),6)</f>
        <v>33.654000000000003</v>
      </c>
      <c r="DC87">
        <f>ROUND(((ROUND(AT87*AG87,2)*1)*0.6),6)</f>
        <v>0</v>
      </c>
      <c r="DD87" t="s">
        <v>3</v>
      </c>
      <c r="DE87" t="s">
        <v>3</v>
      </c>
      <c r="DF87">
        <f t="shared" si="36"/>
        <v>1.35</v>
      </c>
      <c r="DG87">
        <f t="shared" si="35"/>
        <v>0</v>
      </c>
      <c r="DH87">
        <f t="shared" si="34"/>
        <v>0</v>
      </c>
      <c r="DI87">
        <f t="shared" si="32"/>
        <v>0</v>
      </c>
      <c r="DJ87">
        <f>DF87</f>
        <v>1.35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ROW(Source!A52)</f>
        <v>52</v>
      </c>
      <c r="B88">
        <v>57248835</v>
      </c>
      <c r="C88">
        <v>57249691</v>
      </c>
      <c r="D88">
        <v>54747383</v>
      </c>
      <c r="E88">
        <v>1</v>
      </c>
      <c r="F88">
        <v>1</v>
      </c>
      <c r="G88">
        <v>1081</v>
      </c>
      <c r="H88">
        <v>3</v>
      </c>
      <c r="I88" t="s">
        <v>491</v>
      </c>
      <c r="J88" t="s">
        <v>492</v>
      </c>
      <c r="K88" t="s">
        <v>493</v>
      </c>
      <c r="L88">
        <v>1354</v>
      </c>
      <c r="N88">
        <v>1010</v>
      </c>
      <c r="O88" t="s">
        <v>228</v>
      </c>
      <c r="P88" t="s">
        <v>228</v>
      </c>
      <c r="Q88">
        <v>1</v>
      </c>
      <c r="W88">
        <v>0</v>
      </c>
      <c r="X88">
        <v>-32785108</v>
      </c>
      <c r="Y88">
        <f>((AT88*1)*0.6)</f>
        <v>3</v>
      </c>
      <c r="AA88">
        <v>15.25</v>
      </c>
      <c r="AB88">
        <v>0</v>
      </c>
      <c r="AC88">
        <v>0</v>
      </c>
      <c r="AD88">
        <v>0</v>
      </c>
      <c r="AE88">
        <v>15.25</v>
      </c>
      <c r="AF88">
        <v>0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5</v>
      </c>
      <c r="AU88" t="s">
        <v>84</v>
      </c>
      <c r="AV88">
        <v>0</v>
      </c>
      <c r="AW88">
        <v>2</v>
      </c>
      <c r="AX88">
        <v>57249703</v>
      </c>
      <c r="AY88">
        <v>1</v>
      </c>
      <c r="AZ88">
        <v>0</v>
      </c>
      <c r="BA88">
        <v>114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ROUND(Y88*Source!I52,9)</f>
        <v>0.12</v>
      </c>
      <c r="CY88">
        <f>AA88</f>
        <v>15.25</v>
      </c>
      <c r="CZ88">
        <f>AE88</f>
        <v>15.25</v>
      </c>
      <c r="DA88">
        <f>AI88</f>
        <v>1</v>
      </c>
      <c r="DB88">
        <f>ROUND(((ROUND(AT88*CZ88,2)*1)*0.6),6)</f>
        <v>45.75</v>
      </c>
      <c r="DC88">
        <f>ROUND(((ROUND(AT88*AG88,2)*1)*0.6),6)</f>
        <v>0</v>
      </c>
      <c r="DD88" t="s">
        <v>3</v>
      </c>
      <c r="DE88" t="s">
        <v>3</v>
      </c>
      <c r="DF88">
        <f t="shared" si="36"/>
        <v>1.83</v>
      </c>
      <c r="DG88">
        <f t="shared" si="35"/>
        <v>0</v>
      </c>
      <c r="DH88">
        <f t="shared" si="34"/>
        <v>0</v>
      </c>
      <c r="DI88">
        <f t="shared" si="32"/>
        <v>0</v>
      </c>
      <c r="DJ88">
        <f>DF88</f>
        <v>1.83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ROW(Source!A53)</f>
        <v>53</v>
      </c>
      <c r="B89">
        <v>57248837</v>
      </c>
      <c r="C89">
        <v>57249691</v>
      </c>
      <c r="D89">
        <v>54702434</v>
      </c>
      <c r="E89">
        <v>1081</v>
      </c>
      <c r="F89">
        <v>1</v>
      </c>
      <c r="G89">
        <v>1081</v>
      </c>
      <c r="H89">
        <v>1</v>
      </c>
      <c r="I89" t="s">
        <v>457</v>
      </c>
      <c r="J89" t="s">
        <v>3</v>
      </c>
      <c r="K89" t="s">
        <v>458</v>
      </c>
      <c r="L89">
        <v>1191</v>
      </c>
      <c r="N89">
        <v>1013</v>
      </c>
      <c r="O89" t="s">
        <v>459</v>
      </c>
      <c r="P89" t="s">
        <v>459</v>
      </c>
      <c r="Q89">
        <v>1</v>
      </c>
      <c r="W89">
        <v>0</v>
      </c>
      <c r="X89">
        <v>476480486</v>
      </c>
      <c r="Y89">
        <f>((AT89*1.2)*0.6)</f>
        <v>8.3303999999999991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5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11.57</v>
      </c>
      <c r="AU89" t="s">
        <v>85</v>
      </c>
      <c r="AV89">
        <v>1</v>
      </c>
      <c r="AW89">
        <v>2</v>
      </c>
      <c r="AX89">
        <v>57249698</v>
      </c>
      <c r="AY89">
        <v>1</v>
      </c>
      <c r="AZ89">
        <v>0</v>
      </c>
      <c r="BA89">
        <v>116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ROUND(AT89*Source!I53*AH89*AL89,2)</f>
        <v>0</v>
      </c>
      <c r="CV89">
        <f>ROUND(Y89*Source!I53,9)</f>
        <v>0.33321600000000001</v>
      </c>
      <c r="CW89">
        <v>0</v>
      </c>
      <c r="CX89">
        <f>ROUND(Y89*Source!I53,9)</f>
        <v>0.33321600000000001</v>
      </c>
      <c r="CY89">
        <f>AD89</f>
        <v>0</v>
      </c>
      <c r="CZ89">
        <f>AH89</f>
        <v>0</v>
      </c>
      <c r="DA89">
        <f>AL89</f>
        <v>1</v>
      </c>
      <c r="DB89">
        <f>ROUND(((ROUND(AT89*CZ89,2)*1.2)*0.6),6)</f>
        <v>0</v>
      </c>
      <c r="DC89">
        <f>ROUND(((ROUND(AT89*AG89,2)*1.2)*0.6),6)</f>
        <v>0</v>
      </c>
      <c r="DD89" t="s">
        <v>3</v>
      </c>
      <c r="DE89" t="s">
        <v>3</v>
      </c>
      <c r="DF89">
        <f t="shared" si="36"/>
        <v>0</v>
      </c>
      <c r="DG89">
        <f t="shared" si="35"/>
        <v>0</v>
      </c>
      <c r="DH89">
        <f t="shared" si="34"/>
        <v>0</v>
      </c>
      <c r="DI89">
        <f t="shared" si="32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ROW(Source!A53)</f>
        <v>53</v>
      </c>
      <c r="B90">
        <v>57248837</v>
      </c>
      <c r="C90">
        <v>57249691</v>
      </c>
      <c r="D90">
        <v>54768339</v>
      </c>
      <c r="E90">
        <v>1</v>
      </c>
      <c r="F90">
        <v>1</v>
      </c>
      <c r="G90">
        <v>1081</v>
      </c>
      <c r="H90">
        <v>2</v>
      </c>
      <c r="I90" t="s">
        <v>497</v>
      </c>
      <c r="J90" t="s">
        <v>498</v>
      </c>
      <c r="K90" t="s">
        <v>499</v>
      </c>
      <c r="L90">
        <v>1368</v>
      </c>
      <c r="N90">
        <v>1011</v>
      </c>
      <c r="O90" t="s">
        <v>463</v>
      </c>
      <c r="P90" t="s">
        <v>463</v>
      </c>
      <c r="Q90">
        <v>1</v>
      </c>
      <c r="W90">
        <v>0</v>
      </c>
      <c r="X90">
        <v>874612079</v>
      </c>
      <c r="Y90">
        <f>((AT90*1.2)*0.6)</f>
        <v>0.12959999999999999</v>
      </c>
      <c r="AA90">
        <v>0</v>
      </c>
      <c r="AB90">
        <v>1541.93</v>
      </c>
      <c r="AC90">
        <v>773.01</v>
      </c>
      <c r="AD90">
        <v>0</v>
      </c>
      <c r="AE90">
        <v>0</v>
      </c>
      <c r="AF90">
        <v>83.1</v>
      </c>
      <c r="AG90">
        <v>12.62</v>
      </c>
      <c r="AH90">
        <v>0</v>
      </c>
      <c r="AI90">
        <v>1</v>
      </c>
      <c r="AJ90">
        <v>17.07</v>
      </c>
      <c r="AK90">
        <v>56.35</v>
      </c>
      <c r="AL90">
        <v>1</v>
      </c>
      <c r="AM90">
        <v>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0.18</v>
      </c>
      <c r="AU90" t="s">
        <v>85</v>
      </c>
      <c r="AV90">
        <v>0</v>
      </c>
      <c r="AW90">
        <v>2</v>
      </c>
      <c r="AX90">
        <v>57249699</v>
      </c>
      <c r="AY90">
        <v>1</v>
      </c>
      <c r="AZ90">
        <v>0</v>
      </c>
      <c r="BA90">
        <v>117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ROUND(Y90*Source!I53*DO90,9)</f>
        <v>6.5422079999999994E-2</v>
      </c>
      <c r="CX90">
        <f>ROUND(Y90*Source!I53,9)</f>
        <v>5.1840000000000002E-3</v>
      </c>
      <c r="CY90">
        <f>AB90</f>
        <v>1541.93</v>
      </c>
      <c r="CZ90">
        <f>AF90</f>
        <v>83.1</v>
      </c>
      <c r="DA90">
        <f>AJ90</f>
        <v>17.07</v>
      </c>
      <c r="DB90">
        <f>ROUND(((ROUND(AT90*CZ90,2)*1.2)*0.6),6)</f>
        <v>10.7712</v>
      </c>
      <c r="DC90">
        <f>ROUND(((ROUND(AT90*AG90,2)*1.2)*0.6),6)</f>
        <v>1.6344000000000001</v>
      </c>
      <c r="DD90" t="s">
        <v>3</v>
      </c>
      <c r="DE90" t="s">
        <v>3</v>
      </c>
      <c r="DF90">
        <f t="shared" si="36"/>
        <v>0</v>
      </c>
      <c r="DG90">
        <f>ROUND(ROUND(AF90*AJ90,2)*CX90,2)</f>
        <v>7.35</v>
      </c>
      <c r="DH90">
        <f>ROUND(ROUND(AG90*AK90,2)*CX90,2)</f>
        <v>3.69</v>
      </c>
      <c r="DI90">
        <f t="shared" si="32"/>
        <v>0</v>
      </c>
      <c r="DJ90">
        <f>DG90</f>
        <v>7.35</v>
      </c>
      <c r="DK90">
        <v>0</v>
      </c>
      <c r="DL90" t="s">
        <v>500</v>
      </c>
      <c r="DM90">
        <v>0</v>
      </c>
      <c r="DN90" t="s">
        <v>459</v>
      </c>
      <c r="DO90">
        <v>12.62</v>
      </c>
    </row>
    <row r="91" spans="1:119" x14ac:dyDescent="0.2">
      <c r="A91">
        <f>ROW(Source!A53)</f>
        <v>53</v>
      </c>
      <c r="B91">
        <v>57248837</v>
      </c>
      <c r="C91">
        <v>57249691</v>
      </c>
      <c r="D91">
        <v>54768460</v>
      </c>
      <c r="E91">
        <v>1</v>
      </c>
      <c r="F91">
        <v>1</v>
      </c>
      <c r="G91">
        <v>1081</v>
      </c>
      <c r="H91">
        <v>2</v>
      </c>
      <c r="I91" t="s">
        <v>460</v>
      </c>
      <c r="J91" t="s">
        <v>461</v>
      </c>
      <c r="K91" t="s">
        <v>462</v>
      </c>
      <c r="L91">
        <v>1368</v>
      </c>
      <c r="N91">
        <v>1011</v>
      </c>
      <c r="O91" t="s">
        <v>463</v>
      </c>
      <c r="P91" t="s">
        <v>463</v>
      </c>
      <c r="Q91">
        <v>1</v>
      </c>
      <c r="W91">
        <v>0</v>
      </c>
      <c r="X91">
        <v>-2083101341</v>
      </c>
      <c r="Y91">
        <f>((AT91*1.2)*0.6)</f>
        <v>0.99359999999999993</v>
      </c>
      <c r="AA91">
        <v>0</v>
      </c>
      <c r="AB91">
        <v>8.23</v>
      </c>
      <c r="AC91">
        <v>0</v>
      </c>
      <c r="AD91">
        <v>0</v>
      </c>
      <c r="AE91">
        <v>0</v>
      </c>
      <c r="AF91">
        <v>0.8</v>
      </c>
      <c r="AG91">
        <v>0</v>
      </c>
      <c r="AH91">
        <v>0</v>
      </c>
      <c r="AI91">
        <v>1</v>
      </c>
      <c r="AJ91">
        <v>9.4600000000000009</v>
      </c>
      <c r="AK91">
        <v>1</v>
      </c>
      <c r="AL91">
        <v>1</v>
      </c>
      <c r="AM91">
        <v>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1.38</v>
      </c>
      <c r="AU91" t="s">
        <v>85</v>
      </c>
      <c r="AV91">
        <v>0</v>
      </c>
      <c r="AW91">
        <v>2</v>
      </c>
      <c r="AX91">
        <v>57249700</v>
      </c>
      <c r="AY91">
        <v>1</v>
      </c>
      <c r="AZ91">
        <v>0</v>
      </c>
      <c r="BA91">
        <v>118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f>ROUND(Y91*Source!I53*DO91,9)</f>
        <v>0</v>
      </c>
      <c r="CX91">
        <f>ROUND(Y91*Source!I53,9)</f>
        <v>3.9744000000000002E-2</v>
      </c>
      <c r="CY91">
        <f>AB91</f>
        <v>8.23</v>
      </c>
      <c r="CZ91">
        <f>AF91</f>
        <v>0.8</v>
      </c>
      <c r="DA91">
        <f>AJ91</f>
        <v>9.4600000000000009</v>
      </c>
      <c r="DB91">
        <f>ROUND(((ROUND(AT91*CZ91,2)*1.2)*0.6),6)</f>
        <v>0.79200000000000004</v>
      </c>
      <c r="DC91">
        <f>ROUND(((ROUND(AT91*AG91,2)*1.2)*0.6),6)</f>
        <v>0</v>
      </c>
      <c r="DD91" t="s">
        <v>3</v>
      </c>
      <c r="DE91" t="s">
        <v>3</v>
      </c>
      <c r="DF91">
        <f t="shared" si="36"/>
        <v>0</v>
      </c>
      <c r="DG91">
        <f>ROUND(ROUND(AF91*AJ91,2)*CX91,2)</f>
        <v>0.3</v>
      </c>
      <c r="DH91">
        <f t="shared" ref="DH91:DH99" si="37">ROUND(ROUND(AG91,2)*CX91,2)</f>
        <v>0</v>
      </c>
      <c r="DI91">
        <f t="shared" si="32"/>
        <v>0</v>
      </c>
      <c r="DJ91">
        <f>DG91</f>
        <v>0.3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ROW(Source!A53)</f>
        <v>53</v>
      </c>
      <c r="B92">
        <v>57248837</v>
      </c>
      <c r="C92">
        <v>57249691</v>
      </c>
      <c r="D92">
        <v>54768426</v>
      </c>
      <c r="E92">
        <v>1</v>
      </c>
      <c r="F92">
        <v>1</v>
      </c>
      <c r="G92">
        <v>1081</v>
      </c>
      <c r="H92">
        <v>2</v>
      </c>
      <c r="I92" t="s">
        <v>485</v>
      </c>
      <c r="J92" t="s">
        <v>486</v>
      </c>
      <c r="K92" t="s">
        <v>487</v>
      </c>
      <c r="L92">
        <v>1368</v>
      </c>
      <c r="N92">
        <v>1011</v>
      </c>
      <c r="O92" t="s">
        <v>463</v>
      </c>
      <c r="P92" t="s">
        <v>463</v>
      </c>
      <c r="Q92">
        <v>1</v>
      </c>
      <c r="W92">
        <v>0</v>
      </c>
      <c r="X92">
        <v>-643591644</v>
      </c>
      <c r="Y92">
        <f>((AT92*1.2)*0.6)</f>
        <v>4.032</v>
      </c>
      <c r="AA92">
        <v>0</v>
      </c>
      <c r="AB92">
        <v>4.9400000000000004</v>
      </c>
      <c r="AC92">
        <v>0</v>
      </c>
      <c r="AD92">
        <v>0</v>
      </c>
      <c r="AE92">
        <v>0</v>
      </c>
      <c r="AF92">
        <v>0.47</v>
      </c>
      <c r="AG92">
        <v>0</v>
      </c>
      <c r="AH92">
        <v>0</v>
      </c>
      <c r="AI92">
        <v>1</v>
      </c>
      <c r="AJ92">
        <v>9.66</v>
      </c>
      <c r="AK92">
        <v>1</v>
      </c>
      <c r="AL92">
        <v>1</v>
      </c>
      <c r="AM92">
        <v>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5.6</v>
      </c>
      <c r="AU92" t="s">
        <v>85</v>
      </c>
      <c r="AV92">
        <v>0</v>
      </c>
      <c r="AW92">
        <v>2</v>
      </c>
      <c r="AX92">
        <v>57249701</v>
      </c>
      <c r="AY92">
        <v>1</v>
      </c>
      <c r="AZ92">
        <v>0</v>
      </c>
      <c r="BA92">
        <v>119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f>ROUND(Y92*Source!I53*DO92,9)</f>
        <v>0</v>
      </c>
      <c r="CX92">
        <f>ROUND(Y92*Source!I53,9)</f>
        <v>0.16128000000000001</v>
      </c>
      <c r="CY92">
        <f>AB92</f>
        <v>4.9400000000000004</v>
      </c>
      <c r="CZ92">
        <f>AF92</f>
        <v>0.47</v>
      </c>
      <c r="DA92">
        <f>AJ92</f>
        <v>9.66</v>
      </c>
      <c r="DB92">
        <f>ROUND(((ROUND(AT92*CZ92,2)*1.2)*0.6),6)</f>
        <v>1.8935999999999999</v>
      </c>
      <c r="DC92">
        <f>ROUND(((ROUND(AT92*AG92,2)*1.2)*0.6),6)</f>
        <v>0</v>
      </c>
      <c r="DD92" t="s">
        <v>3</v>
      </c>
      <c r="DE92" t="s">
        <v>3</v>
      </c>
      <c r="DF92">
        <f t="shared" si="36"/>
        <v>0</v>
      </c>
      <c r="DG92">
        <f>ROUND(ROUND(AF92*AJ92,2)*CX92,2)</f>
        <v>0.73</v>
      </c>
      <c r="DH92">
        <f t="shared" si="37"/>
        <v>0</v>
      </c>
      <c r="DI92">
        <f t="shared" si="32"/>
        <v>0</v>
      </c>
      <c r="DJ92">
        <f>DG92</f>
        <v>0.73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ROW(Source!A53)</f>
        <v>53</v>
      </c>
      <c r="B93">
        <v>57248837</v>
      </c>
      <c r="C93">
        <v>57249691</v>
      </c>
      <c r="D93">
        <v>54739203</v>
      </c>
      <c r="E93">
        <v>1</v>
      </c>
      <c r="F93">
        <v>1</v>
      </c>
      <c r="G93">
        <v>1081</v>
      </c>
      <c r="H93">
        <v>3</v>
      </c>
      <c r="I93" t="s">
        <v>526</v>
      </c>
      <c r="J93" t="s">
        <v>527</v>
      </c>
      <c r="K93" t="s">
        <v>528</v>
      </c>
      <c r="L93">
        <v>1346</v>
      </c>
      <c r="N93">
        <v>1009</v>
      </c>
      <c r="O93" t="s">
        <v>320</v>
      </c>
      <c r="P93" t="s">
        <v>320</v>
      </c>
      <c r="Q93">
        <v>1</v>
      </c>
      <c r="W93">
        <v>0</v>
      </c>
      <c r="X93">
        <v>383020592</v>
      </c>
      <c r="Y93">
        <f>((AT93*1)*0.6)</f>
        <v>1.6320000000000001</v>
      </c>
      <c r="AA93">
        <v>101.86</v>
      </c>
      <c r="AB93">
        <v>0</v>
      </c>
      <c r="AC93">
        <v>0</v>
      </c>
      <c r="AD93">
        <v>0</v>
      </c>
      <c r="AE93">
        <v>20.62</v>
      </c>
      <c r="AF93">
        <v>0</v>
      </c>
      <c r="AG93">
        <v>0</v>
      </c>
      <c r="AH93">
        <v>0</v>
      </c>
      <c r="AI93">
        <v>4.9400000000000004</v>
      </c>
      <c r="AJ93">
        <v>1</v>
      </c>
      <c r="AK93">
        <v>1</v>
      </c>
      <c r="AL93">
        <v>1</v>
      </c>
      <c r="AM93">
        <v>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2.72</v>
      </c>
      <c r="AU93" t="s">
        <v>84</v>
      </c>
      <c r="AV93">
        <v>0</v>
      </c>
      <c r="AW93">
        <v>2</v>
      </c>
      <c r="AX93">
        <v>57249702</v>
      </c>
      <c r="AY93">
        <v>1</v>
      </c>
      <c r="AZ93">
        <v>0</v>
      </c>
      <c r="BA93">
        <v>120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ROUND(Y93*Source!I53,9)</f>
        <v>6.5280000000000005E-2</v>
      </c>
      <c r="CY93">
        <f>AA93</f>
        <v>101.86</v>
      </c>
      <c r="CZ93">
        <f>AE93</f>
        <v>20.62</v>
      </c>
      <c r="DA93">
        <f>AI93</f>
        <v>4.9400000000000004</v>
      </c>
      <c r="DB93">
        <f>ROUND(((ROUND(AT93*CZ93,2)*1)*0.6),6)</f>
        <v>33.654000000000003</v>
      </c>
      <c r="DC93">
        <f>ROUND(((ROUND(AT93*AG93,2)*1)*0.6),6)</f>
        <v>0</v>
      </c>
      <c r="DD93" t="s">
        <v>3</v>
      </c>
      <c r="DE93" t="s">
        <v>3</v>
      </c>
      <c r="DF93">
        <f>ROUND(ROUND(AE93*AI93,2)*CX93,2)</f>
        <v>6.65</v>
      </c>
      <c r="DG93">
        <f t="shared" ref="DG93:DG99" si="38">ROUND(ROUND(AF93,2)*CX93,2)</f>
        <v>0</v>
      </c>
      <c r="DH93">
        <f t="shared" si="37"/>
        <v>0</v>
      </c>
      <c r="DI93">
        <f t="shared" si="32"/>
        <v>0</v>
      </c>
      <c r="DJ93">
        <f>DF93</f>
        <v>6.65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ROW(Source!A53)</f>
        <v>53</v>
      </c>
      <c r="B94">
        <v>57248837</v>
      </c>
      <c r="C94">
        <v>57249691</v>
      </c>
      <c r="D94">
        <v>54747383</v>
      </c>
      <c r="E94">
        <v>1</v>
      </c>
      <c r="F94">
        <v>1</v>
      </c>
      <c r="G94">
        <v>1081</v>
      </c>
      <c r="H94">
        <v>3</v>
      </c>
      <c r="I94" t="s">
        <v>491</v>
      </c>
      <c r="J94" t="s">
        <v>492</v>
      </c>
      <c r="K94" t="s">
        <v>493</v>
      </c>
      <c r="L94">
        <v>1354</v>
      </c>
      <c r="N94">
        <v>1010</v>
      </c>
      <c r="O94" t="s">
        <v>228</v>
      </c>
      <c r="P94" t="s">
        <v>228</v>
      </c>
      <c r="Q94">
        <v>1</v>
      </c>
      <c r="W94">
        <v>0</v>
      </c>
      <c r="X94">
        <v>-32785108</v>
      </c>
      <c r="Y94">
        <f>((AT94*1)*0.6)</f>
        <v>3</v>
      </c>
      <c r="AA94">
        <v>36.14</v>
      </c>
      <c r="AB94">
        <v>0</v>
      </c>
      <c r="AC94">
        <v>0</v>
      </c>
      <c r="AD94">
        <v>0</v>
      </c>
      <c r="AE94">
        <v>15.25</v>
      </c>
      <c r="AF94">
        <v>0</v>
      </c>
      <c r="AG94">
        <v>0</v>
      </c>
      <c r="AH94">
        <v>0</v>
      </c>
      <c r="AI94">
        <v>2.37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5</v>
      </c>
      <c r="AU94" t="s">
        <v>84</v>
      </c>
      <c r="AV94">
        <v>0</v>
      </c>
      <c r="AW94">
        <v>2</v>
      </c>
      <c r="AX94">
        <v>57249703</v>
      </c>
      <c r="AY94">
        <v>1</v>
      </c>
      <c r="AZ94">
        <v>0</v>
      </c>
      <c r="BA94">
        <v>121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ROUND(Y94*Source!I53,9)</f>
        <v>0.12</v>
      </c>
      <c r="CY94">
        <f>AA94</f>
        <v>36.14</v>
      </c>
      <c r="CZ94">
        <f>AE94</f>
        <v>15.25</v>
      </c>
      <c r="DA94">
        <f>AI94</f>
        <v>2.37</v>
      </c>
      <c r="DB94">
        <f>ROUND(((ROUND(AT94*CZ94,2)*1)*0.6),6)</f>
        <v>45.75</v>
      </c>
      <c r="DC94">
        <f>ROUND(((ROUND(AT94*AG94,2)*1)*0.6),6)</f>
        <v>0</v>
      </c>
      <c r="DD94" t="s">
        <v>3</v>
      </c>
      <c r="DE94" t="s">
        <v>3</v>
      </c>
      <c r="DF94">
        <f>ROUND(ROUND(AE94*AI94,2)*CX94,2)</f>
        <v>4.34</v>
      </c>
      <c r="DG94">
        <f t="shared" si="38"/>
        <v>0</v>
      </c>
      <c r="DH94">
        <f t="shared" si="37"/>
        <v>0</v>
      </c>
      <c r="DI94">
        <f t="shared" si="32"/>
        <v>0</v>
      </c>
      <c r="DJ94">
        <f>DF94</f>
        <v>4.34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ROW(Source!A54)</f>
        <v>54</v>
      </c>
      <c r="B95">
        <v>57248835</v>
      </c>
      <c r="C95">
        <v>57249706</v>
      </c>
      <c r="D95">
        <v>54702434</v>
      </c>
      <c r="E95">
        <v>1081</v>
      </c>
      <c r="F95">
        <v>1</v>
      </c>
      <c r="G95">
        <v>1081</v>
      </c>
      <c r="H95">
        <v>1</v>
      </c>
      <c r="I95" t="s">
        <v>457</v>
      </c>
      <c r="J95" t="s">
        <v>3</v>
      </c>
      <c r="K95" t="s">
        <v>458</v>
      </c>
      <c r="L95">
        <v>1191</v>
      </c>
      <c r="N95">
        <v>1013</v>
      </c>
      <c r="O95" t="s">
        <v>459</v>
      </c>
      <c r="P95" t="s">
        <v>459</v>
      </c>
      <c r="Q95">
        <v>1</v>
      </c>
      <c r="W95">
        <v>0</v>
      </c>
      <c r="X95">
        <v>476480486</v>
      </c>
      <c r="Y95">
        <f>((AT95*1.2)*0.6)</f>
        <v>0.74159999999999993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1.03</v>
      </c>
      <c r="AU95" t="s">
        <v>85</v>
      </c>
      <c r="AV95">
        <v>1</v>
      </c>
      <c r="AW95">
        <v>2</v>
      </c>
      <c r="AX95">
        <v>57249711</v>
      </c>
      <c r="AY95">
        <v>1</v>
      </c>
      <c r="AZ95">
        <v>0</v>
      </c>
      <c r="BA95">
        <v>123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U95">
        <f>ROUND(AT95*Source!I54*AH95*AL95,2)</f>
        <v>0</v>
      </c>
      <c r="CV95">
        <f>ROUND(Y95*Source!I54,9)</f>
        <v>2.9664000000000001</v>
      </c>
      <c r="CW95">
        <v>0</v>
      </c>
      <c r="CX95">
        <f>ROUND(Y95*Source!I54,9)</f>
        <v>2.9664000000000001</v>
      </c>
      <c r="CY95">
        <f>AD95</f>
        <v>0</v>
      </c>
      <c r="CZ95">
        <f>AH95</f>
        <v>0</v>
      </c>
      <c r="DA95">
        <f>AL95</f>
        <v>1</v>
      </c>
      <c r="DB95">
        <f>ROUND(((ROUND(AT95*CZ95,2)*1.2)*0.6),6)</f>
        <v>0</v>
      </c>
      <c r="DC95">
        <f>ROUND(((ROUND(AT95*AG95,2)*1.2)*0.6),6)</f>
        <v>0</v>
      </c>
      <c r="DD95" t="s">
        <v>3</v>
      </c>
      <c r="DE95" t="s">
        <v>3</v>
      </c>
      <c r="DF95">
        <f t="shared" ref="DF95:DF101" si="39">ROUND(ROUND(AE95,2)*CX95,2)</f>
        <v>0</v>
      </c>
      <c r="DG95">
        <f t="shared" si="38"/>
        <v>0</v>
      </c>
      <c r="DH95">
        <f t="shared" si="37"/>
        <v>0</v>
      </c>
      <c r="DI95">
        <f t="shared" si="32"/>
        <v>0</v>
      </c>
      <c r="DJ95">
        <f>DI95</f>
        <v>0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ROW(Source!A54)</f>
        <v>54</v>
      </c>
      <c r="B96">
        <v>57248835</v>
      </c>
      <c r="C96">
        <v>57249706</v>
      </c>
      <c r="D96">
        <v>54768339</v>
      </c>
      <c r="E96">
        <v>1</v>
      </c>
      <c r="F96">
        <v>1</v>
      </c>
      <c r="G96">
        <v>1081</v>
      </c>
      <c r="H96">
        <v>2</v>
      </c>
      <c r="I96" t="s">
        <v>497</v>
      </c>
      <c r="J96" t="s">
        <v>498</v>
      </c>
      <c r="K96" t="s">
        <v>499</v>
      </c>
      <c r="L96">
        <v>1368</v>
      </c>
      <c r="N96">
        <v>1011</v>
      </c>
      <c r="O96" t="s">
        <v>463</v>
      </c>
      <c r="P96" t="s">
        <v>463</v>
      </c>
      <c r="Q96">
        <v>1</v>
      </c>
      <c r="W96">
        <v>0</v>
      </c>
      <c r="X96">
        <v>874612079</v>
      </c>
      <c r="Y96">
        <f>((AT96*1.2)*0.6)</f>
        <v>7.1999999999999998E-3</v>
      </c>
      <c r="AA96">
        <v>0</v>
      </c>
      <c r="AB96">
        <v>88.67</v>
      </c>
      <c r="AC96">
        <v>13.47</v>
      </c>
      <c r="AD96">
        <v>0</v>
      </c>
      <c r="AE96">
        <v>0</v>
      </c>
      <c r="AF96">
        <v>83.1</v>
      </c>
      <c r="AG96">
        <v>12.62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0.01</v>
      </c>
      <c r="AU96" t="s">
        <v>85</v>
      </c>
      <c r="AV96">
        <v>0</v>
      </c>
      <c r="AW96">
        <v>2</v>
      </c>
      <c r="AX96">
        <v>57249712</v>
      </c>
      <c r="AY96">
        <v>1</v>
      </c>
      <c r="AZ96">
        <v>0</v>
      </c>
      <c r="BA96">
        <v>124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f>ROUND(Y96*Source!I54*DO96,9)</f>
        <v>0.363456</v>
      </c>
      <c r="CX96">
        <f>ROUND(Y96*Source!I54,9)</f>
        <v>2.8799999999999999E-2</v>
      </c>
      <c r="CY96">
        <f>AB96</f>
        <v>88.67</v>
      </c>
      <c r="CZ96">
        <f>AF96</f>
        <v>83.1</v>
      </c>
      <c r="DA96">
        <f>AJ96</f>
        <v>1</v>
      </c>
      <c r="DB96">
        <f>ROUND(((ROUND(AT96*CZ96,2)*1.2)*0.6),6)</f>
        <v>0.59760000000000002</v>
      </c>
      <c r="DC96">
        <f>ROUND(((ROUND(AT96*AG96,2)*1.2)*0.6),6)</f>
        <v>9.3600000000000003E-2</v>
      </c>
      <c r="DD96" t="s">
        <v>3</v>
      </c>
      <c r="DE96" t="s">
        <v>3</v>
      </c>
      <c r="DF96">
        <f t="shared" si="39"/>
        <v>0</v>
      </c>
      <c r="DG96">
        <f t="shared" si="38"/>
        <v>2.39</v>
      </c>
      <c r="DH96">
        <f t="shared" si="37"/>
        <v>0.36</v>
      </c>
      <c r="DI96">
        <f t="shared" si="32"/>
        <v>0</v>
      </c>
      <c r="DJ96">
        <f>DG96</f>
        <v>2.39</v>
      </c>
      <c r="DK96">
        <v>0</v>
      </c>
      <c r="DL96" t="s">
        <v>500</v>
      </c>
      <c r="DM96">
        <v>0</v>
      </c>
      <c r="DN96" t="s">
        <v>459</v>
      </c>
      <c r="DO96">
        <v>12.62</v>
      </c>
    </row>
    <row r="97" spans="1:119" x14ac:dyDescent="0.2">
      <c r="A97">
        <f>ROW(Source!A54)</f>
        <v>54</v>
      </c>
      <c r="B97">
        <v>57248835</v>
      </c>
      <c r="C97">
        <v>57249706</v>
      </c>
      <c r="D97">
        <v>54767653</v>
      </c>
      <c r="E97">
        <v>1</v>
      </c>
      <c r="F97">
        <v>1</v>
      </c>
      <c r="G97">
        <v>1081</v>
      </c>
      <c r="H97">
        <v>2</v>
      </c>
      <c r="I97" t="s">
        <v>529</v>
      </c>
      <c r="J97" t="s">
        <v>530</v>
      </c>
      <c r="K97" t="s">
        <v>531</v>
      </c>
      <c r="L97">
        <v>1368</v>
      </c>
      <c r="N97">
        <v>1011</v>
      </c>
      <c r="O97" t="s">
        <v>463</v>
      </c>
      <c r="P97" t="s">
        <v>463</v>
      </c>
      <c r="Q97">
        <v>1</v>
      </c>
      <c r="W97">
        <v>0</v>
      </c>
      <c r="X97">
        <v>-597652516</v>
      </c>
      <c r="Y97">
        <f>((AT97*1.2)*0.6)</f>
        <v>0.18720000000000001</v>
      </c>
      <c r="AA97">
        <v>0</v>
      </c>
      <c r="AB97">
        <v>0.34</v>
      </c>
      <c r="AC97">
        <v>0</v>
      </c>
      <c r="AD97">
        <v>0</v>
      </c>
      <c r="AE97">
        <v>0</v>
      </c>
      <c r="AF97">
        <v>0.32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0.26</v>
      </c>
      <c r="AU97" t="s">
        <v>85</v>
      </c>
      <c r="AV97">
        <v>0</v>
      </c>
      <c r="AW97">
        <v>2</v>
      </c>
      <c r="AX97">
        <v>57249713</v>
      </c>
      <c r="AY97">
        <v>1</v>
      </c>
      <c r="AZ97">
        <v>0</v>
      </c>
      <c r="BA97">
        <v>125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f>ROUND(Y97*Source!I54*DO97,9)</f>
        <v>0</v>
      </c>
      <c r="CX97">
        <f>ROUND(Y97*Source!I54,9)</f>
        <v>0.74880000000000002</v>
      </c>
      <c r="CY97">
        <f>AB97</f>
        <v>0.34</v>
      </c>
      <c r="CZ97">
        <f>AF97</f>
        <v>0.32</v>
      </c>
      <c r="DA97">
        <f>AJ97</f>
        <v>1</v>
      </c>
      <c r="DB97">
        <f>ROUND(((ROUND(AT97*CZ97,2)*1.2)*0.6),6)</f>
        <v>5.7599999999999998E-2</v>
      </c>
      <c r="DC97">
        <f>ROUND(((ROUND(AT97*AG97,2)*1.2)*0.6),6)</f>
        <v>0</v>
      </c>
      <c r="DD97" t="s">
        <v>3</v>
      </c>
      <c r="DE97" t="s">
        <v>3</v>
      </c>
      <c r="DF97">
        <f t="shared" si="39"/>
        <v>0</v>
      </c>
      <c r="DG97">
        <f t="shared" si="38"/>
        <v>0.24</v>
      </c>
      <c r="DH97">
        <f t="shared" si="37"/>
        <v>0</v>
      </c>
      <c r="DI97">
        <f t="shared" si="32"/>
        <v>0</v>
      </c>
      <c r="DJ97">
        <f>DG97</f>
        <v>0.24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ROW(Source!A54)</f>
        <v>54</v>
      </c>
      <c r="B98">
        <v>57248835</v>
      </c>
      <c r="C98">
        <v>57249706</v>
      </c>
      <c r="D98">
        <v>54739177</v>
      </c>
      <c r="E98">
        <v>1</v>
      </c>
      <c r="F98">
        <v>1</v>
      </c>
      <c r="G98">
        <v>1081</v>
      </c>
      <c r="H98">
        <v>3</v>
      </c>
      <c r="I98" t="s">
        <v>532</v>
      </c>
      <c r="J98" t="s">
        <v>533</v>
      </c>
      <c r="K98" t="s">
        <v>534</v>
      </c>
      <c r="L98">
        <v>1346</v>
      </c>
      <c r="N98">
        <v>1009</v>
      </c>
      <c r="O98" t="s">
        <v>320</v>
      </c>
      <c r="P98" t="s">
        <v>320</v>
      </c>
      <c r="Q98">
        <v>1</v>
      </c>
      <c r="W98">
        <v>0</v>
      </c>
      <c r="X98">
        <v>1389232946</v>
      </c>
      <c r="Y98">
        <f>((AT98*1)*0.6)</f>
        <v>0.15</v>
      </c>
      <c r="AA98">
        <v>15.02</v>
      </c>
      <c r="AB98">
        <v>0</v>
      </c>
      <c r="AC98">
        <v>0</v>
      </c>
      <c r="AD98">
        <v>0</v>
      </c>
      <c r="AE98">
        <v>15.02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0.25</v>
      </c>
      <c r="AU98" t="s">
        <v>84</v>
      </c>
      <c r="AV98">
        <v>0</v>
      </c>
      <c r="AW98">
        <v>2</v>
      </c>
      <c r="AX98">
        <v>57249714</v>
      </c>
      <c r="AY98">
        <v>1</v>
      </c>
      <c r="AZ98">
        <v>0</v>
      </c>
      <c r="BA98">
        <v>126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ROUND(Y98*Source!I54,9)</f>
        <v>0.6</v>
      </c>
      <c r="CY98">
        <f>AA98</f>
        <v>15.02</v>
      </c>
      <c r="CZ98">
        <f>AE98</f>
        <v>15.02</v>
      </c>
      <c r="DA98">
        <f>AI98</f>
        <v>1</v>
      </c>
      <c r="DB98">
        <f>ROUND(((ROUND(AT98*CZ98,2)*1)*0.6),6)</f>
        <v>2.2559999999999998</v>
      </c>
      <c r="DC98">
        <f>ROUND(((ROUND(AT98*AG98,2)*1)*0.6),6)</f>
        <v>0</v>
      </c>
      <c r="DD98" t="s">
        <v>3</v>
      </c>
      <c r="DE98" t="s">
        <v>3</v>
      </c>
      <c r="DF98">
        <f t="shared" si="39"/>
        <v>9.01</v>
      </c>
      <c r="DG98">
        <f t="shared" si="38"/>
        <v>0</v>
      </c>
      <c r="DH98">
        <f t="shared" si="37"/>
        <v>0</v>
      </c>
      <c r="DI98">
        <f t="shared" si="32"/>
        <v>0</v>
      </c>
      <c r="DJ98">
        <f>DF98</f>
        <v>9.01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ROW(Source!A55)</f>
        <v>55</v>
      </c>
      <c r="B99">
        <v>57248837</v>
      </c>
      <c r="C99">
        <v>57249706</v>
      </c>
      <c r="D99">
        <v>54702434</v>
      </c>
      <c r="E99">
        <v>1081</v>
      </c>
      <c r="F99">
        <v>1</v>
      </c>
      <c r="G99">
        <v>1081</v>
      </c>
      <c r="H99">
        <v>1</v>
      </c>
      <c r="I99" t="s">
        <v>457</v>
      </c>
      <c r="J99" t="s">
        <v>3</v>
      </c>
      <c r="K99" t="s">
        <v>458</v>
      </c>
      <c r="L99">
        <v>1191</v>
      </c>
      <c r="N99">
        <v>1013</v>
      </c>
      <c r="O99" t="s">
        <v>459</v>
      </c>
      <c r="P99" t="s">
        <v>459</v>
      </c>
      <c r="Q99">
        <v>1</v>
      </c>
      <c r="W99">
        <v>0</v>
      </c>
      <c r="X99">
        <v>476480486</v>
      </c>
      <c r="Y99">
        <f>((AT99*1.2)*0.6)</f>
        <v>0.74159999999999993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5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1.03</v>
      </c>
      <c r="AU99" t="s">
        <v>85</v>
      </c>
      <c r="AV99">
        <v>1</v>
      </c>
      <c r="AW99">
        <v>2</v>
      </c>
      <c r="AX99">
        <v>57249711</v>
      </c>
      <c r="AY99">
        <v>1</v>
      </c>
      <c r="AZ99">
        <v>0</v>
      </c>
      <c r="BA99">
        <v>129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U99">
        <f>ROUND(AT99*Source!I55*AH99*AL99,2)</f>
        <v>0</v>
      </c>
      <c r="CV99">
        <f>ROUND(Y99*Source!I55,9)</f>
        <v>2.9664000000000001</v>
      </c>
      <c r="CW99">
        <v>0</v>
      </c>
      <c r="CX99">
        <f>ROUND(Y99*Source!I55,9)</f>
        <v>2.9664000000000001</v>
      </c>
      <c r="CY99">
        <f>AD99</f>
        <v>0</v>
      </c>
      <c r="CZ99">
        <f>AH99</f>
        <v>0</v>
      </c>
      <c r="DA99">
        <f>AL99</f>
        <v>1</v>
      </c>
      <c r="DB99">
        <f>ROUND(((ROUND(AT99*CZ99,2)*1.2)*0.6),6)</f>
        <v>0</v>
      </c>
      <c r="DC99">
        <f>ROUND(((ROUND(AT99*AG99,2)*1.2)*0.6),6)</f>
        <v>0</v>
      </c>
      <c r="DD99" t="s">
        <v>3</v>
      </c>
      <c r="DE99" t="s">
        <v>3</v>
      </c>
      <c r="DF99">
        <f t="shared" si="39"/>
        <v>0</v>
      </c>
      <c r="DG99">
        <f t="shared" si="38"/>
        <v>0</v>
      </c>
      <c r="DH99">
        <f t="shared" si="37"/>
        <v>0</v>
      </c>
      <c r="DI99">
        <f t="shared" si="32"/>
        <v>0</v>
      </c>
      <c r="DJ99">
        <f>DI99</f>
        <v>0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ROW(Source!A55)</f>
        <v>55</v>
      </c>
      <c r="B100">
        <v>57248837</v>
      </c>
      <c r="C100">
        <v>57249706</v>
      </c>
      <c r="D100">
        <v>54768339</v>
      </c>
      <c r="E100">
        <v>1</v>
      </c>
      <c r="F100">
        <v>1</v>
      </c>
      <c r="G100">
        <v>1081</v>
      </c>
      <c r="H100">
        <v>2</v>
      </c>
      <c r="I100" t="s">
        <v>497</v>
      </c>
      <c r="J100" t="s">
        <v>498</v>
      </c>
      <c r="K100" t="s">
        <v>499</v>
      </c>
      <c r="L100">
        <v>1368</v>
      </c>
      <c r="N100">
        <v>1011</v>
      </c>
      <c r="O100" t="s">
        <v>463</v>
      </c>
      <c r="P100" t="s">
        <v>463</v>
      </c>
      <c r="Q100">
        <v>1</v>
      </c>
      <c r="W100">
        <v>0</v>
      </c>
      <c r="X100">
        <v>874612079</v>
      </c>
      <c r="Y100">
        <f>((AT100*1.2)*0.6)</f>
        <v>7.1999999999999998E-3</v>
      </c>
      <c r="AA100">
        <v>0</v>
      </c>
      <c r="AB100">
        <v>1513.56</v>
      </c>
      <c r="AC100">
        <v>758.78</v>
      </c>
      <c r="AD100">
        <v>0</v>
      </c>
      <c r="AE100">
        <v>0</v>
      </c>
      <c r="AF100">
        <v>83.1</v>
      </c>
      <c r="AG100">
        <v>12.62</v>
      </c>
      <c r="AH100">
        <v>0</v>
      </c>
      <c r="AI100">
        <v>1</v>
      </c>
      <c r="AJ100">
        <v>17.07</v>
      </c>
      <c r="AK100">
        <v>56.35</v>
      </c>
      <c r="AL100">
        <v>1</v>
      </c>
      <c r="AM100">
        <v>2</v>
      </c>
      <c r="AN100">
        <v>0</v>
      </c>
      <c r="AO100">
        <v>1</v>
      </c>
      <c r="AP100">
        <v>1</v>
      </c>
      <c r="AQ100">
        <v>0</v>
      </c>
      <c r="AR100">
        <v>0</v>
      </c>
      <c r="AS100" t="s">
        <v>3</v>
      </c>
      <c r="AT100">
        <v>0.01</v>
      </c>
      <c r="AU100" t="s">
        <v>85</v>
      </c>
      <c r="AV100">
        <v>0</v>
      </c>
      <c r="AW100">
        <v>2</v>
      </c>
      <c r="AX100">
        <v>57249712</v>
      </c>
      <c r="AY100">
        <v>1</v>
      </c>
      <c r="AZ100">
        <v>0</v>
      </c>
      <c r="BA100">
        <v>130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f>ROUND(Y100*Source!I55*DO100,9)</f>
        <v>0.363456</v>
      </c>
      <c r="CX100">
        <f>ROUND(Y100*Source!I55,9)</f>
        <v>2.8799999999999999E-2</v>
      </c>
      <c r="CY100">
        <f>AB100</f>
        <v>1513.56</v>
      </c>
      <c r="CZ100">
        <f>AF100</f>
        <v>83.1</v>
      </c>
      <c r="DA100">
        <f>AJ100</f>
        <v>17.07</v>
      </c>
      <c r="DB100">
        <f>ROUND(((ROUND(AT100*CZ100,2)*1.2)*0.6),6)</f>
        <v>0.59760000000000002</v>
      </c>
      <c r="DC100">
        <f>ROUND(((ROUND(AT100*AG100,2)*1.2)*0.6),6)</f>
        <v>9.3600000000000003E-2</v>
      </c>
      <c r="DD100" t="s">
        <v>3</v>
      </c>
      <c r="DE100" t="s">
        <v>3</v>
      </c>
      <c r="DF100">
        <f t="shared" si="39"/>
        <v>0</v>
      </c>
      <c r="DG100">
        <f>ROUND(ROUND(AF100*AJ100,2)*CX100,2)</f>
        <v>40.85</v>
      </c>
      <c r="DH100">
        <f>ROUND(ROUND(AG100*AK100,2)*CX100,2)</f>
        <v>20.48</v>
      </c>
      <c r="DI100">
        <f t="shared" si="32"/>
        <v>0</v>
      </c>
      <c r="DJ100">
        <f>DG100</f>
        <v>40.85</v>
      </c>
      <c r="DK100">
        <v>0</v>
      </c>
      <c r="DL100" t="s">
        <v>500</v>
      </c>
      <c r="DM100">
        <v>0</v>
      </c>
      <c r="DN100" t="s">
        <v>459</v>
      </c>
      <c r="DO100">
        <v>12.62</v>
      </c>
    </row>
    <row r="101" spans="1:119" x14ac:dyDescent="0.2">
      <c r="A101">
        <f>ROW(Source!A55)</f>
        <v>55</v>
      </c>
      <c r="B101">
        <v>57248837</v>
      </c>
      <c r="C101">
        <v>57249706</v>
      </c>
      <c r="D101">
        <v>54767653</v>
      </c>
      <c r="E101">
        <v>1</v>
      </c>
      <c r="F101">
        <v>1</v>
      </c>
      <c r="G101">
        <v>1081</v>
      </c>
      <c r="H101">
        <v>2</v>
      </c>
      <c r="I101" t="s">
        <v>529</v>
      </c>
      <c r="J101" t="s">
        <v>530</v>
      </c>
      <c r="K101" t="s">
        <v>531</v>
      </c>
      <c r="L101">
        <v>1368</v>
      </c>
      <c r="N101">
        <v>1011</v>
      </c>
      <c r="O101" t="s">
        <v>463</v>
      </c>
      <c r="P101" t="s">
        <v>463</v>
      </c>
      <c r="Q101">
        <v>1</v>
      </c>
      <c r="W101">
        <v>0</v>
      </c>
      <c r="X101">
        <v>-597652516</v>
      </c>
      <c r="Y101">
        <f>((AT101*1.2)*0.6)</f>
        <v>0.18720000000000001</v>
      </c>
      <c r="AA101">
        <v>0</v>
      </c>
      <c r="AB101">
        <v>3.14</v>
      </c>
      <c r="AC101">
        <v>0</v>
      </c>
      <c r="AD101">
        <v>0</v>
      </c>
      <c r="AE101">
        <v>0</v>
      </c>
      <c r="AF101">
        <v>0.32</v>
      </c>
      <c r="AG101">
        <v>0</v>
      </c>
      <c r="AH101">
        <v>0</v>
      </c>
      <c r="AI101">
        <v>1</v>
      </c>
      <c r="AJ101">
        <v>9.19</v>
      </c>
      <c r="AK101">
        <v>1</v>
      </c>
      <c r="AL101">
        <v>1</v>
      </c>
      <c r="AM101">
        <v>2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0.26</v>
      </c>
      <c r="AU101" t="s">
        <v>85</v>
      </c>
      <c r="AV101">
        <v>0</v>
      </c>
      <c r="AW101">
        <v>2</v>
      </c>
      <c r="AX101">
        <v>57249713</v>
      </c>
      <c r="AY101">
        <v>1</v>
      </c>
      <c r="AZ101">
        <v>0</v>
      </c>
      <c r="BA101">
        <v>131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f>ROUND(Y101*Source!I55*DO101,9)</f>
        <v>0</v>
      </c>
      <c r="CX101">
        <f>ROUND(Y101*Source!I55,9)</f>
        <v>0.74880000000000002</v>
      </c>
      <c r="CY101">
        <f>AB101</f>
        <v>3.14</v>
      </c>
      <c r="CZ101">
        <f>AF101</f>
        <v>0.32</v>
      </c>
      <c r="DA101">
        <f>AJ101</f>
        <v>9.19</v>
      </c>
      <c r="DB101">
        <f>ROUND(((ROUND(AT101*CZ101,2)*1.2)*0.6),6)</f>
        <v>5.7599999999999998E-2</v>
      </c>
      <c r="DC101">
        <f>ROUND(((ROUND(AT101*AG101,2)*1.2)*0.6),6)</f>
        <v>0</v>
      </c>
      <c r="DD101" t="s">
        <v>3</v>
      </c>
      <c r="DE101" t="s">
        <v>3</v>
      </c>
      <c r="DF101">
        <f t="shared" si="39"/>
        <v>0</v>
      </c>
      <c r="DG101">
        <f>ROUND(ROUND(AF101*AJ101,2)*CX101,2)</f>
        <v>2.2000000000000002</v>
      </c>
      <c r="DH101">
        <f t="shared" ref="DH101:DH108" si="40">ROUND(ROUND(AG101,2)*CX101,2)</f>
        <v>0</v>
      </c>
      <c r="DI101">
        <f t="shared" si="32"/>
        <v>0</v>
      </c>
      <c r="DJ101">
        <f>DG101</f>
        <v>2.2000000000000002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ROW(Source!A55)</f>
        <v>55</v>
      </c>
      <c r="B102">
        <v>57248837</v>
      </c>
      <c r="C102">
        <v>57249706</v>
      </c>
      <c r="D102">
        <v>54739177</v>
      </c>
      <c r="E102">
        <v>1</v>
      </c>
      <c r="F102">
        <v>1</v>
      </c>
      <c r="G102">
        <v>1081</v>
      </c>
      <c r="H102">
        <v>3</v>
      </c>
      <c r="I102" t="s">
        <v>532</v>
      </c>
      <c r="J102" t="s">
        <v>533</v>
      </c>
      <c r="K102" t="s">
        <v>534</v>
      </c>
      <c r="L102">
        <v>1346</v>
      </c>
      <c r="N102">
        <v>1009</v>
      </c>
      <c r="O102" t="s">
        <v>320</v>
      </c>
      <c r="P102" t="s">
        <v>320</v>
      </c>
      <c r="Q102">
        <v>1</v>
      </c>
      <c r="W102">
        <v>0</v>
      </c>
      <c r="X102">
        <v>1389232946</v>
      </c>
      <c r="Y102">
        <f>((AT102*1)*0.6)</f>
        <v>0.15</v>
      </c>
      <c r="AA102">
        <v>98.38</v>
      </c>
      <c r="AB102">
        <v>0</v>
      </c>
      <c r="AC102">
        <v>0</v>
      </c>
      <c r="AD102">
        <v>0</v>
      </c>
      <c r="AE102">
        <v>15.02</v>
      </c>
      <c r="AF102">
        <v>0</v>
      </c>
      <c r="AG102">
        <v>0</v>
      </c>
      <c r="AH102">
        <v>0</v>
      </c>
      <c r="AI102">
        <v>6.55</v>
      </c>
      <c r="AJ102">
        <v>1</v>
      </c>
      <c r="AK102">
        <v>1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0.25</v>
      </c>
      <c r="AU102" t="s">
        <v>84</v>
      </c>
      <c r="AV102">
        <v>0</v>
      </c>
      <c r="AW102">
        <v>2</v>
      </c>
      <c r="AX102">
        <v>57249714</v>
      </c>
      <c r="AY102">
        <v>1</v>
      </c>
      <c r="AZ102">
        <v>0</v>
      </c>
      <c r="BA102">
        <v>132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v>0</v>
      </c>
      <c r="CX102">
        <f>ROUND(Y102*Source!I55,9)</f>
        <v>0.6</v>
      </c>
      <c r="CY102">
        <f>AA102</f>
        <v>98.38</v>
      </c>
      <c r="CZ102">
        <f>AE102</f>
        <v>15.02</v>
      </c>
      <c r="DA102">
        <f>AI102</f>
        <v>6.55</v>
      </c>
      <c r="DB102">
        <f>ROUND(((ROUND(AT102*CZ102,2)*1)*0.6),6)</f>
        <v>2.2559999999999998</v>
      </c>
      <c r="DC102">
        <f>ROUND(((ROUND(AT102*AG102,2)*1)*0.6),6)</f>
        <v>0</v>
      </c>
      <c r="DD102" t="s">
        <v>3</v>
      </c>
      <c r="DE102" t="s">
        <v>3</v>
      </c>
      <c r="DF102">
        <f>ROUND(ROUND(AE102*AI102,2)*CX102,2)</f>
        <v>59.03</v>
      </c>
      <c r="DG102">
        <f t="shared" ref="DG102:DG108" si="41">ROUND(ROUND(AF102,2)*CX102,2)</f>
        <v>0</v>
      </c>
      <c r="DH102">
        <f t="shared" si="40"/>
        <v>0</v>
      </c>
      <c r="DI102">
        <f t="shared" si="32"/>
        <v>0</v>
      </c>
      <c r="DJ102">
        <f>DF102</f>
        <v>59.03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ROW(Source!A56)</f>
        <v>56</v>
      </c>
      <c r="B103">
        <v>57248835</v>
      </c>
      <c r="C103">
        <v>57249718</v>
      </c>
      <c r="D103">
        <v>54702434</v>
      </c>
      <c r="E103">
        <v>1081</v>
      </c>
      <c r="F103">
        <v>1</v>
      </c>
      <c r="G103">
        <v>1081</v>
      </c>
      <c r="H103">
        <v>1</v>
      </c>
      <c r="I103" t="s">
        <v>457</v>
      </c>
      <c r="J103" t="s">
        <v>3</v>
      </c>
      <c r="K103" t="s">
        <v>458</v>
      </c>
      <c r="L103">
        <v>1191</v>
      </c>
      <c r="N103">
        <v>1013</v>
      </c>
      <c r="O103" t="s">
        <v>459</v>
      </c>
      <c r="P103" t="s">
        <v>459</v>
      </c>
      <c r="Q103">
        <v>1</v>
      </c>
      <c r="W103">
        <v>0</v>
      </c>
      <c r="X103">
        <v>476480486</v>
      </c>
      <c r="Y103">
        <f>((AT103*1.2)*0.6)</f>
        <v>17.855999999999998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-2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24.8</v>
      </c>
      <c r="AU103" t="s">
        <v>85</v>
      </c>
      <c r="AV103">
        <v>1</v>
      </c>
      <c r="AW103">
        <v>2</v>
      </c>
      <c r="AX103">
        <v>57249724</v>
      </c>
      <c r="AY103">
        <v>1</v>
      </c>
      <c r="AZ103">
        <v>0</v>
      </c>
      <c r="BA103">
        <v>135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U103">
        <f>ROUND(AT103*Source!I56*AH103*AL103,2)</f>
        <v>0</v>
      </c>
      <c r="CV103">
        <f>ROUND(Y103*Source!I56,9)</f>
        <v>0.71423999999999999</v>
      </c>
      <c r="CW103">
        <v>0</v>
      </c>
      <c r="CX103">
        <f>ROUND(Y103*Source!I56,9)</f>
        <v>0.71423999999999999</v>
      </c>
      <c r="CY103">
        <f>AD103</f>
        <v>0</v>
      </c>
      <c r="CZ103">
        <f>AH103</f>
        <v>0</v>
      </c>
      <c r="DA103">
        <f>AL103</f>
        <v>1</v>
      </c>
      <c r="DB103">
        <f>ROUND(((ROUND(AT103*CZ103,2)*1.2)*0.6),6)</f>
        <v>0</v>
      </c>
      <c r="DC103">
        <f>ROUND(((ROUND(AT103*AG103,2)*1.2)*0.6),6)</f>
        <v>0</v>
      </c>
      <c r="DD103" t="s">
        <v>3</v>
      </c>
      <c r="DE103" t="s">
        <v>3</v>
      </c>
      <c r="DF103">
        <f t="shared" ref="DF103:DF110" si="42">ROUND(ROUND(AE103,2)*CX103,2)</f>
        <v>0</v>
      </c>
      <c r="DG103">
        <f t="shared" si="41"/>
        <v>0</v>
      </c>
      <c r="DH103">
        <f t="shared" si="40"/>
        <v>0</v>
      </c>
      <c r="DI103">
        <f t="shared" si="32"/>
        <v>0</v>
      </c>
      <c r="DJ103">
        <f>DI103</f>
        <v>0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ROW(Source!A56)</f>
        <v>56</v>
      </c>
      <c r="B104">
        <v>57248835</v>
      </c>
      <c r="C104">
        <v>57249718</v>
      </c>
      <c r="D104">
        <v>54768339</v>
      </c>
      <c r="E104">
        <v>1</v>
      </c>
      <c r="F104">
        <v>1</v>
      </c>
      <c r="G104">
        <v>1081</v>
      </c>
      <c r="H104">
        <v>2</v>
      </c>
      <c r="I104" t="s">
        <v>497</v>
      </c>
      <c r="J104" t="s">
        <v>498</v>
      </c>
      <c r="K104" t="s">
        <v>499</v>
      </c>
      <c r="L104">
        <v>1368</v>
      </c>
      <c r="N104">
        <v>1011</v>
      </c>
      <c r="O104" t="s">
        <v>463</v>
      </c>
      <c r="P104" t="s">
        <v>463</v>
      </c>
      <c r="Q104">
        <v>1</v>
      </c>
      <c r="W104">
        <v>0</v>
      </c>
      <c r="X104">
        <v>874612079</v>
      </c>
      <c r="Y104">
        <f>((AT104*1.2)*0.6)</f>
        <v>1.44E-2</v>
      </c>
      <c r="AA104">
        <v>0</v>
      </c>
      <c r="AB104">
        <v>88.67</v>
      </c>
      <c r="AC104">
        <v>13.47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</v>
      </c>
      <c r="AK104">
        <v>1</v>
      </c>
      <c r="AL104">
        <v>1</v>
      </c>
      <c r="AM104">
        <v>-2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0.02</v>
      </c>
      <c r="AU104" t="s">
        <v>85</v>
      </c>
      <c r="AV104">
        <v>0</v>
      </c>
      <c r="AW104">
        <v>2</v>
      </c>
      <c r="AX104">
        <v>57249725</v>
      </c>
      <c r="AY104">
        <v>1</v>
      </c>
      <c r="AZ104">
        <v>0</v>
      </c>
      <c r="BA104">
        <v>136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ROUND(Y104*Source!I56*DO104,9)</f>
        <v>7.2691199999999996E-3</v>
      </c>
      <c r="CX104">
        <f>ROUND(Y104*Source!I56,9)</f>
        <v>5.7600000000000001E-4</v>
      </c>
      <c r="CY104">
        <f>AB104</f>
        <v>88.67</v>
      </c>
      <c r="CZ104">
        <f>AF104</f>
        <v>83.1</v>
      </c>
      <c r="DA104">
        <f>AJ104</f>
        <v>1</v>
      </c>
      <c r="DB104">
        <f>ROUND(((ROUND(AT104*CZ104,2)*1.2)*0.6),6)</f>
        <v>1.1952</v>
      </c>
      <c r="DC104">
        <f>ROUND(((ROUND(AT104*AG104,2)*1.2)*0.6),6)</f>
        <v>0.18</v>
      </c>
      <c r="DD104" t="s">
        <v>3</v>
      </c>
      <c r="DE104" t="s">
        <v>3</v>
      </c>
      <c r="DF104">
        <f t="shared" si="42"/>
        <v>0</v>
      </c>
      <c r="DG104">
        <f t="shared" si="41"/>
        <v>0.05</v>
      </c>
      <c r="DH104">
        <f t="shared" si="40"/>
        <v>0.01</v>
      </c>
      <c r="DI104">
        <f t="shared" si="32"/>
        <v>0</v>
      </c>
      <c r="DJ104">
        <f>DG104</f>
        <v>0.05</v>
      </c>
      <c r="DK104">
        <v>0</v>
      </c>
      <c r="DL104" t="s">
        <v>500</v>
      </c>
      <c r="DM104">
        <v>0</v>
      </c>
      <c r="DN104" t="s">
        <v>459</v>
      </c>
      <c r="DO104">
        <v>12.62</v>
      </c>
    </row>
    <row r="105" spans="1:119" x14ac:dyDescent="0.2">
      <c r="A105">
        <f>ROW(Source!A56)</f>
        <v>56</v>
      </c>
      <c r="B105">
        <v>57248835</v>
      </c>
      <c r="C105">
        <v>57249718</v>
      </c>
      <c r="D105">
        <v>54768393</v>
      </c>
      <c r="E105">
        <v>1</v>
      </c>
      <c r="F105">
        <v>1</v>
      </c>
      <c r="G105">
        <v>1081</v>
      </c>
      <c r="H105">
        <v>2</v>
      </c>
      <c r="I105" t="s">
        <v>510</v>
      </c>
      <c r="J105" t="s">
        <v>511</v>
      </c>
      <c r="K105" t="s">
        <v>512</v>
      </c>
      <c r="L105">
        <v>1368</v>
      </c>
      <c r="N105">
        <v>1011</v>
      </c>
      <c r="O105" t="s">
        <v>463</v>
      </c>
      <c r="P105" t="s">
        <v>463</v>
      </c>
      <c r="Q105">
        <v>1</v>
      </c>
      <c r="W105">
        <v>0</v>
      </c>
      <c r="X105">
        <v>-1895752648</v>
      </c>
      <c r="Y105">
        <f>((AT105*1.2)*0.6)</f>
        <v>5.76</v>
      </c>
      <c r="AA105">
        <v>0</v>
      </c>
      <c r="AB105">
        <v>0.82</v>
      </c>
      <c r="AC105">
        <v>0</v>
      </c>
      <c r="AD105">
        <v>0</v>
      </c>
      <c r="AE105">
        <v>0</v>
      </c>
      <c r="AF105">
        <v>0.77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8</v>
      </c>
      <c r="AU105" t="s">
        <v>85</v>
      </c>
      <c r="AV105">
        <v>0</v>
      </c>
      <c r="AW105">
        <v>2</v>
      </c>
      <c r="AX105">
        <v>57249726</v>
      </c>
      <c r="AY105">
        <v>1</v>
      </c>
      <c r="AZ105">
        <v>0</v>
      </c>
      <c r="BA105">
        <v>137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ROUND(Y105*Source!I56*DO105,9)</f>
        <v>0</v>
      </c>
      <c r="CX105">
        <f>ROUND(Y105*Source!I56,9)</f>
        <v>0.23039999999999999</v>
      </c>
      <c r="CY105">
        <f>AB105</f>
        <v>0.82</v>
      </c>
      <c r="CZ105">
        <f>AF105</f>
        <v>0.77</v>
      </c>
      <c r="DA105">
        <f>AJ105</f>
        <v>1</v>
      </c>
      <c r="DB105">
        <f>ROUND(((ROUND(AT105*CZ105,2)*1.2)*0.6),6)</f>
        <v>4.4352</v>
      </c>
      <c r="DC105">
        <f>ROUND(((ROUND(AT105*AG105,2)*1.2)*0.6),6)</f>
        <v>0</v>
      </c>
      <c r="DD105" t="s">
        <v>3</v>
      </c>
      <c r="DE105" t="s">
        <v>3</v>
      </c>
      <c r="DF105">
        <f t="shared" si="42"/>
        <v>0</v>
      </c>
      <c r="DG105">
        <f t="shared" si="41"/>
        <v>0.18</v>
      </c>
      <c r="DH105">
        <f t="shared" si="40"/>
        <v>0</v>
      </c>
      <c r="DI105">
        <f t="shared" si="32"/>
        <v>0</v>
      </c>
      <c r="DJ105">
        <f>DG105</f>
        <v>0.18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ROW(Source!A56)</f>
        <v>56</v>
      </c>
      <c r="B106">
        <v>57248835</v>
      </c>
      <c r="C106">
        <v>57249718</v>
      </c>
      <c r="D106">
        <v>54738788</v>
      </c>
      <c r="E106">
        <v>1</v>
      </c>
      <c r="F106">
        <v>1</v>
      </c>
      <c r="G106">
        <v>1081</v>
      </c>
      <c r="H106">
        <v>3</v>
      </c>
      <c r="I106" t="s">
        <v>535</v>
      </c>
      <c r="J106" t="s">
        <v>536</v>
      </c>
      <c r="K106" t="s">
        <v>537</v>
      </c>
      <c r="L106">
        <v>1296</v>
      </c>
      <c r="N106">
        <v>1002</v>
      </c>
      <c r="O106" t="s">
        <v>522</v>
      </c>
      <c r="P106" t="s">
        <v>522</v>
      </c>
      <c r="Q106">
        <v>1</v>
      </c>
      <c r="W106">
        <v>0</v>
      </c>
      <c r="X106">
        <v>1977302506</v>
      </c>
      <c r="Y106">
        <f>((AT106*1)*0.6)</f>
        <v>1.2760199999999999</v>
      </c>
      <c r="AA106">
        <v>84.21</v>
      </c>
      <c r="AB106">
        <v>0</v>
      </c>
      <c r="AC106">
        <v>0</v>
      </c>
      <c r="AD106">
        <v>0</v>
      </c>
      <c r="AE106">
        <v>84.21</v>
      </c>
      <c r="AF106">
        <v>0</v>
      </c>
      <c r="AG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2.1267</v>
      </c>
      <c r="AU106" t="s">
        <v>84</v>
      </c>
      <c r="AV106">
        <v>0</v>
      </c>
      <c r="AW106">
        <v>2</v>
      </c>
      <c r="AX106">
        <v>57249727</v>
      </c>
      <c r="AY106">
        <v>1</v>
      </c>
      <c r="AZ106">
        <v>0</v>
      </c>
      <c r="BA106">
        <v>138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ROUND(Y106*Source!I56,9)</f>
        <v>5.1040799999999997E-2</v>
      </c>
      <c r="CY106">
        <f>AA106</f>
        <v>84.21</v>
      </c>
      <c r="CZ106">
        <f>AE106</f>
        <v>84.21</v>
      </c>
      <c r="DA106">
        <f>AI106</f>
        <v>1</v>
      </c>
      <c r="DB106">
        <f>ROUND(((ROUND(AT106*CZ106,2)*1)*0.6),6)</f>
        <v>107.45399999999999</v>
      </c>
      <c r="DC106">
        <f>ROUND(((ROUND(AT106*AG106,2)*1)*0.6),6)</f>
        <v>0</v>
      </c>
      <c r="DD106" t="s">
        <v>3</v>
      </c>
      <c r="DE106" t="s">
        <v>3</v>
      </c>
      <c r="DF106">
        <f t="shared" si="42"/>
        <v>4.3</v>
      </c>
      <c r="DG106">
        <f t="shared" si="41"/>
        <v>0</v>
      </c>
      <c r="DH106">
        <f t="shared" si="40"/>
        <v>0</v>
      </c>
      <c r="DI106">
        <f t="shared" si="32"/>
        <v>0</v>
      </c>
      <c r="DJ106">
        <f>DF106</f>
        <v>4.3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ROW(Source!A56)</f>
        <v>56</v>
      </c>
      <c r="B107">
        <v>57248835</v>
      </c>
      <c r="C107">
        <v>57249718</v>
      </c>
      <c r="D107">
        <v>54739952</v>
      </c>
      <c r="E107">
        <v>1</v>
      </c>
      <c r="F107">
        <v>1</v>
      </c>
      <c r="G107">
        <v>1081</v>
      </c>
      <c r="H107">
        <v>3</v>
      </c>
      <c r="I107" t="s">
        <v>538</v>
      </c>
      <c r="J107" t="s">
        <v>539</v>
      </c>
      <c r="K107" t="s">
        <v>540</v>
      </c>
      <c r="L107">
        <v>1355</v>
      </c>
      <c r="N107">
        <v>1010</v>
      </c>
      <c r="O107" t="s">
        <v>67</v>
      </c>
      <c r="P107" t="s">
        <v>67</v>
      </c>
      <c r="Q107">
        <v>100</v>
      </c>
      <c r="W107">
        <v>0</v>
      </c>
      <c r="X107">
        <v>-1633148487</v>
      </c>
      <c r="Y107">
        <f>((AT107*1)*0.6)</f>
        <v>2.4239999999999999</v>
      </c>
      <c r="AA107">
        <v>43.8</v>
      </c>
      <c r="AB107">
        <v>0</v>
      </c>
      <c r="AC107">
        <v>0</v>
      </c>
      <c r="AD107">
        <v>0</v>
      </c>
      <c r="AE107">
        <v>43.8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4.04</v>
      </c>
      <c r="AU107" t="s">
        <v>84</v>
      </c>
      <c r="AV107">
        <v>0</v>
      </c>
      <c r="AW107">
        <v>2</v>
      </c>
      <c r="AX107">
        <v>57249728</v>
      </c>
      <c r="AY107">
        <v>1</v>
      </c>
      <c r="AZ107">
        <v>0</v>
      </c>
      <c r="BA107">
        <v>139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ROUND(Y107*Source!I56,9)</f>
        <v>9.6960000000000005E-2</v>
      </c>
      <c r="CY107">
        <f>AA107</f>
        <v>43.8</v>
      </c>
      <c r="CZ107">
        <f>AE107</f>
        <v>43.8</v>
      </c>
      <c r="DA107">
        <f>AI107</f>
        <v>1</v>
      </c>
      <c r="DB107">
        <f>ROUND(((ROUND(AT107*CZ107,2)*1)*0.6),6)</f>
        <v>106.17</v>
      </c>
      <c r="DC107">
        <f>ROUND(((ROUND(AT107*AG107,2)*1)*0.6),6)</f>
        <v>0</v>
      </c>
      <c r="DD107" t="s">
        <v>3</v>
      </c>
      <c r="DE107" t="s">
        <v>3</v>
      </c>
      <c r="DF107">
        <f t="shared" si="42"/>
        <v>4.25</v>
      </c>
      <c r="DG107">
        <f t="shared" si="41"/>
        <v>0</v>
      </c>
      <c r="DH107">
        <f t="shared" si="40"/>
        <v>0</v>
      </c>
      <c r="DI107">
        <f t="shared" si="32"/>
        <v>0</v>
      </c>
      <c r="DJ107">
        <f>DF107</f>
        <v>4.25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ROW(Source!A57)</f>
        <v>57</v>
      </c>
      <c r="B108">
        <v>57248837</v>
      </c>
      <c r="C108">
        <v>57249718</v>
      </c>
      <c r="D108">
        <v>54702434</v>
      </c>
      <c r="E108">
        <v>1081</v>
      </c>
      <c r="F108">
        <v>1</v>
      </c>
      <c r="G108">
        <v>1081</v>
      </c>
      <c r="H108">
        <v>1</v>
      </c>
      <c r="I108" t="s">
        <v>457</v>
      </c>
      <c r="J108" t="s">
        <v>3</v>
      </c>
      <c r="K108" t="s">
        <v>458</v>
      </c>
      <c r="L108">
        <v>1191</v>
      </c>
      <c r="N108">
        <v>1013</v>
      </c>
      <c r="O108" t="s">
        <v>459</v>
      </c>
      <c r="P108" t="s">
        <v>459</v>
      </c>
      <c r="Q108">
        <v>1</v>
      </c>
      <c r="W108">
        <v>0</v>
      </c>
      <c r="X108">
        <v>476480486</v>
      </c>
      <c r="Y108">
        <f>((AT108*1.2)*0.6)</f>
        <v>17.855999999999998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5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24.8</v>
      </c>
      <c r="AU108" t="s">
        <v>85</v>
      </c>
      <c r="AV108">
        <v>1</v>
      </c>
      <c r="AW108">
        <v>2</v>
      </c>
      <c r="AX108">
        <v>57249724</v>
      </c>
      <c r="AY108">
        <v>1</v>
      </c>
      <c r="AZ108">
        <v>0</v>
      </c>
      <c r="BA108">
        <v>142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U108">
        <f>ROUND(AT108*Source!I57*AH108*AL108,2)</f>
        <v>0</v>
      </c>
      <c r="CV108">
        <f>ROUND(Y108*Source!I57,9)</f>
        <v>0.71423999999999999</v>
      </c>
      <c r="CW108">
        <v>0</v>
      </c>
      <c r="CX108">
        <f>ROUND(Y108*Source!I57,9)</f>
        <v>0.71423999999999999</v>
      </c>
      <c r="CY108">
        <f>AD108</f>
        <v>0</v>
      </c>
      <c r="CZ108">
        <f>AH108</f>
        <v>0</v>
      </c>
      <c r="DA108">
        <f>AL108</f>
        <v>1</v>
      </c>
      <c r="DB108">
        <f>ROUND(((ROUND(AT108*CZ108,2)*1.2)*0.6),6)</f>
        <v>0</v>
      </c>
      <c r="DC108">
        <f>ROUND(((ROUND(AT108*AG108,2)*1.2)*0.6),6)</f>
        <v>0</v>
      </c>
      <c r="DD108" t="s">
        <v>3</v>
      </c>
      <c r="DE108" t="s">
        <v>3</v>
      </c>
      <c r="DF108">
        <f t="shared" si="42"/>
        <v>0</v>
      </c>
      <c r="DG108">
        <f t="shared" si="41"/>
        <v>0</v>
      </c>
      <c r="DH108">
        <f t="shared" si="40"/>
        <v>0</v>
      </c>
      <c r="DI108">
        <f t="shared" si="32"/>
        <v>0</v>
      </c>
      <c r="DJ108">
        <f>DI108</f>
        <v>0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ROW(Source!A57)</f>
        <v>57</v>
      </c>
      <c r="B109">
        <v>57248837</v>
      </c>
      <c r="C109">
        <v>57249718</v>
      </c>
      <c r="D109">
        <v>54768339</v>
      </c>
      <c r="E109">
        <v>1</v>
      </c>
      <c r="F109">
        <v>1</v>
      </c>
      <c r="G109">
        <v>1081</v>
      </c>
      <c r="H109">
        <v>2</v>
      </c>
      <c r="I109" t="s">
        <v>497</v>
      </c>
      <c r="J109" t="s">
        <v>498</v>
      </c>
      <c r="K109" t="s">
        <v>499</v>
      </c>
      <c r="L109">
        <v>1368</v>
      </c>
      <c r="N109">
        <v>1011</v>
      </c>
      <c r="O109" t="s">
        <v>463</v>
      </c>
      <c r="P109" t="s">
        <v>463</v>
      </c>
      <c r="Q109">
        <v>1</v>
      </c>
      <c r="W109">
        <v>0</v>
      </c>
      <c r="X109">
        <v>874612079</v>
      </c>
      <c r="Y109">
        <f>((AT109*1.2)*0.6)</f>
        <v>1.44E-2</v>
      </c>
      <c r="AA109">
        <v>0</v>
      </c>
      <c r="AB109">
        <v>1513.56</v>
      </c>
      <c r="AC109">
        <v>758.78</v>
      </c>
      <c r="AD109">
        <v>0</v>
      </c>
      <c r="AE109">
        <v>0</v>
      </c>
      <c r="AF109">
        <v>83.1</v>
      </c>
      <c r="AG109">
        <v>12.62</v>
      </c>
      <c r="AH109">
        <v>0</v>
      </c>
      <c r="AI109">
        <v>1</v>
      </c>
      <c r="AJ109">
        <v>17.07</v>
      </c>
      <c r="AK109">
        <v>56.35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0.02</v>
      </c>
      <c r="AU109" t="s">
        <v>85</v>
      </c>
      <c r="AV109">
        <v>0</v>
      </c>
      <c r="AW109">
        <v>2</v>
      </c>
      <c r="AX109">
        <v>57249725</v>
      </c>
      <c r="AY109">
        <v>1</v>
      </c>
      <c r="AZ109">
        <v>0</v>
      </c>
      <c r="BA109">
        <v>143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f>ROUND(Y109*Source!I57*DO109,9)</f>
        <v>7.2691199999999996E-3</v>
      </c>
      <c r="CX109">
        <f>ROUND(Y109*Source!I57,9)</f>
        <v>5.7600000000000001E-4</v>
      </c>
      <c r="CY109">
        <f>AB109</f>
        <v>1513.56</v>
      </c>
      <c r="CZ109">
        <f>AF109</f>
        <v>83.1</v>
      </c>
      <c r="DA109">
        <f>AJ109</f>
        <v>17.07</v>
      </c>
      <c r="DB109">
        <f>ROUND(((ROUND(AT109*CZ109,2)*1.2)*0.6),6)</f>
        <v>1.1952</v>
      </c>
      <c r="DC109">
        <f>ROUND(((ROUND(AT109*AG109,2)*1.2)*0.6),6)</f>
        <v>0.18</v>
      </c>
      <c r="DD109" t="s">
        <v>3</v>
      </c>
      <c r="DE109" t="s">
        <v>3</v>
      </c>
      <c r="DF109">
        <f t="shared" si="42"/>
        <v>0</v>
      </c>
      <c r="DG109">
        <f>ROUND(ROUND(AF109*AJ109,2)*CX109,2)</f>
        <v>0.82</v>
      </c>
      <c r="DH109">
        <f>ROUND(ROUND(AG109*AK109,2)*CX109,2)</f>
        <v>0.41</v>
      </c>
      <c r="DI109">
        <f t="shared" si="32"/>
        <v>0</v>
      </c>
      <c r="DJ109">
        <f>DG109</f>
        <v>0.82</v>
      </c>
      <c r="DK109">
        <v>0</v>
      </c>
      <c r="DL109" t="s">
        <v>500</v>
      </c>
      <c r="DM109">
        <v>0</v>
      </c>
      <c r="DN109" t="s">
        <v>459</v>
      </c>
      <c r="DO109">
        <v>12.62</v>
      </c>
    </row>
    <row r="110" spans="1:119" x14ac:dyDescent="0.2">
      <c r="A110">
        <f>ROW(Source!A57)</f>
        <v>57</v>
      </c>
      <c r="B110">
        <v>57248837</v>
      </c>
      <c r="C110">
        <v>57249718</v>
      </c>
      <c r="D110">
        <v>54768393</v>
      </c>
      <c r="E110">
        <v>1</v>
      </c>
      <c r="F110">
        <v>1</v>
      </c>
      <c r="G110">
        <v>1081</v>
      </c>
      <c r="H110">
        <v>2</v>
      </c>
      <c r="I110" t="s">
        <v>510</v>
      </c>
      <c r="J110" t="s">
        <v>511</v>
      </c>
      <c r="K110" t="s">
        <v>512</v>
      </c>
      <c r="L110">
        <v>1368</v>
      </c>
      <c r="N110">
        <v>1011</v>
      </c>
      <c r="O110" t="s">
        <v>463</v>
      </c>
      <c r="P110" t="s">
        <v>463</v>
      </c>
      <c r="Q110">
        <v>1</v>
      </c>
      <c r="W110">
        <v>0</v>
      </c>
      <c r="X110">
        <v>-1895752648</v>
      </c>
      <c r="Y110">
        <f>((AT110*1.2)*0.6)</f>
        <v>5.76</v>
      </c>
      <c r="AA110">
        <v>0</v>
      </c>
      <c r="AB110">
        <v>7.85</v>
      </c>
      <c r="AC110">
        <v>0</v>
      </c>
      <c r="AD110">
        <v>0</v>
      </c>
      <c r="AE110">
        <v>0</v>
      </c>
      <c r="AF110">
        <v>0.77</v>
      </c>
      <c r="AG110">
        <v>0</v>
      </c>
      <c r="AH110">
        <v>0</v>
      </c>
      <c r="AI110">
        <v>1</v>
      </c>
      <c r="AJ110">
        <v>9.56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8</v>
      </c>
      <c r="AU110" t="s">
        <v>85</v>
      </c>
      <c r="AV110">
        <v>0</v>
      </c>
      <c r="AW110">
        <v>2</v>
      </c>
      <c r="AX110">
        <v>57249726</v>
      </c>
      <c r="AY110">
        <v>1</v>
      </c>
      <c r="AZ110">
        <v>0</v>
      </c>
      <c r="BA110">
        <v>144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ROUND(Y110*Source!I57*DO110,9)</f>
        <v>0</v>
      </c>
      <c r="CX110">
        <f>ROUND(Y110*Source!I57,9)</f>
        <v>0.23039999999999999</v>
      </c>
      <c r="CY110">
        <f>AB110</f>
        <v>7.85</v>
      </c>
      <c r="CZ110">
        <f>AF110</f>
        <v>0.77</v>
      </c>
      <c r="DA110">
        <f>AJ110</f>
        <v>9.56</v>
      </c>
      <c r="DB110">
        <f>ROUND(((ROUND(AT110*CZ110,2)*1.2)*0.6),6)</f>
        <v>4.4352</v>
      </c>
      <c r="DC110">
        <f>ROUND(((ROUND(AT110*AG110,2)*1.2)*0.6),6)</f>
        <v>0</v>
      </c>
      <c r="DD110" t="s">
        <v>3</v>
      </c>
      <c r="DE110" t="s">
        <v>3</v>
      </c>
      <c r="DF110">
        <f t="shared" si="42"/>
        <v>0</v>
      </c>
      <c r="DG110">
        <f>ROUND(ROUND(AF110*AJ110,2)*CX110,2)</f>
        <v>1.7</v>
      </c>
      <c r="DH110">
        <f t="shared" ref="DH110:DH141" si="43">ROUND(ROUND(AG110,2)*CX110,2)</f>
        <v>0</v>
      </c>
      <c r="DI110">
        <f t="shared" si="32"/>
        <v>0</v>
      </c>
      <c r="DJ110">
        <f>DG110</f>
        <v>1.7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ROW(Source!A57)</f>
        <v>57</v>
      </c>
      <c r="B111">
        <v>57248837</v>
      </c>
      <c r="C111">
        <v>57249718</v>
      </c>
      <c r="D111">
        <v>54738788</v>
      </c>
      <c r="E111">
        <v>1</v>
      </c>
      <c r="F111">
        <v>1</v>
      </c>
      <c r="G111">
        <v>1081</v>
      </c>
      <c r="H111">
        <v>3</v>
      </c>
      <c r="I111" t="s">
        <v>535</v>
      </c>
      <c r="J111" t="s">
        <v>536</v>
      </c>
      <c r="K111" t="s">
        <v>537</v>
      </c>
      <c r="L111">
        <v>1296</v>
      </c>
      <c r="N111">
        <v>1002</v>
      </c>
      <c r="O111" t="s">
        <v>522</v>
      </c>
      <c r="P111" t="s">
        <v>522</v>
      </c>
      <c r="Q111">
        <v>1</v>
      </c>
      <c r="W111">
        <v>0</v>
      </c>
      <c r="X111">
        <v>1977302506</v>
      </c>
      <c r="Y111">
        <f>((AT111*1)*0.6)</f>
        <v>1.2760199999999999</v>
      </c>
      <c r="AA111">
        <v>410.94</v>
      </c>
      <c r="AB111">
        <v>0</v>
      </c>
      <c r="AC111">
        <v>0</v>
      </c>
      <c r="AD111">
        <v>0</v>
      </c>
      <c r="AE111">
        <v>84.21</v>
      </c>
      <c r="AF111">
        <v>0</v>
      </c>
      <c r="AG111">
        <v>0</v>
      </c>
      <c r="AH111">
        <v>0</v>
      </c>
      <c r="AI111">
        <v>4.88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2.1267</v>
      </c>
      <c r="AU111" t="s">
        <v>84</v>
      </c>
      <c r="AV111">
        <v>0</v>
      </c>
      <c r="AW111">
        <v>2</v>
      </c>
      <c r="AX111">
        <v>57249727</v>
      </c>
      <c r="AY111">
        <v>1</v>
      </c>
      <c r="AZ111">
        <v>0</v>
      </c>
      <c r="BA111">
        <v>145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ROUND(Y111*Source!I57,9)</f>
        <v>5.1040799999999997E-2</v>
      </c>
      <c r="CY111">
        <f>AA111</f>
        <v>410.94</v>
      </c>
      <c r="CZ111">
        <f>AE111</f>
        <v>84.21</v>
      </c>
      <c r="DA111">
        <f>AI111</f>
        <v>4.88</v>
      </c>
      <c r="DB111">
        <f>ROUND(((ROUND(AT111*CZ111,2)*1)*0.6),6)</f>
        <v>107.45399999999999</v>
      </c>
      <c r="DC111">
        <f>ROUND(((ROUND(AT111*AG111,2)*1)*0.6),6)</f>
        <v>0</v>
      </c>
      <c r="DD111" t="s">
        <v>3</v>
      </c>
      <c r="DE111" t="s">
        <v>3</v>
      </c>
      <c r="DF111">
        <f>ROUND(ROUND(AE111*AI111,2)*CX111,2)</f>
        <v>20.97</v>
      </c>
      <c r="DG111">
        <f t="shared" ref="DG111:DG125" si="44">ROUND(ROUND(AF111,2)*CX111,2)</f>
        <v>0</v>
      </c>
      <c r="DH111">
        <f t="shared" si="43"/>
        <v>0</v>
      </c>
      <c r="DI111">
        <f t="shared" si="32"/>
        <v>0</v>
      </c>
      <c r="DJ111">
        <f>DF111</f>
        <v>20.97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ROW(Source!A57)</f>
        <v>57</v>
      </c>
      <c r="B112">
        <v>57248837</v>
      </c>
      <c r="C112">
        <v>57249718</v>
      </c>
      <c r="D112">
        <v>54739952</v>
      </c>
      <c r="E112">
        <v>1</v>
      </c>
      <c r="F112">
        <v>1</v>
      </c>
      <c r="G112">
        <v>1081</v>
      </c>
      <c r="H112">
        <v>3</v>
      </c>
      <c r="I112" t="s">
        <v>538</v>
      </c>
      <c r="J112" t="s">
        <v>539</v>
      </c>
      <c r="K112" t="s">
        <v>540</v>
      </c>
      <c r="L112">
        <v>1355</v>
      </c>
      <c r="N112">
        <v>1010</v>
      </c>
      <c r="O112" t="s">
        <v>67</v>
      </c>
      <c r="P112" t="s">
        <v>67</v>
      </c>
      <c r="Q112">
        <v>100</v>
      </c>
      <c r="W112">
        <v>0</v>
      </c>
      <c r="X112">
        <v>-1633148487</v>
      </c>
      <c r="Y112">
        <f>((AT112*1)*0.6)</f>
        <v>2.4239999999999999</v>
      </c>
      <c r="AA112">
        <v>84.97</v>
      </c>
      <c r="AB112">
        <v>0</v>
      </c>
      <c r="AC112">
        <v>0</v>
      </c>
      <c r="AD112">
        <v>0</v>
      </c>
      <c r="AE112">
        <v>43.8</v>
      </c>
      <c r="AF112">
        <v>0</v>
      </c>
      <c r="AG112">
        <v>0</v>
      </c>
      <c r="AH112">
        <v>0</v>
      </c>
      <c r="AI112">
        <v>1.94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4.04</v>
      </c>
      <c r="AU112" t="s">
        <v>84</v>
      </c>
      <c r="AV112">
        <v>0</v>
      </c>
      <c r="AW112">
        <v>2</v>
      </c>
      <c r="AX112">
        <v>57249728</v>
      </c>
      <c r="AY112">
        <v>1</v>
      </c>
      <c r="AZ112">
        <v>0</v>
      </c>
      <c r="BA112">
        <v>146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ROUND(Y112*Source!I57,9)</f>
        <v>9.6960000000000005E-2</v>
      </c>
      <c r="CY112">
        <f>AA112</f>
        <v>84.97</v>
      </c>
      <c r="CZ112">
        <f>AE112</f>
        <v>43.8</v>
      </c>
      <c r="DA112">
        <f>AI112</f>
        <v>1.94</v>
      </c>
      <c r="DB112">
        <f>ROUND(((ROUND(AT112*CZ112,2)*1)*0.6),6)</f>
        <v>106.17</v>
      </c>
      <c r="DC112">
        <f>ROUND(((ROUND(AT112*AG112,2)*1)*0.6),6)</f>
        <v>0</v>
      </c>
      <c r="DD112" t="s">
        <v>3</v>
      </c>
      <c r="DE112" t="s">
        <v>3</v>
      </c>
      <c r="DF112">
        <f>ROUND(ROUND(AE112*AI112,2)*CX112,2)</f>
        <v>8.24</v>
      </c>
      <c r="DG112">
        <f t="shared" si="44"/>
        <v>0</v>
      </c>
      <c r="DH112">
        <f t="shared" si="43"/>
        <v>0</v>
      </c>
      <c r="DI112">
        <f t="shared" si="32"/>
        <v>0</v>
      </c>
      <c r="DJ112">
        <f>DF112</f>
        <v>8.24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ROW(Source!A58)</f>
        <v>58</v>
      </c>
      <c r="B113">
        <v>57248835</v>
      </c>
      <c r="C113">
        <v>57249731</v>
      </c>
      <c r="D113">
        <v>54702434</v>
      </c>
      <c r="E113">
        <v>1081</v>
      </c>
      <c r="F113">
        <v>1</v>
      </c>
      <c r="G113">
        <v>1081</v>
      </c>
      <c r="H113">
        <v>1</v>
      </c>
      <c r="I113" t="s">
        <v>457</v>
      </c>
      <c r="J113" t="s">
        <v>3</v>
      </c>
      <c r="K113" t="s">
        <v>458</v>
      </c>
      <c r="L113">
        <v>1191</v>
      </c>
      <c r="N113">
        <v>1013</v>
      </c>
      <c r="O113" t="s">
        <v>459</v>
      </c>
      <c r="P113" t="s">
        <v>459</v>
      </c>
      <c r="Q113">
        <v>1</v>
      </c>
      <c r="W113">
        <v>0</v>
      </c>
      <c r="X113">
        <v>476480486</v>
      </c>
      <c r="Y113">
        <f>(AT113*1.2)</f>
        <v>11.568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9.64</v>
      </c>
      <c r="AU113" t="s">
        <v>120</v>
      </c>
      <c r="AV113">
        <v>1</v>
      </c>
      <c r="AW113">
        <v>2</v>
      </c>
      <c r="AX113">
        <v>57249733</v>
      </c>
      <c r="AY113">
        <v>1</v>
      </c>
      <c r="AZ113">
        <v>0</v>
      </c>
      <c r="BA113">
        <v>149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ROUND(AT113*Source!I58*AH113*AL113,2)</f>
        <v>0</v>
      </c>
      <c r="CV113">
        <f>ROUND(Y113*Source!I58,9)</f>
        <v>10.64256</v>
      </c>
      <c r="CW113">
        <v>0</v>
      </c>
      <c r="CX113">
        <f>ROUND(Y113*Source!I58,9)</f>
        <v>10.64256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>ROUND(ROUND(AE113,2)*CX113,2)</f>
        <v>0</v>
      </c>
      <c r="DG113">
        <f t="shared" si="44"/>
        <v>0</v>
      </c>
      <c r="DH113">
        <f t="shared" si="43"/>
        <v>0</v>
      </c>
      <c r="DI113">
        <f t="shared" si="32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ROW(Source!A59)</f>
        <v>59</v>
      </c>
      <c r="B114">
        <v>57248837</v>
      </c>
      <c r="C114">
        <v>57249731</v>
      </c>
      <c r="D114">
        <v>54702434</v>
      </c>
      <c r="E114">
        <v>1081</v>
      </c>
      <c r="F114">
        <v>1</v>
      </c>
      <c r="G114">
        <v>1081</v>
      </c>
      <c r="H114">
        <v>1</v>
      </c>
      <c r="I114" t="s">
        <v>457</v>
      </c>
      <c r="J114" t="s">
        <v>3</v>
      </c>
      <c r="K114" t="s">
        <v>458</v>
      </c>
      <c r="L114">
        <v>1191</v>
      </c>
      <c r="N114">
        <v>1013</v>
      </c>
      <c r="O114" t="s">
        <v>459</v>
      </c>
      <c r="P114" t="s">
        <v>459</v>
      </c>
      <c r="Q114">
        <v>1</v>
      </c>
      <c r="W114">
        <v>0</v>
      </c>
      <c r="X114">
        <v>476480486</v>
      </c>
      <c r="Y114">
        <f>(AT114*1.2)</f>
        <v>11.568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5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9.64</v>
      </c>
      <c r="AU114" t="s">
        <v>120</v>
      </c>
      <c r="AV114">
        <v>1</v>
      </c>
      <c r="AW114">
        <v>2</v>
      </c>
      <c r="AX114">
        <v>57249733</v>
      </c>
      <c r="AY114">
        <v>1</v>
      </c>
      <c r="AZ114">
        <v>0</v>
      </c>
      <c r="BA114">
        <v>150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U114">
        <f>ROUND(AT114*Source!I59*AH114*AL114,2)</f>
        <v>0</v>
      </c>
      <c r="CV114">
        <f>ROUND(Y114*Source!I59,9)</f>
        <v>10.64256</v>
      </c>
      <c r="CW114">
        <v>0</v>
      </c>
      <c r="CX114">
        <f>ROUND(Y114*Source!I59,9)</f>
        <v>10.64256</v>
      </c>
      <c r="CY114">
        <f>AD114</f>
        <v>0</v>
      </c>
      <c r="CZ114">
        <f>AH114</f>
        <v>0</v>
      </c>
      <c r="DA114">
        <f>AL114</f>
        <v>1</v>
      </c>
      <c r="DB114">
        <f>ROUND((ROUND(AT114*CZ114,2)*1.2),6)</f>
        <v>0</v>
      </c>
      <c r="DC114">
        <f>ROUND((ROUND(AT114*AG114,2)*1.2),6)</f>
        <v>0</v>
      </c>
      <c r="DD114" t="s">
        <v>3</v>
      </c>
      <c r="DE114" t="s">
        <v>3</v>
      </c>
      <c r="DF114">
        <f>ROUND(ROUND(AE114,2)*CX114,2)</f>
        <v>0</v>
      </c>
      <c r="DG114">
        <f t="shared" si="44"/>
        <v>0</v>
      </c>
      <c r="DH114">
        <f t="shared" si="43"/>
        <v>0</v>
      </c>
      <c r="DI114">
        <f t="shared" si="32"/>
        <v>0</v>
      </c>
      <c r="DJ114">
        <f>DI114</f>
        <v>0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ROW(Source!A60)</f>
        <v>60</v>
      </c>
      <c r="B115">
        <v>57248835</v>
      </c>
      <c r="C115">
        <v>57249734</v>
      </c>
      <c r="D115">
        <v>54702434</v>
      </c>
      <c r="E115">
        <v>1081</v>
      </c>
      <c r="F115">
        <v>1</v>
      </c>
      <c r="G115">
        <v>1081</v>
      </c>
      <c r="H115">
        <v>1</v>
      </c>
      <c r="I115" t="s">
        <v>457</v>
      </c>
      <c r="J115" t="s">
        <v>3</v>
      </c>
      <c r="K115" t="s">
        <v>458</v>
      </c>
      <c r="L115">
        <v>1191</v>
      </c>
      <c r="N115">
        <v>1013</v>
      </c>
      <c r="O115" t="s">
        <v>459</v>
      </c>
      <c r="P115" t="s">
        <v>459</v>
      </c>
      <c r="Q115">
        <v>1</v>
      </c>
      <c r="W115">
        <v>0</v>
      </c>
      <c r="X115">
        <v>476480486</v>
      </c>
      <c r="Y115">
        <f>(AT115*1.2)</f>
        <v>36.527999999999999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30.44</v>
      </c>
      <c r="AU115" t="s">
        <v>120</v>
      </c>
      <c r="AV115">
        <v>1</v>
      </c>
      <c r="AW115">
        <v>2</v>
      </c>
      <c r="AX115">
        <v>57249737</v>
      </c>
      <c r="AY115">
        <v>1</v>
      </c>
      <c r="AZ115">
        <v>0</v>
      </c>
      <c r="BA115">
        <v>151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U115">
        <f>ROUND(AT115*Source!I60*AH115*AL115,2)</f>
        <v>0</v>
      </c>
      <c r="CV115">
        <f>ROUND(Y115*Source!I60,9)</f>
        <v>290.03232000000003</v>
      </c>
      <c r="CW115">
        <v>0</v>
      </c>
      <c r="CX115">
        <f>ROUND(Y115*Source!I60,9)</f>
        <v>290.03232000000003</v>
      </c>
      <c r="CY115">
        <f>AD115</f>
        <v>0</v>
      </c>
      <c r="CZ115">
        <f>AH115</f>
        <v>0</v>
      </c>
      <c r="DA115">
        <f>AL115</f>
        <v>1</v>
      </c>
      <c r="DB115">
        <f>ROUND((ROUND(AT115*CZ115,2)*1.2),6)</f>
        <v>0</v>
      </c>
      <c r="DC115">
        <f>ROUND((ROUND(AT115*AG115,2)*1.2),6)</f>
        <v>0</v>
      </c>
      <c r="DD115" t="s">
        <v>3</v>
      </c>
      <c r="DE115" t="s">
        <v>3</v>
      </c>
      <c r="DF115">
        <f>ROUND(ROUND(AE115,2)*CX115,2)</f>
        <v>0</v>
      </c>
      <c r="DG115">
        <f t="shared" si="44"/>
        <v>0</v>
      </c>
      <c r="DH115">
        <f t="shared" si="43"/>
        <v>0</v>
      </c>
      <c r="DI115">
        <f t="shared" si="32"/>
        <v>0</v>
      </c>
      <c r="DJ115">
        <f>DI115</f>
        <v>0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ROW(Source!A60)</f>
        <v>60</v>
      </c>
      <c r="B116">
        <v>57248835</v>
      </c>
      <c r="C116">
        <v>57249734</v>
      </c>
      <c r="D116">
        <v>54734511</v>
      </c>
      <c r="E116">
        <v>1081</v>
      </c>
      <c r="F116">
        <v>1</v>
      </c>
      <c r="G116">
        <v>1081</v>
      </c>
      <c r="H116">
        <v>3</v>
      </c>
      <c r="I116" t="s">
        <v>541</v>
      </c>
      <c r="J116" t="s">
        <v>3</v>
      </c>
      <c r="K116" t="s">
        <v>542</v>
      </c>
      <c r="L116">
        <v>1348</v>
      </c>
      <c r="N116">
        <v>1009</v>
      </c>
      <c r="O116" t="s">
        <v>298</v>
      </c>
      <c r="P116" t="s">
        <v>298</v>
      </c>
      <c r="Q116">
        <v>1000</v>
      </c>
      <c r="W116">
        <v>0</v>
      </c>
      <c r="X116">
        <v>1489638031</v>
      </c>
      <c r="Y116">
        <f>(AT116*1)</f>
        <v>0.247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-2</v>
      </c>
      <c r="AN116">
        <v>0</v>
      </c>
      <c r="AO116">
        <v>1</v>
      </c>
      <c r="AP116">
        <v>1</v>
      </c>
      <c r="AQ116">
        <v>0</v>
      </c>
      <c r="AR116">
        <v>0</v>
      </c>
      <c r="AS116" t="s">
        <v>3</v>
      </c>
      <c r="AT116">
        <v>0.247</v>
      </c>
      <c r="AU116" t="s">
        <v>119</v>
      </c>
      <c r="AV116">
        <v>0</v>
      </c>
      <c r="AW116">
        <v>2</v>
      </c>
      <c r="AX116">
        <v>57249738</v>
      </c>
      <c r="AY116">
        <v>1</v>
      </c>
      <c r="AZ116">
        <v>0</v>
      </c>
      <c r="BA116">
        <v>152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ROUND(Y116*Source!I60,9)</f>
        <v>1.9611799999999999</v>
      </c>
      <c r="CY116">
        <f>AA116</f>
        <v>0</v>
      </c>
      <c r="CZ116">
        <f>AE116</f>
        <v>0</v>
      </c>
      <c r="DA116">
        <f>AI116</f>
        <v>1</v>
      </c>
      <c r="DB116">
        <f>ROUND((ROUND(AT116*CZ116,2)*1),6)</f>
        <v>0</v>
      </c>
      <c r="DC116">
        <f>ROUND((ROUND(AT116*AG116,2)*1),6)</f>
        <v>0</v>
      </c>
      <c r="DD116" t="s">
        <v>3</v>
      </c>
      <c r="DE116" t="s">
        <v>3</v>
      </c>
      <c r="DF116">
        <f>ROUND(ROUND(AE116,2)*CX116,2)</f>
        <v>0</v>
      </c>
      <c r="DG116">
        <f t="shared" si="44"/>
        <v>0</v>
      </c>
      <c r="DH116">
        <f t="shared" si="43"/>
        <v>0</v>
      </c>
      <c r="DI116">
        <f t="shared" si="32"/>
        <v>0</v>
      </c>
      <c r="DJ116">
        <f>DF116</f>
        <v>0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ROW(Source!A61)</f>
        <v>61</v>
      </c>
      <c r="B117">
        <v>57248837</v>
      </c>
      <c r="C117">
        <v>57249734</v>
      </c>
      <c r="D117">
        <v>54702434</v>
      </c>
      <c r="E117">
        <v>1081</v>
      </c>
      <c r="F117">
        <v>1</v>
      </c>
      <c r="G117">
        <v>1081</v>
      </c>
      <c r="H117">
        <v>1</v>
      </c>
      <c r="I117" t="s">
        <v>457</v>
      </c>
      <c r="J117" t="s">
        <v>3</v>
      </c>
      <c r="K117" t="s">
        <v>458</v>
      </c>
      <c r="L117">
        <v>1191</v>
      </c>
      <c r="N117">
        <v>1013</v>
      </c>
      <c r="O117" t="s">
        <v>459</v>
      </c>
      <c r="P117" t="s">
        <v>459</v>
      </c>
      <c r="Q117">
        <v>1</v>
      </c>
      <c r="W117">
        <v>0</v>
      </c>
      <c r="X117">
        <v>476480486</v>
      </c>
      <c r="Y117">
        <f>(AT117*1.2)</f>
        <v>36.527999999999999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5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30.44</v>
      </c>
      <c r="AU117" t="s">
        <v>120</v>
      </c>
      <c r="AV117">
        <v>1</v>
      </c>
      <c r="AW117">
        <v>2</v>
      </c>
      <c r="AX117">
        <v>57249737</v>
      </c>
      <c r="AY117">
        <v>1</v>
      </c>
      <c r="AZ117">
        <v>0</v>
      </c>
      <c r="BA117">
        <v>153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ROUND(AT117*Source!I61*AH117*AL117,2)</f>
        <v>0</v>
      </c>
      <c r="CV117">
        <f>ROUND(Y117*Source!I61,9)</f>
        <v>290.03232000000003</v>
      </c>
      <c r="CW117">
        <v>0</v>
      </c>
      <c r="CX117">
        <f>ROUND(Y117*Source!I61,9)</f>
        <v>290.03232000000003</v>
      </c>
      <c r="CY117">
        <f>AD117</f>
        <v>0</v>
      </c>
      <c r="CZ117">
        <f>AH117</f>
        <v>0</v>
      </c>
      <c r="DA117">
        <f>AL117</f>
        <v>1</v>
      </c>
      <c r="DB117">
        <f>ROUND((ROUND(AT117*CZ117,2)*1.2),6)</f>
        <v>0</v>
      </c>
      <c r="DC117">
        <f>ROUND((ROUND(AT117*AG117,2)*1.2),6)</f>
        <v>0</v>
      </c>
      <c r="DD117" t="s">
        <v>3</v>
      </c>
      <c r="DE117" t="s">
        <v>3</v>
      </c>
      <c r="DF117">
        <f>ROUND(ROUND(AE117,2)*CX117,2)</f>
        <v>0</v>
      </c>
      <c r="DG117">
        <f t="shared" si="44"/>
        <v>0</v>
      </c>
      <c r="DH117">
        <f t="shared" si="43"/>
        <v>0</v>
      </c>
      <c r="DI117">
        <f t="shared" si="32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ROW(Source!A61)</f>
        <v>61</v>
      </c>
      <c r="B118">
        <v>57248837</v>
      </c>
      <c r="C118">
        <v>57249734</v>
      </c>
      <c r="D118">
        <v>54734511</v>
      </c>
      <c r="E118">
        <v>1081</v>
      </c>
      <c r="F118">
        <v>1</v>
      </c>
      <c r="G118">
        <v>1081</v>
      </c>
      <c r="H118">
        <v>3</v>
      </c>
      <c r="I118" t="s">
        <v>541</v>
      </c>
      <c r="J118" t="s">
        <v>3</v>
      </c>
      <c r="K118" t="s">
        <v>542</v>
      </c>
      <c r="L118">
        <v>1348</v>
      </c>
      <c r="N118">
        <v>1009</v>
      </c>
      <c r="O118" t="s">
        <v>298</v>
      </c>
      <c r="P118" t="s">
        <v>298</v>
      </c>
      <c r="Q118">
        <v>1000</v>
      </c>
      <c r="W118">
        <v>0</v>
      </c>
      <c r="X118">
        <v>1489638031</v>
      </c>
      <c r="Y118">
        <f>(AT118*1)</f>
        <v>0.247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9.84</v>
      </c>
      <c r="AJ118">
        <v>1</v>
      </c>
      <c r="AK118">
        <v>1</v>
      </c>
      <c r="AL118">
        <v>1</v>
      </c>
      <c r="AM118">
        <v>5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0.247</v>
      </c>
      <c r="AU118" t="s">
        <v>119</v>
      </c>
      <c r="AV118">
        <v>0</v>
      </c>
      <c r="AW118">
        <v>2</v>
      </c>
      <c r="AX118">
        <v>57249738</v>
      </c>
      <c r="AY118">
        <v>1</v>
      </c>
      <c r="AZ118">
        <v>0</v>
      </c>
      <c r="BA118">
        <v>154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v>0</v>
      </c>
      <c r="CX118">
        <f>ROUND(Y118*Source!I61,9)</f>
        <v>1.9611799999999999</v>
      </c>
      <c r="CY118">
        <f>AA118</f>
        <v>0</v>
      </c>
      <c r="CZ118">
        <f>AE118</f>
        <v>0</v>
      </c>
      <c r="DA118">
        <f>AI118</f>
        <v>9.84</v>
      </c>
      <c r="DB118">
        <f>ROUND((ROUND(AT118*CZ118,2)*1),6)</f>
        <v>0</v>
      </c>
      <c r="DC118">
        <f>ROUND((ROUND(AT118*AG118,2)*1),6)</f>
        <v>0</v>
      </c>
      <c r="DD118" t="s">
        <v>3</v>
      </c>
      <c r="DE118" t="s">
        <v>3</v>
      </c>
      <c r="DF118">
        <f>ROUND(ROUND(AE118*AI118,2)*CX118,2)</f>
        <v>0</v>
      </c>
      <c r="DG118">
        <f t="shared" si="44"/>
        <v>0</v>
      </c>
      <c r="DH118">
        <f t="shared" si="43"/>
        <v>0</v>
      </c>
      <c r="DI118">
        <f t="shared" si="32"/>
        <v>0</v>
      </c>
      <c r="DJ118">
        <f>DF118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ROW(Source!A62)</f>
        <v>62</v>
      </c>
      <c r="B119">
        <v>57248835</v>
      </c>
      <c r="C119">
        <v>57257942</v>
      </c>
      <c r="D119">
        <v>54702434</v>
      </c>
      <c r="E119">
        <v>1081</v>
      </c>
      <c r="F119">
        <v>1</v>
      </c>
      <c r="G119">
        <v>1081</v>
      </c>
      <c r="H119">
        <v>1</v>
      </c>
      <c r="I119" t="s">
        <v>457</v>
      </c>
      <c r="J119" t="s">
        <v>3</v>
      </c>
      <c r="K119" t="s">
        <v>458</v>
      </c>
      <c r="L119">
        <v>1191</v>
      </c>
      <c r="N119">
        <v>1013</v>
      </c>
      <c r="O119" t="s">
        <v>459</v>
      </c>
      <c r="P119" t="s">
        <v>459</v>
      </c>
      <c r="Q119">
        <v>1</v>
      </c>
      <c r="W119">
        <v>0</v>
      </c>
      <c r="X119">
        <v>476480486</v>
      </c>
      <c r="Y119">
        <f>((AT119*1.2)*0.3)</f>
        <v>8.9135999999999989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24.76</v>
      </c>
      <c r="AU119" t="s">
        <v>32</v>
      </c>
      <c r="AV119">
        <v>1</v>
      </c>
      <c r="AW119">
        <v>2</v>
      </c>
      <c r="AX119">
        <v>57257943</v>
      </c>
      <c r="AY119">
        <v>1</v>
      </c>
      <c r="AZ119">
        <v>0</v>
      </c>
      <c r="BA119">
        <v>155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U119">
        <f>ROUND(AT119*Source!I62*AH119*AL119,2)</f>
        <v>0</v>
      </c>
      <c r="CV119">
        <f>ROUND(Y119*Source!I62,9)</f>
        <v>70.773983999999999</v>
      </c>
      <c r="CW119">
        <v>0</v>
      </c>
      <c r="CX119">
        <f>ROUND(Y119*Source!I62,9)</f>
        <v>70.773983999999999</v>
      </c>
      <c r="CY119">
        <f>AD119</f>
        <v>0</v>
      </c>
      <c r="CZ119">
        <f>AH119</f>
        <v>0</v>
      </c>
      <c r="DA119">
        <f>AL119</f>
        <v>1</v>
      </c>
      <c r="DB119">
        <f>ROUND(((ROUND(AT119*CZ119,2)*1.2)*0.3),6)</f>
        <v>0</v>
      </c>
      <c r="DC119">
        <f>ROUND(((ROUND(AT119*AG119,2)*1.2)*0.3),6)</f>
        <v>0</v>
      </c>
      <c r="DD119" t="s">
        <v>3</v>
      </c>
      <c r="DE119" t="s">
        <v>3</v>
      </c>
      <c r="DF119">
        <f t="shared" ref="DF119:DF127" si="45">ROUND(ROUND(AE119,2)*CX119,2)</f>
        <v>0</v>
      </c>
      <c r="DG119">
        <f t="shared" si="44"/>
        <v>0</v>
      </c>
      <c r="DH119">
        <f t="shared" si="43"/>
        <v>0</v>
      </c>
      <c r="DI119">
        <f t="shared" si="32"/>
        <v>0</v>
      </c>
      <c r="DJ119">
        <f>DI119</f>
        <v>0</v>
      </c>
      <c r="DK119">
        <v>0</v>
      </c>
      <c r="DL119" t="s">
        <v>3</v>
      </c>
      <c r="DM119">
        <v>0</v>
      </c>
      <c r="DN119" t="s">
        <v>3</v>
      </c>
      <c r="DO119">
        <v>0</v>
      </c>
    </row>
    <row r="120" spans="1:119" x14ac:dyDescent="0.2">
      <c r="A120">
        <f>ROW(Source!A62)</f>
        <v>62</v>
      </c>
      <c r="B120">
        <v>57248835</v>
      </c>
      <c r="C120">
        <v>57257942</v>
      </c>
      <c r="D120">
        <v>54768393</v>
      </c>
      <c r="E120">
        <v>1</v>
      </c>
      <c r="F120">
        <v>1</v>
      </c>
      <c r="G120">
        <v>1081</v>
      </c>
      <c r="H120">
        <v>2</v>
      </c>
      <c r="I120" t="s">
        <v>510</v>
      </c>
      <c r="J120" t="s">
        <v>511</v>
      </c>
      <c r="K120" t="s">
        <v>512</v>
      </c>
      <c r="L120">
        <v>1368</v>
      </c>
      <c r="N120">
        <v>1011</v>
      </c>
      <c r="O120" t="s">
        <v>463</v>
      </c>
      <c r="P120" t="s">
        <v>463</v>
      </c>
      <c r="Q120">
        <v>1</v>
      </c>
      <c r="W120">
        <v>0</v>
      </c>
      <c r="X120">
        <v>-1895752648</v>
      </c>
      <c r="Y120">
        <f>((AT120*1.2)*0.3)</f>
        <v>0.87839999999999996</v>
      </c>
      <c r="AA120">
        <v>0</v>
      </c>
      <c r="AB120">
        <v>0.81</v>
      </c>
      <c r="AC120">
        <v>0</v>
      </c>
      <c r="AD120">
        <v>0</v>
      </c>
      <c r="AE120">
        <v>0</v>
      </c>
      <c r="AF120">
        <v>0.77</v>
      </c>
      <c r="AG120">
        <v>0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2.44</v>
      </c>
      <c r="AU120" t="s">
        <v>32</v>
      </c>
      <c r="AV120">
        <v>0</v>
      </c>
      <c r="AW120">
        <v>2</v>
      </c>
      <c r="AX120">
        <v>57257944</v>
      </c>
      <c r="AY120">
        <v>1</v>
      </c>
      <c r="AZ120">
        <v>0</v>
      </c>
      <c r="BA120">
        <v>156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ROUND(Y120*Source!I62*DO120,9)</f>
        <v>0</v>
      </c>
      <c r="CX120">
        <f>ROUND(Y120*Source!I62,9)</f>
        <v>6.9744960000000003</v>
      </c>
      <c r="CY120">
        <f>AB120</f>
        <v>0.81</v>
      </c>
      <c r="CZ120">
        <f>AF120</f>
        <v>0.77</v>
      </c>
      <c r="DA120">
        <f>AJ120</f>
        <v>1</v>
      </c>
      <c r="DB120">
        <f>ROUND(((ROUND(AT120*CZ120,2)*1.2)*0.3),6)</f>
        <v>0.67679999999999996</v>
      </c>
      <c r="DC120">
        <f>ROUND(((ROUND(AT120*AG120,2)*1.2)*0.3),6)</f>
        <v>0</v>
      </c>
      <c r="DD120" t="s">
        <v>3</v>
      </c>
      <c r="DE120" t="s">
        <v>3</v>
      </c>
      <c r="DF120">
        <f t="shared" si="45"/>
        <v>0</v>
      </c>
      <c r="DG120">
        <f t="shared" si="44"/>
        <v>5.37</v>
      </c>
      <c r="DH120">
        <f t="shared" si="43"/>
        <v>0</v>
      </c>
      <c r="DI120">
        <f t="shared" si="32"/>
        <v>0</v>
      </c>
      <c r="DJ120">
        <f>DG120</f>
        <v>5.37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ROW(Source!A62)</f>
        <v>62</v>
      </c>
      <c r="B121">
        <v>57248835</v>
      </c>
      <c r="C121">
        <v>57257942</v>
      </c>
      <c r="D121">
        <v>54768426</v>
      </c>
      <c r="E121">
        <v>1</v>
      </c>
      <c r="F121">
        <v>1</v>
      </c>
      <c r="G121">
        <v>1081</v>
      </c>
      <c r="H121">
        <v>2</v>
      </c>
      <c r="I121" t="s">
        <v>485</v>
      </c>
      <c r="J121" t="s">
        <v>486</v>
      </c>
      <c r="K121" t="s">
        <v>487</v>
      </c>
      <c r="L121">
        <v>1368</v>
      </c>
      <c r="N121">
        <v>1011</v>
      </c>
      <c r="O121" t="s">
        <v>463</v>
      </c>
      <c r="P121" t="s">
        <v>463</v>
      </c>
      <c r="Q121">
        <v>1</v>
      </c>
      <c r="W121">
        <v>0</v>
      </c>
      <c r="X121">
        <v>-643591644</v>
      </c>
      <c r="Y121">
        <f>((AT121*1.2)*0.3)</f>
        <v>1.6668000000000001</v>
      </c>
      <c r="AA121">
        <v>0</v>
      </c>
      <c r="AB121">
        <v>0.49</v>
      </c>
      <c r="AC121">
        <v>0</v>
      </c>
      <c r="AD121">
        <v>0</v>
      </c>
      <c r="AE121">
        <v>0</v>
      </c>
      <c r="AF121">
        <v>0.47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4.63</v>
      </c>
      <c r="AU121" t="s">
        <v>32</v>
      </c>
      <c r="AV121">
        <v>0</v>
      </c>
      <c r="AW121">
        <v>2</v>
      </c>
      <c r="AX121">
        <v>57257945</v>
      </c>
      <c r="AY121">
        <v>1</v>
      </c>
      <c r="AZ121">
        <v>0</v>
      </c>
      <c r="BA121">
        <v>157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f>ROUND(Y121*Source!I62*DO121,9)</f>
        <v>0</v>
      </c>
      <c r="CX121">
        <f>ROUND(Y121*Source!I62,9)</f>
        <v>13.234392</v>
      </c>
      <c r="CY121">
        <f>AB121</f>
        <v>0.49</v>
      </c>
      <c r="CZ121">
        <f>AF121</f>
        <v>0.47</v>
      </c>
      <c r="DA121">
        <f>AJ121</f>
        <v>1</v>
      </c>
      <c r="DB121">
        <f>ROUND(((ROUND(AT121*CZ121,2)*1.2)*0.3),6)</f>
        <v>0.78480000000000005</v>
      </c>
      <c r="DC121">
        <f>ROUND(((ROUND(AT121*AG121,2)*1.2)*0.3),6)</f>
        <v>0</v>
      </c>
      <c r="DD121" t="s">
        <v>3</v>
      </c>
      <c r="DE121" t="s">
        <v>3</v>
      </c>
      <c r="DF121">
        <f t="shared" si="45"/>
        <v>0</v>
      </c>
      <c r="DG121">
        <f t="shared" si="44"/>
        <v>6.22</v>
      </c>
      <c r="DH121">
        <f t="shared" si="43"/>
        <v>0</v>
      </c>
      <c r="DI121">
        <f t="shared" si="32"/>
        <v>0</v>
      </c>
      <c r="DJ121">
        <f>DG121</f>
        <v>6.22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ROW(Source!A62)</f>
        <v>62</v>
      </c>
      <c r="B122">
        <v>57248835</v>
      </c>
      <c r="C122">
        <v>57257942</v>
      </c>
      <c r="D122">
        <v>54760333</v>
      </c>
      <c r="E122">
        <v>1</v>
      </c>
      <c r="F122">
        <v>1</v>
      </c>
      <c r="G122">
        <v>1081</v>
      </c>
      <c r="H122">
        <v>3</v>
      </c>
      <c r="I122" t="s">
        <v>543</v>
      </c>
      <c r="J122" t="s">
        <v>544</v>
      </c>
      <c r="K122" t="s">
        <v>545</v>
      </c>
      <c r="L122">
        <v>1356</v>
      </c>
      <c r="N122">
        <v>1010</v>
      </c>
      <c r="O122" t="s">
        <v>348</v>
      </c>
      <c r="P122" t="s">
        <v>348</v>
      </c>
      <c r="Q122">
        <v>1000</v>
      </c>
      <c r="W122">
        <v>0</v>
      </c>
      <c r="X122">
        <v>474149623</v>
      </c>
      <c r="Y122">
        <f>((AT122*1)*0)</f>
        <v>0</v>
      </c>
      <c r="AA122">
        <v>226.66</v>
      </c>
      <c r="AB122">
        <v>0</v>
      </c>
      <c r="AC122">
        <v>0</v>
      </c>
      <c r="AD122">
        <v>0</v>
      </c>
      <c r="AE122">
        <v>226.66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3.1E-2</v>
      </c>
      <c r="AU122" t="s">
        <v>31</v>
      </c>
      <c r="AV122">
        <v>0</v>
      </c>
      <c r="AW122">
        <v>2</v>
      </c>
      <c r="AX122">
        <v>57257946</v>
      </c>
      <c r="AY122">
        <v>1</v>
      </c>
      <c r="AZ122">
        <v>0</v>
      </c>
      <c r="BA122">
        <v>158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ROUND(Y122*Source!I62,9)</f>
        <v>0</v>
      </c>
      <c r="CY122">
        <f>AA122</f>
        <v>226.66</v>
      </c>
      <c r="CZ122">
        <f>AE122</f>
        <v>226.66</v>
      </c>
      <c r="DA122">
        <f>AI122</f>
        <v>1</v>
      </c>
      <c r="DB122">
        <f>ROUND(((ROUND(AT122*CZ122,2)*1)*0),6)</f>
        <v>0</v>
      </c>
      <c r="DC122">
        <f>ROUND(((ROUND(AT122*AG122,2)*1)*0),6)</f>
        <v>0</v>
      </c>
      <c r="DD122" t="s">
        <v>3</v>
      </c>
      <c r="DE122" t="s">
        <v>3</v>
      </c>
      <c r="DF122">
        <f t="shared" si="45"/>
        <v>0</v>
      </c>
      <c r="DG122">
        <f t="shared" si="44"/>
        <v>0</v>
      </c>
      <c r="DH122">
        <f t="shared" si="43"/>
        <v>0</v>
      </c>
      <c r="DI122">
        <f t="shared" si="32"/>
        <v>0</v>
      </c>
      <c r="DJ122">
        <f>DF122</f>
        <v>0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ROW(Source!A62)</f>
        <v>62</v>
      </c>
      <c r="B123">
        <v>57248835</v>
      </c>
      <c r="C123">
        <v>57257942</v>
      </c>
      <c r="D123">
        <v>54760107</v>
      </c>
      <c r="E123">
        <v>1</v>
      </c>
      <c r="F123">
        <v>1</v>
      </c>
      <c r="G123">
        <v>1081</v>
      </c>
      <c r="H123">
        <v>3</v>
      </c>
      <c r="I123" t="s">
        <v>546</v>
      </c>
      <c r="J123" t="s">
        <v>547</v>
      </c>
      <c r="K123" t="s">
        <v>548</v>
      </c>
      <c r="L123">
        <v>1355</v>
      </c>
      <c r="N123">
        <v>1010</v>
      </c>
      <c r="O123" t="s">
        <v>67</v>
      </c>
      <c r="P123" t="s">
        <v>67</v>
      </c>
      <c r="Q123">
        <v>100</v>
      </c>
      <c r="W123">
        <v>0</v>
      </c>
      <c r="X123">
        <v>1356827684</v>
      </c>
      <c r="Y123">
        <f>((AT123*1)*0)</f>
        <v>0</v>
      </c>
      <c r="AA123">
        <v>26.71</v>
      </c>
      <c r="AB123">
        <v>0</v>
      </c>
      <c r="AC123">
        <v>0</v>
      </c>
      <c r="AD123">
        <v>0</v>
      </c>
      <c r="AE123">
        <v>26.71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0.315</v>
      </c>
      <c r="AU123" t="s">
        <v>31</v>
      </c>
      <c r="AV123">
        <v>0</v>
      </c>
      <c r="AW123">
        <v>2</v>
      </c>
      <c r="AX123">
        <v>57257947</v>
      </c>
      <c r="AY123">
        <v>1</v>
      </c>
      <c r="AZ123">
        <v>0</v>
      </c>
      <c r="BA123">
        <v>159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ROUND(Y123*Source!I62,9)</f>
        <v>0</v>
      </c>
      <c r="CY123">
        <f>AA123</f>
        <v>26.71</v>
      </c>
      <c r="CZ123">
        <f>AE123</f>
        <v>26.71</v>
      </c>
      <c r="DA123">
        <f>AI123</f>
        <v>1</v>
      </c>
      <c r="DB123">
        <f>ROUND(((ROUND(AT123*CZ123,2)*1)*0),6)</f>
        <v>0</v>
      </c>
      <c r="DC123">
        <f>ROUND(((ROUND(AT123*AG123,2)*1)*0),6)</f>
        <v>0</v>
      </c>
      <c r="DD123" t="s">
        <v>3</v>
      </c>
      <c r="DE123" t="s">
        <v>3</v>
      </c>
      <c r="DF123">
        <f t="shared" si="45"/>
        <v>0</v>
      </c>
      <c r="DG123">
        <f t="shared" si="44"/>
        <v>0</v>
      </c>
      <c r="DH123">
        <f t="shared" si="43"/>
        <v>0</v>
      </c>
      <c r="DI123">
        <f t="shared" si="32"/>
        <v>0</v>
      </c>
      <c r="DJ123">
        <f>DF123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ROW(Source!A62)</f>
        <v>62</v>
      </c>
      <c r="B124">
        <v>57248835</v>
      </c>
      <c r="C124">
        <v>57257942</v>
      </c>
      <c r="D124">
        <v>54747393</v>
      </c>
      <c r="E124">
        <v>1</v>
      </c>
      <c r="F124">
        <v>1</v>
      </c>
      <c r="G124">
        <v>1081</v>
      </c>
      <c r="H124">
        <v>3</v>
      </c>
      <c r="I124" t="s">
        <v>549</v>
      </c>
      <c r="J124" t="s">
        <v>550</v>
      </c>
      <c r="K124" t="s">
        <v>551</v>
      </c>
      <c r="L124">
        <v>1354</v>
      </c>
      <c r="N124">
        <v>1010</v>
      </c>
      <c r="O124" t="s">
        <v>228</v>
      </c>
      <c r="P124" t="s">
        <v>228</v>
      </c>
      <c r="Q124">
        <v>1</v>
      </c>
      <c r="W124">
        <v>0</v>
      </c>
      <c r="X124">
        <v>955560065</v>
      </c>
      <c r="Y124">
        <f>((AT124*1)*0)</f>
        <v>0</v>
      </c>
      <c r="AA124">
        <v>14.22</v>
      </c>
      <c r="AB124">
        <v>0</v>
      </c>
      <c r="AC124">
        <v>0</v>
      </c>
      <c r="AD124">
        <v>0</v>
      </c>
      <c r="AE124">
        <v>14.22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0.28000000000000003</v>
      </c>
      <c r="AU124" t="s">
        <v>31</v>
      </c>
      <c r="AV124">
        <v>0</v>
      </c>
      <c r="AW124">
        <v>2</v>
      </c>
      <c r="AX124">
        <v>57257948</v>
      </c>
      <c r="AY124">
        <v>1</v>
      </c>
      <c r="AZ124">
        <v>0</v>
      </c>
      <c r="BA124">
        <v>160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ROUND(Y124*Source!I62,9)</f>
        <v>0</v>
      </c>
      <c r="CY124">
        <f>AA124</f>
        <v>14.22</v>
      </c>
      <c r="CZ124">
        <f>AE124</f>
        <v>14.22</v>
      </c>
      <c r="DA124">
        <f>AI124</f>
        <v>1</v>
      </c>
      <c r="DB124">
        <f>ROUND(((ROUND(AT124*CZ124,2)*1)*0),6)</f>
        <v>0</v>
      </c>
      <c r="DC124">
        <f>ROUND(((ROUND(AT124*AG124,2)*1)*0),6)</f>
        <v>0</v>
      </c>
      <c r="DD124" t="s">
        <v>3</v>
      </c>
      <c r="DE124" t="s">
        <v>3</v>
      </c>
      <c r="DF124">
        <f t="shared" si="45"/>
        <v>0</v>
      </c>
      <c r="DG124">
        <f t="shared" si="44"/>
        <v>0</v>
      </c>
      <c r="DH124">
        <f t="shared" si="43"/>
        <v>0</v>
      </c>
      <c r="DI124">
        <f t="shared" si="32"/>
        <v>0</v>
      </c>
      <c r="DJ124">
        <f>DF124</f>
        <v>0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ROW(Source!A63)</f>
        <v>63</v>
      </c>
      <c r="B125">
        <v>57248837</v>
      </c>
      <c r="C125">
        <v>57257942</v>
      </c>
      <c r="D125">
        <v>54702434</v>
      </c>
      <c r="E125">
        <v>1081</v>
      </c>
      <c r="F125">
        <v>1</v>
      </c>
      <c r="G125">
        <v>1081</v>
      </c>
      <c r="H125">
        <v>1</v>
      </c>
      <c r="I125" t="s">
        <v>457</v>
      </c>
      <c r="J125" t="s">
        <v>3</v>
      </c>
      <c r="K125" t="s">
        <v>458</v>
      </c>
      <c r="L125">
        <v>1191</v>
      </c>
      <c r="N125">
        <v>1013</v>
      </c>
      <c r="O125" t="s">
        <v>459</v>
      </c>
      <c r="P125" t="s">
        <v>459</v>
      </c>
      <c r="Q125">
        <v>1</v>
      </c>
      <c r="W125">
        <v>0</v>
      </c>
      <c r="X125">
        <v>476480486</v>
      </c>
      <c r="Y125">
        <f>((AT125*1.2)*0.3)</f>
        <v>8.9135999999999989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5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24.76</v>
      </c>
      <c r="AU125" t="s">
        <v>32</v>
      </c>
      <c r="AV125">
        <v>1</v>
      </c>
      <c r="AW125">
        <v>2</v>
      </c>
      <c r="AX125">
        <v>57257943</v>
      </c>
      <c r="AY125">
        <v>1</v>
      </c>
      <c r="AZ125">
        <v>0</v>
      </c>
      <c r="BA125">
        <v>165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U125">
        <f>ROUND(AT125*Source!I63*AH125*AL125,2)</f>
        <v>0</v>
      </c>
      <c r="CV125">
        <f>ROUND(Y125*Source!I63,9)</f>
        <v>70.773983999999999</v>
      </c>
      <c r="CW125">
        <v>0</v>
      </c>
      <c r="CX125">
        <f>ROUND(Y125*Source!I63,9)</f>
        <v>70.773983999999999</v>
      </c>
      <c r="CY125">
        <f>AD125</f>
        <v>0</v>
      </c>
      <c r="CZ125">
        <f>AH125</f>
        <v>0</v>
      </c>
      <c r="DA125">
        <f>AL125</f>
        <v>1</v>
      </c>
      <c r="DB125">
        <f>ROUND(((ROUND(AT125*CZ125,2)*1.2)*0.3),6)</f>
        <v>0</v>
      </c>
      <c r="DC125">
        <f>ROUND(((ROUND(AT125*AG125,2)*1.2)*0.3),6)</f>
        <v>0</v>
      </c>
      <c r="DD125" t="s">
        <v>3</v>
      </c>
      <c r="DE125" t="s">
        <v>3</v>
      </c>
      <c r="DF125">
        <f t="shared" si="45"/>
        <v>0</v>
      </c>
      <c r="DG125">
        <f t="shared" si="44"/>
        <v>0</v>
      </c>
      <c r="DH125">
        <f t="shared" si="43"/>
        <v>0</v>
      </c>
      <c r="DI125">
        <f t="shared" si="32"/>
        <v>0</v>
      </c>
      <c r="DJ125">
        <f>DI125</f>
        <v>0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ROW(Source!A63)</f>
        <v>63</v>
      </c>
      <c r="B126">
        <v>57248837</v>
      </c>
      <c r="C126">
        <v>57257942</v>
      </c>
      <c r="D126">
        <v>54768393</v>
      </c>
      <c r="E126">
        <v>1</v>
      </c>
      <c r="F126">
        <v>1</v>
      </c>
      <c r="G126">
        <v>1081</v>
      </c>
      <c r="H126">
        <v>2</v>
      </c>
      <c r="I126" t="s">
        <v>510</v>
      </c>
      <c r="J126" t="s">
        <v>511</v>
      </c>
      <c r="K126" t="s">
        <v>512</v>
      </c>
      <c r="L126">
        <v>1368</v>
      </c>
      <c r="N126">
        <v>1011</v>
      </c>
      <c r="O126" t="s">
        <v>463</v>
      </c>
      <c r="P126" t="s">
        <v>463</v>
      </c>
      <c r="Q126">
        <v>1</v>
      </c>
      <c r="W126">
        <v>0</v>
      </c>
      <c r="X126">
        <v>-1895752648</v>
      </c>
      <c r="Y126">
        <f>((AT126*1.2)*0.3)</f>
        <v>0.87839999999999996</v>
      </c>
      <c r="AA126">
        <v>0</v>
      </c>
      <c r="AB126">
        <v>7.71</v>
      </c>
      <c r="AC126">
        <v>0</v>
      </c>
      <c r="AD126">
        <v>0</v>
      </c>
      <c r="AE126">
        <v>0</v>
      </c>
      <c r="AF126">
        <v>0.77</v>
      </c>
      <c r="AG126">
        <v>0</v>
      </c>
      <c r="AH126">
        <v>0</v>
      </c>
      <c r="AI126">
        <v>1</v>
      </c>
      <c r="AJ126">
        <v>9.56</v>
      </c>
      <c r="AK126">
        <v>1</v>
      </c>
      <c r="AL126">
        <v>1</v>
      </c>
      <c r="AM126">
        <v>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2.44</v>
      </c>
      <c r="AU126" t="s">
        <v>32</v>
      </c>
      <c r="AV126">
        <v>0</v>
      </c>
      <c r="AW126">
        <v>2</v>
      </c>
      <c r="AX126">
        <v>57257944</v>
      </c>
      <c r="AY126">
        <v>1</v>
      </c>
      <c r="AZ126">
        <v>0</v>
      </c>
      <c r="BA126">
        <v>166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f>ROUND(Y126*Source!I63*DO126,9)</f>
        <v>0</v>
      </c>
      <c r="CX126">
        <f>ROUND(Y126*Source!I63,9)</f>
        <v>6.9744960000000003</v>
      </c>
      <c r="CY126">
        <f>AB126</f>
        <v>7.71</v>
      </c>
      <c r="CZ126">
        <f>AF126</f>
        <v>0.77</v>
      </c>
      <c r="DA126">
        <f>AJ126</f>
        <v>9.56</v>
      </c>
      <c r="DB126">
        <f>ROUND(((ROUND(AT126*CZ126,2)*1.2)*0.3),6)</f>
        <v>0.67679999999999996</v>
      </c>
      <c r="DC126">
        <f>ROUND(((ROUND(AT126*AG126,2)*1.2)*0.3),6)</f>
        <v>0</v>
      </c>
      <c r="DD126" t="s">
        <v>3</v>
      </c>
      <c r="DE126" t="s">
        <v>3</v>
      </c>
      <c r="DF126">
        <f t="shared" si="45"/>
        <v>0</v>
      </c>
      <c r="DG126">
        <f>ROUND(ROUND(AF126*AJ126,2)*CX126,2)</f>
        <v>51.33</v>
      </c>
      <c r="DH126">
        <f t="shared" si="43"/>
        <v>0</v>
      </c>
      <c r="DI126">
        <f t="shared" si="32"/>
        <v>0</v>
      </c>
      <c r="DJ126">
        <f>DG126</f>
        <v>51.33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ROW(Source!A63)</f>
        <v>63</v>
      </c>
      <c r="B127">
        <v>57248837</v>
      </c>
      <c r="C127">
        <v>57257942</v>
      </c>
      <c r="D127">
        <v>54768426</v>
      </c>
      <c r="E127">
        <v>1</v>
      </c>
      <c r="F127">
        <v>1</v>
      </c>
      <c r="G127">
        <v>1081</v>
      </c>
      <c r="H127">
        <v>2</v>
      </c>
      <c r="I127" t="s">
        <v>485</v>
      </c>
      <c r="J127" t="s">
        <v>486</v>
      </c>
      <c r="K127" t="s">
        <v>487</v>
      </c>
      <c r="L127">
        <v>1368</v>
      </c>
      <c r="N127">
        <v>1011</v>
      </c>
      <c r="O127" t="s">
        <v>463</v>
      </c>
      <c r="P127" t="s">
        <v>463</v>
      </c>
      <c r="Q127">
        <v>1</v>
      </c>
      <c r="W127">
        <v>0</v>
      </c>
      <c r="X127">
        <v>-643591644</v>
      </c>
      <c r="Y127">
        <f>((AT127*1.2)*0.3)</f>
        <v>1.6668000000000001</v>
      </c>
      <c r="AA127">
        <v>0</v>
      </c>
      <c r="AB127">
        <v>4.75</v>
      </c>
      <c r="AC127">
        <v>0</v>
      </c>
      <c r="AD127">
        <v>0</v>
      </c>
      <c r="AE127">
        <v>0</v>
      </c>
      <c r="AF127">
        <v>0.47</v>
      </c>
      <c r="AG127">
        <v>0</v>
      </c>
      <c r="AH127">
        <v>0</v>
      </c>
      <c r="AI127">
        <v>1</v>
      </c>
      <c r="AJ127">
        <v>9.66</v>
      </c>
      <c r="AK127">
        <v>1</v>
      </c>
      <c r="AL127">
        <v>1</v>
      </c>
      <c r="AM127">
        <v>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4.63</v>
      </c>
      <c r="AU127" t="s">
        <v>32</v>
      </c>
      <c r="AV127">
        <v>0</v>
      </c>
      <c r="AW127">
        <v>2</v>
      </c>
      <c r="AX127">
        <v>57257945</v>
      </c>
      <c r="AY127">
        <v>1</v>
      </c>
      <c r="AZ127">
        <v>0</v>
      </c>
      <c r="BA127">
        <v>167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f>ROUND(Y127*Source!I63*DO127,9)</f>
        <v>0</v>
      </c>
      <c r="CX127">
        <f>ROUND(Y127*Source!I63,9)</f>
        <v>13.234392</v>
      </c>
      <c r="CY127">
        <f>AB127</f>
        <v>4.75</v>
      </c>
      <c r="CZ127">
        <f>AF127</f>
        <v>0.47</v>
      </c>
      <c r="DA127">
        <f>AJ127</f>
        <v>9.66</v>
      </c>
      <c r="DB127">
        <f>ROUND(((ROUND(AT127*CZ127,2)*1.2)*0.3),6)</f>
        <v>0.78480000000000005</v>
      </c>
      <c r="DC127">
        <f>ROUND(((ROUND(AT127*AG127,2)*1.2)*0.3),6)</f>
        <v>0</v>
      </c>
      <c r="DD127" t="s">
        <v>3</v>
      </c>
      <c r="DE127" t="s">
        <v>3</v>
      </c>
      <c r="DF127">
        <f t="shared" si="45"/>
        <v>0</v>
      </c>
      <c r="DG127">
        <f>ROUND(ROUND(AF127*AJ127,2)*CX127,2)</f>
        <v>60.08</v>
      </c>
      <c r="DH127">
        <f t="shared" si="43"/>
        <v>0</v>
      </c>
      <c r="DI127">
        <f t="shared" si="32"/>
        <v>0</v>
      </c>
      <c r="DJ127">
        <f>DG127</f>
        <v>60.08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ROW(Source!A63)</f>
        <v>63</v>
      </c>
      <c r="B128">
        <v>57248837</v>
      </c>
      <c r="C128">
        <v>57257942</v>
      </c>
      <c r="D128">
        <v>54760333</v>
      </c>
      <c r="E128">
        <v>1</v>
      </c>
      <c r="F128">
        <v>1</v>
      </c>
      <c r="G128">
        <v>1081</v>
      </c>
      <c r="H128">
        <v>3</v>
      </c>
      <c r="I128" t="s">
        <v>543</v>
      </c>
      <c r="J128" t="s">
        <v>544</v>
      </c>
      <c r="K128" t="s">
        <v>545</v>
      </c>
      <c r="L128">
        <v>1356</v>
      </c>
      <c r="N128">
        <v>1010</v>
      </c>
      <c r="O128" t="s">
        <v>348</v>
      </c>
      <c r="P128" t="s">
        <v>348</v>
      </c>
      <c r="Q128">
        <v>1000</v>
      </c>
      <c r="W128">
        <v>0</v>
      </c>
      <c r="X128">
        <v>474149623</v>
      </c>
      <c r="Y128">
        <f>((AT128*1)*0)</f>
        <v>0</v>
      </c>
      <c r="AA128">
        <v>1527.69</v>
      </c>
      <c r="AB128">
        <v>0</v>
      </c>
      <c r="AC128">
        <v>0</v>
      </c>
      <c r="AD128">
        <v>0</v>
      </c>
      <c r="AE128">
        <v>226.66</v>
      </c>
      <c r="AF128">
        <v>0</v>
      </c>
      <c r="AG128">
        <v>0</v>
      </c>
      <c r="AH128">
        <v>0</v>
      </c>
      <c r="AI128">
        <v>6.74</v>
      </c>
      <c r="AJ128">
        <v>1</v>
      </c>
      <c r="AK128">
        <v>1</v>
      </c>
      <c r="AL128">
        <v>1</v>
      </c>
      <c r="AM128">
        <v>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3.1E-2</v>
      </c>
      <c r="AU128" t="s">
        <v>31</v>
      </c>
      <c r="AV128">
        <v>0</v>
      </c>
      <c r="AW128">
        <v>2</v>
      </c>
      <c r="AX128">
        <v>57257946</v>
      </c>
      <c r="AY128">
        <v>1</v>
      </c>
      <c r="AZ128">
        <v>0</v>
      </c>
      <c r="BA128">
        <v>168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ROUND(Y128*Source!I63,9)</f>
        <v>0</v>
      </c>
      <c r="CY128">
        <f>AA128</f>
        <v>1527.69</v>
      </c>
      <c r="CZ128">
        <f>AE128</f>
        <v>226.66</v>
      </c>
      <c r="DA128">
        <f>AI128</f>
        <v>6.74</v>
      </c>
      <c r="DB128">
        <f>ROUND(((ROUND(AT128*CZ128,2)*1)*0),6)</f>
        <v>0</v>
      </c>
      <c r="DC128">
        <f>ROUND(((ROUND(AT128*AG128,2)*1)*0),6)</f>
        <v>0</v>
      </c>
      <c r="DD128" t="s">
        <v>3</v>
      </c>
      <c r="DE128" t="s">
        <v>3</v>
      </c>
      <c r="DF128">
        <f>ROUND(ROUND(AE128*AI128,2)*CX128,2)</f>
        <v>0</v>
      </c>
      <c r="DG128">
        <f t="shared" ref="DG128:DG145" si="46">ROUND(ROUND(AF128,2)*CX128,2)</f>
        <v>0</v>
      </c>
      <c r="DH128">
        <f t="shared" si="43"/>
        <v>0</v>
      </c>
      <c r="DI128">
        <f t="shared" si="32"/>
        <v>0</v>
      </c>
      <c r="DJ128">
        <f>DF128</f>
        <v>0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ROW(Source!A63)</f>
        <v>63</v>
      </c>
      <c r="B129">
        <v>57248837</v>
      </c>
      <c r="C129">
        <v>57257942</v>
      </c>
      <c r="D129">
        <v>54760107</v>
      </c>
      <c r="E129">
        <v>1</v>
      </c>
      <c r="F129">
        <v>1</v>
      </c>
      <c r="G129">
        <v>1081</v>
      </c>
      <c r="H129">
        <v>3</v>
      </c>
      <c r="I129" t="s">
        <v>546</v>
      </c>
      <c r="J129" t="s">
        <v>547</v>
      </c>
      <c r="K129" t="s">
        <v>548</v>
      </c>
      <c r="L129">
        <v>1355</v>
      </c>
      <c r="N129">
        <v>1010</v>
      </c>
      <c r="O129" t="s">
        <v>67</v>
      </c>
      <c r="P129" t="s">
        <v>67</v>
      </c>
      <c r="Q129">
        <v>100</v>
      </c>
      <c r="W129">
        <v>0</v>
      </c>
      <c r="X129">
        <v>1356827684</v>
      </c>
      <c r="Y129">
        <f>((AT129*1)*0)</f>
        <v>0</v>
      </c>
      <c r="AA129">
        <v>105.5</v>
      </c>
      <c r="AB129">
        <v>0</v>
      </c>
      <c r="AC129">
        <v>0</v>
      </c>
      <c r="AD129">
        <v>0</v>
      </c>
      <c r="AE129">
        <v>26.71</v>
      </c>
      <c r="AF129">
        <v>0</v>
      </c>
      <c r="AG129">
        <v>0</v>
      </c>
      <c r="AH129">
        <v>0</v>
      </c>
      <c r="AI129">
        <v>3.95</v>
      </c>
      <c r="AJ129">
        <v>1</v>
      </c>
      <c r="AK129">
        <v>1</v>
      </c>
      <c r="AL129">
        <v>1</v>
      </c>
      <c r="AM129">
        <v>2</v>
      </c>
      <c r="AN129">
        <v>0</v>
      </c>
      <c r="AO129">
        <v>1</v>
      </c>
      <c r="AP129">
        <v>1</v>
      </c>
      <c r="AQ129">
        <v>0</v>
      </c>
      <c r="AR129">
        <v>0</v>
      </c>
      <c r="AS129" t="s">
        <v>3</v>
      </c>
      <c r="AT129">
        <v>0.315</v>
      </c>
      <c r="AU129" t="s">
        <v>31</v>
      </c>
      <c r="AV129">
        <v>0</v>
      </c>
      <c r="AW129">
        <v>2</v>
      </c>
      <c r="AX129">
        <v>57257947</v>
      </c>
      <c r="AY129">
        <v>1</v>
      </c>
      <c r="AZ129">
        <v>0</v>
      </c>
      <c r="BA129">
        <v>169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ROUND(Y129*Source!I63,9)</f>
        <v>0</v>
      </c>
      <c r="CY129">
        <f>AA129</f>
        <v>105.5</v>
      </c>
      <c r="CZ129">
        <f>AE129</f>
        <v>26.71</v>
      </c>
      <c r="DA129">
        <f>AI129</f>
        <v>3.95</v>
      </c>
      <c r="DB129">
        <f>ROUND(((ROUND(AT129*CZ129,2)*1)*0),6)</f>
        <v>0</v>
      </c>
      <c r="DC129">
        <f>ROUND(((ROUND(AT129*AG129,2)*1)*0),6)</f>
        <v>0</v>
      </c>
      <c r="DD129" t="s">
        <v>3</v>
      </c>
      <c r="DE129" t="s">
        <v>3</v>
      </c>
      <c r="DF129">
        <f>ROUND(ROUND(AE129*AI129,2)*CX129,2)</f>
        <v>0</v>
      </c>
      <c r="DG129">
        <f t="shared" si="46"/>
        <v>0</v>
      </c>
      <c r="DH129">
        <f t="shared" si="43"/>
        <v>0</v>
      </c>
      <c r="DI129">
        <f t="shared" ref="DI129:DI192" si="47">ROUND(ROUND(AH129,2)*CX129,2)</f>
        <v>0</v>
      </c>
      <c r="DJ129">
        <f>DF129</f>
        <v>0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ROW(Source!A63)</f>
        <v>63</v>
      </c>
      <c r="B130">
        <v>57248837</v>
      </c>
      <c r="C130">
        <v>57257942</v>
      </c>
      <c r="D130">
        <v>54747393</v>
      </c>
      <c r="E130">
        <v>1</v>
      </c>
      <c r="F130">
        <v>1</v>
      </c>
      <c r="G130">
        <v>1081</v>
      </c>
      <c r="H130">
        <v>3</v>
      </c>
      <c r="I130" t="s">
        <v>549</v>
      </c>
      <c r="J130" t="s">
        <v>550</v>
      </c>
      <c r="K130" t="s">
        <v>551</v>
      </c>
      <c r="L130">
        <v>1354</v>
      </c>
      <c r="N130">
        <v>1010</v>
      </c>
      <c r="O130" t="s">
        <v>228</v>
      </c>
      <c r="P130" t="s">
        <v>228</v>
      </c>
      <c r="Q130">
        <v>1</v>
      </c>
      <c r="W130">
        <v>0</v>
      </c>
      <c r="X130">
        <v>955560065</v>
      </c>
      <c r="Y130">
        <f>((AT130*1)*0)</f>
        <v>0</v>
      </c>
      <c r="AA130">
        <v>165.81</v>
      </c>
      <c r="AB130">
        <v>0</v>
      </c>
      <c r="AC130">
        <v>0</v>
      </c>
      <c r="AD130">
        <v>0</v>
      </c>
      <c r="AE130">
        <v>14.22</v>
      </c>
      <c r="AF130">
        <v>0</v>
      </c>
      <c r="AG130">
        <v>0</v>
      </c>
      <c r="AH130">
        <v>0</v>
      </c>
      <c r="AI130">
        <v>11.66</v>
      </c>
      <c r="AJ130">
        <v>1</v>
      </c>
      <c r="AK130">
        <v>1</v>
      </c>
      <c r="AL130">
        <v>1</v>
      </c>
      <c r="AM130">
        <v>2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0.28000000000000003</v>
      </c>
      <c r="AU130" t="s">
        <v>31</v>
      </c>
      <c r="AV130">
        <v>0</v>
      </c>
      <c r="AW130">
        <v>2</v>
      </c>
      <c r="AX130">
        <v>57257948</v>
      </c>
      <c r="AY130">
        <v>1</v>
      </c>
      <c r="AZ130">
        <v>0</v>
      </c>
      <c r="BA130">
        <v>170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ROUND(Y130*Source!I63,9)</f>
        <v>0</v>
      </c>
      <c r="CY130">
        <f>AA130</f>
        <v>165.81</v>
      </c>
      <c r="CZ130">
        <f>AE130</f>
        <v>14.22</v>
      </c>
      <c r="DA130">
        <f>AI130</f>
        <v>11.66</v>
      </c>
      <c r="DB130">
        <f>ROUND(((ROUND(AT130*CZ130,2)*1)*0),6)</f>
        <v>0</v>
      </c>
      <c r="DC130">
        <f>ROUND(((ROUND(AT130*AG130,2)*1)*0),6)</f>
        <v>0</v>
      </c>
      <c r="DD130" t="s">
        <v>3</v>
      </c>
      <c r="DE130" t="s">
        <v>3</v>
      </c>
      <c r="DF130">
        <f>ROUND(ROUND(AE130*AI130,2)*CX130,2)</f>
        <v>0</v>
      </c>
      <c r="DG130">
        <f t="shared" si="46"/>
        <v>0</v>
      </c>
      <c r="DH130">
        <f t="shared" si="43"/>
        <v>0</v>
      </c>
      <c r="DI130">
        <f t="shared" si="47"/>
        <v>0</v>
      </c>
      <c r="DJ130">
        <f>DF130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ROW(Source!A99)</f>
        <v>99</v>
      </c>
      <c r="B131">
        <v>57248835</v>
      </c>
      <c r="C131">
        <v>57249134</v>
      </c>
      <c r="D131">
        <v>54702434</v>
      </c>
      <c r="E131">
        <v>1081</v>
      </c>
      <c r="F131">
        <v>1</v>
      </c>
      <c r="G131">
        <v>1081</v>
      </c>
      <c r="H131">
        <v>1</v>
      </c>
      <c r="I131" t="s">
        <v>457</v>
      </c>
      <c r="J131" t="s">
        <v>3</v>
      </c>
      <c r="K131" t="s">
        <v>458</v>
      </c>
      <c r="L131">
        <v>1191</v>
      </c>
      <c r="N131">
        <v>1013</v>
      </c>
      <c r="O131" t="s">
        <v>459</v>
      </c>
      <c r="P131" t="s">
        <v>459</v>
      </c>
      <c r="Q131">
        <v>1</v>
      </c>
      <c r="W131">
        <v>0</v>
      </c>
      <c r="X131">
        <v>476480486</v>
      </c>
      <c r="Y131">
        <f>(AT131*1.2)</f>
        <v>2.16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-2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1.8</v>
      </c>
      <c r="AU131" t="s">
        <v>120</v>
      </c>
      <c r="AV131">
        <v>1</v>
      </c>
      <c r="AW131">
        <v>2</v>
      </c>
      <c r="AX131">
        <v>57249136</v>
      </c>
      <c r="AY131">
        <v>1</v>
      </c>
      <c r="AZ131">
        <v>0</v>
      </c>
      <c r="BA131">
        <v>175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ROUND(AT131*Source!I99*AH131*AL131,2)</f>
        <v>0</v>
      </c>
      <c r="CV131">
        <f>ROUND(Y131*Source!I99,9)</f>
        <v>17.28</v>
      </c>
      <c r="CW131">
        <v>0</v>
      </c>
      <c r="CX131">
        <f>ROUND(Y131*Source!I99,9)</f>
        <v>17.28</v>
      </c>
      <c r="CY131">
        <f>AD131</f>
        <v>0</v>
      </c>
      <c r="CZ131">
        <f>AH131</f>
        <v>0</v>
      </c>
      <c r="DA131">
        <f>AL131</f>
        <v>1</v>
      </c>
      <c r="DB131">
        <f>ROUND((ROUND(AT131*CZ131,2)*1.2),6)</f>
        <v>0</v>
      </c>
      <c r="DC131">
        <f>ROUND((ROUND(AT131*AG131,2)*1.2),6)</f>
        <v>0</v>
      </c>
      <c r="DD131" t="s">
        <v>3</v>
      </c>
      <c r="DE131" t="s">
        <v>3</v>
      </c>
      <c r="DF131">
        <f t="shared" ref="DF131:DF147" si="48">ROUND(ROUND(AE131,2)*CX131,2)</f>
        <v>0</v>
      </c>
      <c r="DG131">
        <f t="shared" si="46"/>
        <v>0</v>
      </c>
      <c r="DH131">
        <f t="shared" si="43"/>
        <v>0</v>
      </c>
      <c r="DI131">
        <f t="shared" si="47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ROW(Source!A100)</f>
        <v>100</v>
      </c>
      <c r="B132">
        <v>57248837</v>
      </c>
      <c r="C132">
        <v>57249134</v>
      </c>
      <c r="D132">
        <v>54702434</v>
      </c>
      <c r="E132">
        <v>1081</v>
      </c>
      <c r="F132">
        <v>1</v>
      </c>
      <c r="G132">
        <v>1081</v>
      </c>
      <c r="H132">
        <v>1</v>
      </c>
      <c r="I132" t="s">
        <v>457</v>
      </c>
      <c r="J132" t="s">
        <v>3</v>
      </c>
      <c r="K132" t="s">
        <v>458</v>
      </c>
      <c r="L132">
        <v>1191</v>
      </c>
      <c r="N132">
        <v>1013</v>
      </c>
      <c r="O132" t="s">
        <v>459</v>
      </c>
      <c r="P132" t="s">
        <v>459</v>
      </c>
      <c r="Q132">
        <v>1</v>
      </c>
      <c r="W132">
        <v>0</v>
      </c>
      <c r="X132">
        <v>476480486</v>
      </c>
      <c r="Y132">
        <f>(AT132*1.2)</f>
        <v>2.16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1</v>
      </c>
      <c r="AK132">
        <v>1</v>
      </c>
      <c r="AL132">
        <v>1</v>
      </c>
      <c r="AM132">
        <v>5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1.8</v>
      </c>
      <c r="AU132" t="s">
        <v>120</v>
      </c>
      <c r="AV132">
        <v>1</v>
      </c>
      <c r="AW132">
        <v>2</v>
      </c>
      <c r="AX132">
        <v>57249136</v>
      </c>
      <c r="AY132">
        <v>1</v>
      </c>
      <c r="AZ132">
        <v>0</v>
      </c>
      <c r="BA132">
        <v>176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U132">
        <f>ROUND(AT132*Source!I100*AH132*AL132,2)</f>
        <v>0</v>
      </c>
      <c r="CV132">
        <f>ROUND(Y132*Source!I100,9)</f>
        <v>17.28</v>
      </c>
      <c r="CW132">
        <v>0</v>
      </c>
      <c r="CX132">
        <f>ROUND(Y132*Source!I100,9)</f>
        <v>17.28</v>
      </c>
      <c r="CY132">
        <f>AD132</f>
        <v>0</v>
      </c>
      <c r="CZ132">
        <f>AH132</f>
        <v>0</v>
      </c>
      <c r="DA132">
        <f>AL132</f>
        <v>1</v>
      </c>
      <c r="DB132">
        <f>ROUND((ROUND(AT132*CZ132,2)*1.2),6)</f>
        <v>0</v>
      </c>
      <c r="DC132">
        <f>ROUND((ROUND(AT132*AG132,2)*1.2),6)</f>
        <v>0</v>
      </c>
      <c r="DD132" t="s">
        <v>3</v>
      </c>
      <c r="DE132" t="s">
        <v>3</v>
      </c>
      <c r="DF132">
        <f t="shared" si="48"/>
        <v>0</v>
      </c>
      <c r="DG132">
        <f t="shared" si="46"/>
        <v>0</v>
      </c>
      <c r="DH132">
        <f t="shared" si="43"/>
        <v>0</v>
      </c>
      <c r="DI132">
        <f t="shared" si="47"/>
        <v>0</v>
      </c>
      <c r="DJ132">
        <f>DI132</f>
        <v>0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ROW(Source!A103)</f>
        <v>103</v>
      </c>
      <c r="B133">
        <v>57248835</v>
      </c>
      <c r="C133">
        <v>57249145</v>
      </c>
      <c r="D133">
        <v>54702434</v>
      </c>
      <c r="E133">
        <v>1081</v>
      </c>
      <c r="F133">
        <v>1</v>
      </c>
      <c r="G133">
        <v>1081</v>
      </c>
      <c r="H133">
        <v>1</v>
      </c>
      <c r="I133" t="s">
        <v>457</v>
      </c>
      <c r="J133" t="s">
        <v>3</v>
      </c>
      <c r="K133" t="s">
        <v>458</v>
      </c>
      <c r="L133">
        <v>1191</v>
      </c>
      <c r="N133">
        <v>1013</v>
      </c>
      <c r="O133" t="s">
        <v>459</v>
      </c>
      <c r="P133" t="s">
        <v>459</v>
      </c>
      <c r="Q133">
        <v>1</v>
      </c>
      <c r="W133">
        <v>0</v>
      </c>
      <c r="X133">
        <v>476480486</v>
      </c>
      <c r="Y133">
        <f>AT133</f>
        <v>7.2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-2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7.2</v>
      </c>
      <c r="AU133" t="s">
        <v>3</v>
      </c>
      <c r="AV133">
        <v>1</v>
      </c>
      <c r="AW133">
        <v>2</v>
      </c>
      <c r="AX133">
        <v>57250073</v>
      </c>
      <c r="AY133">
        <v>1</v>
      </c>
      <c r="AZ133">
        <v>0</v>
      </c>
      <c r="BA133">
        <v>177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U133">
        <f>ROUND(AT133*Source!I103*AH133*AL133,2)</f>
        <v>0</v>
      </c>
      <c r="CV133">
        <f>ROUND(Y133*Source!I103,9)</f>
        <v>7.2</v>
      </c>
      <c r="CW133">
        <v>0</v>
      </c>
      <c r="CX133">
        <f>ROUND(Y133*Source!I103,9)</f>
        <v>7.2</v>
      </c>
      <c r="CY133">
        <f>AD133</f>
        <v>0</v>
      </c>
      <c r="CZ133">
        <f>AH133</f>
        <v>0</v>
      </c>
      <c r="DA133">
        <f>AL133</f>
        <v>1</v>
      </c>
      <c r="DB133">
        <f>ROUND(ROUND(AT133*CZ133,2),6)</f>
        <v>0</v>
      </c>
      <c r="DC133">
        <f>ROUND(ROUND(AT133*AG133,2),6)</f>
        <v>0</v>
      </c>
      <c r="DD133" t="s">
        <v>3</v>
      </c>
      <c r="DE133" t="s">
        <v>3</v>
      </c>
      <c r="DF133">
        <f t="shared" si="48"/>
        <v>0</v>
      </c>
      <c r="DG133">
        <f t="shared" si="46"/>
        <v>0</v>
      </c>
      <c r="DH133">
        <f t="shared" si="43"/>
        <v>0</v>
      </c>
      <c r="DI133">
        <f t="shared" si="47"/>
        <v>0</v>
      </c>
      <c r="DJ133">
        <f>DI133</f>
        <v>0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ROW(Source!A104)</f>
        <v>104</v>
      </c>
      <c r="B134">
        <v>57248837</v>
      </c>
      <c r="C134">
        <v>57249145</v>
      </c>
      <c r="D134">
        <v>54702434</v>
      </c>
      <c r="E134">
        <v>1081</v>
      </c>
      <c r="F134">
        <v>1</v>
      </c>
      <c r="G134">
        <v>1081</v>
      </c>
      <c r="H134">
        <v>1</v>
      </c>
      <c r="I134" t="s">
        <v>457</v>
      </c>
      <c r="J134" t="s">
        <v>3</v>
      </c>
      <c r="K134" t="s">
        <v>458</v>
      </c>
      <c r="L134">
        <v>1191</v>
      </c>
      <c r="N134">
        <v>1013</v>
      </c>
      <c r="O134" t="s">
        <v>459</v>
      </c>
      <c r="P134" t="s">
        <v>459</v>
      </c>
      <c r="Q134">
        <v>1</v>
      </c>
      <c r="W134">
        <v>0</v>
      </c>
      <c r="X134">
        <v>476480486</v>
      </c>
      <c r="Y134">
        <f>AT134</f>
        <v>7.2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1</v>
      </c>
      <c r="AK134">
        <v>1</v>
      </c>
      <c r="AL134">
        <v>1</v>
      </c>
      <c r="AM134">
        <v>5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7.2</v>
      </c>
      <c r="AU134" t="s">
        <v>3</v>
      </c>
      <c r="AV134">
        <v>1</v>
      </c>
      <c r="AW134">
        <v>2</v>
      </c>
      <c r="AX134">
        <v>57250073</v>
      </c>
      <c r="AY134">
        <v>1</v>
      </c>
      <c r="AZ134">
        <v>0</v>
      </c>
      <c r="BA134">
        <v>178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U134">
        <f>ROUND(AT134*Source!I104*AH134*AL134,2)</f>
        <v>0</v>
      </c>
      <c r="CV134">
        <f>ROUND(Y134*Source!I104,9)</f>
        <v>7.2</v>
      </c>
      <c r="CW134">
        <v>0</v>
      </c>
      <c r="CX134">
        <f>ROUND(Y134*Source!I104,9)</f>
        <v>7.2</v>
      </c>
      <c r="CY134">
        <f>AD134</f>
        <v>0</v>
      </c>
      <c r="CZ134">
        <f>AH134</f>
        <v>0</v>
      </c>
      <c r="DA134">
        <f>AL134</f>
        <v>1</v>
      </c>
      <c r="DB134">
        <f>ROUND(ROUND(AT134*CZ134,2),6)</f>
        <v>0</v>
      </c>
      <c r="DC134">
        <f>ROUND(ROUND(AT134*AG134,2),6)</f>
        <v>0</v>
      </c>
      <c r="DD134" t="s">
        <v>3</v>
      </c>
      <c r="DE134" t="s">
        <v>3</v>
      </c>
      <c r="DF134">
        <f t="shared" si="48"/>
        <v>0</v>
      </c>
      <c r="DG134">
        <f t="shared" si="46"/>
        <v>0</v>
      </c>
      <c r="DH134">
        <f t="shared" si="43"/>
        <v>0</v>
      </c>
      <c r="DI134">
        <f t="shared" si="47"/>
        <v>0</v>
      </c>
      <c r="DJ134">
        <f>DI134</f>
        <v>0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ROW(Source!A107)</f>
        <v>107</v>
      </c>
      <c r="B135">
        <v>57248835</v>
      </c>
      <c r="C135">
        <v>57249155</v>
      </c>
      <c r="D135">
        <v>54702434</v>
      </c>
      <c r="E135">
        <v>1081</v>
      </c>
      <c r="F135">
        <v>1</v>
      </c>
      <c r="G135">
        <v>1081</v>
      </c>
      <c r="H135">
        <v>1</v>
      </c>
      <c r="I135" t="s">
        <v>457</v>
      </c>
      <c r="J135" t="s">
        <v>3</v>
      </c>
      <c r="K135" t="s">
        <v>458</v>
      </c>
      <c r="L135">
        <v>1191</v>
      </c>
      <c r="N135">
        <v>1013</v>
      </c>
      <c r="O135" t="s">
        <v>459</v>
      </c>
      <c r="P135" t="s">
        <v>459</v>
      </c>
      <c r="Q135">
        <v>1</v>
      </c>
      <c r="W135">
        <v>0</v>
      </c>
      <c r="X135">
        <v>476480486</v>
      </c>
      <c r="Y135">
        <f>(AT135*1.2)</f>
        <v>7.2119999999999997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1</v>
      </c>
      <c r="AK135">
        <v>1</v>
      </c>
      <c r="AL135">
        <v>1</v>
      </c>
      <c r="AM135">
        <v>-2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6.01</v>
      </c>
      <c r="AU135" t="s">
        <v>120</v>
      </c>
      <c r="AV135">
        <v>1</v>
      </c>
      <c r="AW135">
        <v>2</v>
      </c>
      <c r="AX135">
        <v>57249167</v>
      </c>
      <c r="AY135">
        <v>1</v>
      </c>
      <c r="AZ135">
        <v>0</v>
      </c>
      <c r="BA135">
        <v>179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U135">
        <f>ROUND(AT135*Source!I107*AH135*AL135,2)</f>
        <v>0</v>
      </c>
      <c r="CV135">
        <f>ROUND(Y135*Source!I107,9)</f>
        <v>7.2119999999999997</v>
      </c>
      <c r="CW135">
        <v>0</v>
      </c>
      <c r="CX135">
        <f>ROUND(Y135*Source!I107,9)</f>
        <v>7.2119999999999997</v>
      </c>
      <c r="CY135">
        <f>AD135</f>
        <v>0</v>
      </c>
      <c r="CZ135">
        <f>AH135</f>
        <v>0</v>
      </c>
      <c r="DA135">
        <f>AL135</f>
        <v>1</v>
      </c>
      <c r="DB135">
        <f>ROUND((ROUND(AT135*CZ135,2)*1.2),6)</f>
        <v>0</v>
      </c>
      <c r="DC135">
        <f>ROUND((ROUND(AT135*AG135,2)*1.2),6)</f>
        <v>0</v>
      </c>
      <c r="DD135" t="s">
        <v>3</v>
      </c>
      <c r="DE135" t="s">
        <v>3</v>
      </c>
      <c r="DF135">
        <f t="shared" si="48"/>
        <v>0</v>
      </c>
      <c r="DG135">
        <f t="shared" si="46"/>
        <v>0</v>
      </c>
      <c r="DH135">
        <f t="shared" si="43"/>
        <v>0</v>
      </c>
      <c r="DI135">
        <f t="shared" si="47"/>
        <v>0</v>
      </c>
      <c r="DJ135">
        <f>DI135</f>
        <v>0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ROW(Source!A107)</f>
        <v>107</v>
      </c>
      <c r="B136">
        <v>57248835</v>
      </c>
      <c r="C136">
        <v>57249155</v>
      </c>
      <c r="D136">
        <v>54768460</v>
      </c>
      <c r="E136">
        <v>1</v>
      </c>
      <c r="F136">
        <v>1</v>
      </c>
      <c r="G136">
        <v>1081</v>
      </c>
      <c r="H136">
        <v>2</v>
      </c>
      <c r="I136" t="s">
        <v>460</v>
      </c>
      <c r="J136" t="s">
        <v>461</v>
      </c>
      <c r="K136" t="s">
        <v>462</v>
      </c>
      <c r="L136">
        <v>1368</v>
      </c>
      <c r="N136">
        <v>1011</v>
      </c>
      <c r="O136" t="s">
        <v>463</v>
      </c>
      <c r="P136" t="s">
        <v>463</v>
      </c>
      <c r="Q136">
        <v>1</v>
      </c>
      <c r="W136">
        <v>0</v>
      </c>
      <c r="X136">
        <v>-2083101341</v>
      </c>
      <c r="Y136">
        <f>(AT136*1.2)</f>
        <v>0.3</v>
      </c>
      <c r="AA136">
        <v>0</v>
      </c>
      <c r="AB136">
        <v>0.84</v>
      </c>
      <c r="AC136">
        <v>0</v>
      </c>
      <c r="AD136">
        <v>0</v>
      </c>
      <c r="AE136">
        <v>0</v>
      </c>
      <c r="AF136">
        <v>0.8</v>
      </c>
      <c r="AG136">
        <v>0</v>
      </c>
      <c r="AH136">
        <v>0</v>
      </c>
      <c r="AI136">
        <v>1</v>
      </c>
      <c r="AJ136">
        <v>1</v>
      </c>
      <c r="AK136">
        <v>1</v>
      </c>
      <c r="AL136">
        <v>1</v>
      </c>
      <c r="AM136">
        <v>-2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0.25</v>
      </c>
      <c r="AU136" t="s">
        <v>120</v>
      </c>
      <c r="AV136">
        <v>0</v>
      </c>
      <c r="AW136">
        <v>2</v>
      </c>
      <c r="AX136">
        <v>57249168</v>
      </c>
      <c r="AY136">
        <v>1</v>
      </c>
      <c r="AZ136">
        <v>0</v>
      </c>
      <c r="BA136">
        <v>180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f>ROUND(Y136*Source!I107*DO136,9)</f>
        <v>0</v>
      </c>
      <c r="CX136">
        <f>ROUND(Y136*Source!I107,9)</f>
        <v>0.3</v>
      </c>
      <c r="CY136">
        <f>AB136</f>
        <v>0.84</v>
      </c>
      <c r="CZ136">
        <f>AF136</f>
        <v>0.8</v>
      </c>
      <c r="DA136">
        <f>AJ136</f>
        <v>1</v>
      </c>
      <c r="DB136">
        <f>ROUND((ROUND(AT136*CZ136,2)*1.2),6)</f>
        <v>0.24</v>
      </c>
      <c r="DC136">
        <f>ROUND((ROUND(AT136*AG136,2)*1.2),6)</f>
        <v>0</v>
      </c>
      <c r="DD136" t="s">
        <v>3</v>
      </c>
      <c r="DE136" t="s">
        <v>3</v>
      </c>
      <c r="DF136">
        <f t="shared" si="48"/>
        <v>0</v>
      </c>
      <c r="DG136">
        <f t="shared" si="46"/>
        <v>0.24</v>
      </c>
      <c r="DH136">
        <f t="shared" si="43"/>
        <v>0</v>
      </c>
      <c r="DI136">
        <f t="shared" si="47"/>
        <v>0</v>
      </c>
      <c r="DJ136">
        <f>DG136</f>
        <v>0.24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ROW(Source!A107)</f>
        <v>107</v>
      </c>
      <c r="B137">
        <v>57248835</v>
      </c>
      <c r="C137">
        <v>57249155</v>
      </c>
      <c r="D137">
        <v>54768461</v>
      </c>
      <c r="E137">
        <v>1</v>
      </c>
      <c r="F137">
        <v>1</v>
      </c>
      <c r="G137">
        <v>1081</v>
      </c>
      <c r="H137">
        <v>2</v>
      </c>
      <c r="I137" t="s">
        <v>464</v>
      </c>
      <c r="J137" t="s">
        <v>465</v>
      </c>
      <c r="K137" t="s">
        <v>466</v>
      </c>
      <c r="L137">
        <v>1368</v>
      </c>
      <c r="N137">
        <v>1011</v>
      </c>
      <c r="O137" t="s">
        <v>463</v>
      </c>
      <c r="P137" t="s">
        <v>463</v>
      </c>
      <c r="Q137">
        <v>1</v>
      </c>
      <c r="W137">
        <v>0</v>
      </c>
      <c r="X137">
        <v>1043446422</v>
      </c>
      <c r="Y137">
        <f>(AT137*1.2)</f>
        <v>0.67200000000000004</v>
      </c>
      <c r="AA137">
        <v>0</v>
      </c>
      <c r="AB137">
        <v>1.1599999999999999</v>
      </c>
      <c r="AC137">
        <v>0</v>
      </c>
      <c r="AD137">
        <v>0</v>
      </c>
      <c r="AE137">
        <v>0</v>
      </c>
      <c r="AF137">
        <v>1.1100000000000001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0.56000000000000005</v>
      </c>
      <c r="AU137" t="s">
        <v>120</v>
      </c>
      <c r="AV137">
        <v>0</v>
      </c>
      <c r="AW137">
        <v>2</v>
      </c>
      <c r="AX137">
        <v>57249169</v>
      </c>
      <c r="AY137">
        <v>1</v>
      </c>
      <c r="AZ137">
        <v>0</v>
      </c>
      <c r="BA137">
        <v>181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f>ROUND(Y137*Source!I107*DO137,9)</f>
        <v>0</v>
      </c>
      <c r="CX137">
        <f>ROUND(Y137*Source!I107,9)</f>
        <v>0.67200000000000004</v>
      </c>
      <c r="CY137">
        <f>AB137</f>
        <v>1.1599999999999999</v>
      </c>
      <c r="CZ137">
        <f>AF137</f>
        <v>1.1100000000000001</v>
      </c>
      <c r="DA137">
        <f>AJ137</f>
        <v>1</v>
      </c>
      <c r="DB137">
        <f>ROUND((ROUND(AT137*CZ137,2)*1.2),6)</f>
        <v>0.74399999999999999</v>
      </c>
      <c r="DC137">
        <f>ROUND((ROUND(AT137*AG137,2)*1.2),6)</f>
        <v>0</v>
      </c>
      <c r="DD137" t="s">
        <v>3</v>
      </c>
      <c r="DE137" t="s">
        <v>3</v>
      </c>
      <c r="DF137">
        <f t="shared" si="48"/>
        <v>0</v>
      </c>
      <c r="DG137">
        <f t="shared" si="46"/>
        <v>0.75</v>
      </c>
      <c r="DH137">
        <f t="shared" si="43"/>
        <v>0</v>
      </c>
      <c r="DI137">
        <f t="shared" si="47"/>
        <v>0</v>
      </c>
      <c r="DJ137">
        <f>DG137</f>
        <v>0.75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ROW(Source!A107)</f>
        <v>107</v>
      </c>
      <c r="B138">
        <v>57248835</v>
      </c>
      <c r="C138">
        <v>57249155</v>
      </c>
      <c r="D138">
        <v>54737470</v>
      </c>
      <c r="E138">
        <v>1</v>
      </c>
      <c r="F138">
        <v>1</v>
      </c>
      <c r="G138">
        <v>1081</v>
      </c>
      <c r="H138">
        <v>3</v>
      </c>
      <c r="I138" t="s">
        <v>467</v>
      </c>
      <c r="J138" t="s">
        <v>468</v>
      </c>
      <c r="K138" t="s">
        <v>469</v>
      </c>
      <c r="L138">
        <v>1354</v>
      </c>
      <c r="N138">
        <v>1010</v>
      </c>
      <c r="O138" t="s">
        <v>228</v>
      </c>
      <c r="P138" t="s">
        <v>228</v>
      </c>
      <c r="Q138">
        <v>1</v>
      </c>
      <c r="W138">
        <v>0</v>
      </c>
      <c r="X138">
        <v>-1352077490</v>
      </c>
      <c r="Y138">
        <f t="shared" ref="Y138:Y144" si="49">(AT138*1)</f>
        <v>7</v>
      </c>
      <c r="AA138">
        <v>0.89</v>
      </c>
      <c r="AB138">
        <v>0</v>
      </c>
      <c r="AC138">
        <v>0</v>
      </c>
      <c r="AD138">
        <v>0</v>
      </c>
      <c r="AE138">
        <v>0.89</v>
      </c>
      <c r="AF138">
        <v>0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7</v>
      </c>
      <c r="AU138" t="s">
        <v>119</v>
      </c>
      <c r="AV138">
        <v>0</v>
      </c>
      <c r="AW138">
        <v>2</v>
      </c>
      <c r="AX138">
        <v>57249170</v>
      </c>
      <c r="AY138">
        <v>1</v>
      </c>
      <c r="AZ138">
        <v>0</v>
      </c>
      <c r="BA138">
        <v>182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ROUND(Y138*Source!I107,9)</f>
        <v>7</v>
      </c>
      <c r="CY138">
        <f t="shared" ref="CY138:CY144" si="50">AA138</f>
        <v>0.89</v>
      </c>
      <c r="CZ138">
        <f t="shared" ref="CZ138:CZ144" si="51">AE138</f>
        <v>0.89</v>
      </c>
      <c r="DA138">
        <f t="shared" ref="DA138:DA144" si="52">AI138</f>
        <v>1</v>
      </c>
      <c r="DB138">
        <f t="shared" ref="DB138:DB144" si="53">ROUND((ROUND(AT138*CZ138,2)*1),6)</f>
        <v>6.23</v>
      </c>
      <c r="DC138">
        <f t="shared" ref="DC138:DC144" si="54">ROUND((ROUND(AT138*AG138,2)*1),6)</f>
        <v>0</v>
      </c>
      <c r="DD138" t="s">
        <v>3</v>
      </c>
      <c r="DE138" t="s">
        <v>3</v>
      </c>
      <c r="DF138">
        <f t="shared" si="48"/>
        <v>6.23</v>
      </c>
      <c r="DG138">
        <f t="shared" si="46"/>
        <v>0</v>
      </c>
      <c r="DH138">
        <f t="shared" si="43"/>
        <v>0</v>
      </c>
      <c r="DI138">
        <f t="shared" si="47"/>
        <v>0</v>
      </c>
      <c r="DJ138">
        <f t="shared" ref="DJ138:DJ144" si="55">DF138</f>
        <v>6.23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ROW(Source!A107)</f>
        <v>107</v>
      </c>
      <c r="B139">
        <v>57248835</v>
      </c>
      <c r="C139">
        <v>57249155</v>
      </c>
      <c r="D139">
        <v>54739012</v>
      </c>
      <c r="E139">
        <v>1</v>
      </c>
      <c r="F139">
        <v>1</v>
      </c>
      <c r="G139">
        <v>1081</v>
      </c>
      <c r="H139">
        <v>3</v>
      </c>
      <c r="I139" t="s">
        <v>470</v>
      </c>
      <c r="J139" t="s">
        <v>471</v>
      </c>
      <c r="K139" t="s">
        <v>472</v>
      </c>
      <c r="L139">
        <v>1348</v>
      </c>
      <c r="N139">
        <v>1009</v>
      </c>
      <c r="O139" t="s">
        <v>298</v>
      </c>
      <c r="P139" t="s">
        <v>298</v>
      </c>
      <c r="Q139">
        <v>1000</v>
      </c>
      <c r="W139">
        <v>0</v>
      </c>
      <c r="X139">
        <v>-1448166212</v>
      </c>
      <c r="Y139">
        <f t="shared" si="49"/>
        <v>1.0000000000000001E-5</v>
      </c>
      <c r="AA139">
        <v>14327.51</v>
      </c>
      <c r="AB139">
        <v>0</v>
      </c>
      <c r="AC139">
        <v>0</v>
      </c>
      <c r="AD139">
        <v>0</v>
      </c>
      <c r="AE139">
        <v>14327.51</v>
      </c>
      <c r="AF139">
        <v>0</v>
      </c>
      <c r="AG139">
        <v>0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1.0000000000000001E-5</v>
      </c>
      <c r="AU139" t="s">
        <v>119</v>
      </c>
      <c r="AV139">
        <v>0</v>
      </c>
      <c r="AW139">
        <v>2</v>
      </c>
      <c r="AX139">
        <v>57249171</v>
      </c>
      <c r="AY139">
        <v>1</v>
      </c>
      <c r="AZ139">
        <v>0</v>
      </c>
      <c r="BA139">
        <v>183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ROUND(Y139*Source!I107,9)</f>
        <v>1.0000000000000001E-5</v>
      </c>
      <c r="CY139">
        <f t="shared" si="50"/>
        <v>14327.51</v>
      </c>
      <c r="CZ139">
        <f t="shared" si="51"/>
        <v>14327.51</v>
      </c>
      <c r="DA139">
        <f t="shared" si="52"/>
        <v>1</v>
      </c>
      <c r="DB139">
        <f t="shared" si="53"/>
        <v>0.14000000000000001</v>
      </c>
      <c r="DC139">
        <f t="shared" si="54"/>
        <v>0</v>
      </c>
      <c r="DD139" t="s">
        <v>3</v>
      </c>
      <c r="DE139" t="s">
        <v>3</v>
      </c>
      <c r="DF139">
        <f t="shared" si="48"/>
        <v>0.14000000000000001</v>
      </c>
      <c r="DG139">
        <f t="shared" si="46"/>
        <v>0</v>
      </c>
      <c r="DH139">
        <f t="shared" si="43"/>
        <v>0</v>
      </c>
      <c r="DI139">
        <f t="shared" si="47"/>
        <v>0</v>
      </c>
      <c r="DJ139">
        <f t="shared" si="55"/>
        <v>0.14000000000000001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ROW(Source!A107)</f>
        <v>107</v>
      </c>
      <c r="B140">
        <v>57248835</v>
      </c>
      <c r="C140">
        <v>57249155</v>
      </c>
      <c r="D140">
        <v>54739257</v>
      </c>
      <c r="E140">
        <v>1</v>
      </c>
      <c r="F140">
        <v>1</v>
      </c>
      <c r="G140">
        <v>1081</v>
      </c>
      <c r="H140">
        <v>3</v>
      </c>
      <c r="I140" t="s">
        <v>473</v>
      </c>
      <c r="J140" t="s">
        <v>474</v>
      </c>
      <c r="K140" t="s">
        <v>475</v>
      </c>
      <c r="L140">
        <v>1355</v>
      </c>
      <c r="N140">
        <v>1010</v>
      </c>
      <c r="O140" t="s">
        <v>67</v>
      </c>
      <c r="P140" t="s">
        <v>67</v>
      </c>
      <c r="Q140">
        <v>100</v>
      </c>
      <c r="W140">
        <v>0</v>
      </c>
      <c r="X140">
        <v>-1635357480</v>
      </c>
      <c r="Y140">
        <f t="shared" si="49"/>
        <v>7.0000000000000007E-2</v>
      </c>
      <c r="AA140">
        <v>4.6100000000000003</v>
      </c>
      <c r="AB140">
        <v>0</v>
      </c>
      <c r="AC140">
        <v>0</v>
      </c>
      <c r="AD140">
        <v>0</v>
      </c>
      <c r="AE140">
        <v>4.6100000000000003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7.0000000000000007E-2</v>
      </c>
      <c r="AU140" t="s">
        <v>119</v>
      </c>
      <c r="AV140">
        <v>0</v>
      </c>
      <c r="AW140">
        <v>2</v>
      </c>
      <c r="AX140">
        <v>57249172</v>
      </c>
      <c r="AY140">
        <v>1</v>
      </c>
      <c r="AZ140">
        <v>0</v>
      </c>
      <c r="BA140">
        <v>184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ROUND(Y140*Source!I107,9)</f>
        <v>7.0000000000000007E-2</v>
      </c>
      <c r="CY140">
        <f t="shared" si="50"/>
        <v>4.6100000000000003</v>
      </c>
      <c r="CZ140">
        <f t="shared" si="51"/>
        <v>4.6100000000000003</v>
      </c>
      <c r="DA140">
        <f t="shared" si="52"/>
        <v>1</v>
      </c>
      <c r="DB140">
        <f t="shared" si="53"/>
        <v>0.32</v>
      </c>
      <c r="DC140">
        <f t="shared" si="54"/>
        <v>0</v>
      </c>
      <c r="DD140" t="s">
        <v>3</v>
      </c>
      <c r="DE140" t="s">
        <v>3</v>
      </c>
      <c r="DF140">
        <f t="shared" si="48"/>
        <v>0.32</v>
      </c>
      <c r="DG140">
        <f t="shared" si="46"/>
        <v>0</v>
      </c>
      <c r="DH140">
        <f t="shared" si="43"/>
        <v>0</v>
      </c>
      <c r="DI140">
        <f t="shared" si="47"/>
        <v>0</v>
      </c>
      <c r="DJ140">
        <f t="shared" si="55"/>
        <v>0.32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ROW(Source!A107)</f>
        <v>107</v>
      </c>
      <c r="B141">
        <v>57248835</v>
      </c>
      <c r="C141">
        <v>57249155</v>
      </c>
      <c r="D141">
        <v>54737684</v>
      </c>
      <c r="E141">
        <v>1</v>
      </c>
      <c r="F141">
        <v>1</v>
      </c>
      <c r="G141">
        <v>1081</v>
      </c>
      <c r="H141">
        <v>3</v>
      </c>
      <c r="I141" t="s">
        <v>476</v>
      </c>
      <c r="J141" t="s">
        <v>477</v>
      </c>
      <c r="K141" t="s">
        <v>478</v>
      </c>
      <c r="L141">
        <v>1346</v>
      </c>
      <c r="N141">
        <v>1009</v>
      </c>
      <c r="O141" t="s">
        <v>320</v>
      </c>
      <c r="P141" t="s">
        <v>320</v>
      </c>
      <c r="Q141">
        <v>1</v>
      </c>
      <c r="W141">
        <v>0</v>
      </c>
      <c r="X141">
        <v>-210355400</v>
      </c>
      <c r="Y141">
        <f t="shared" si="49"/>
        <v>4.3999999999999997E-2</v>
      </c>
      <c r="AA141">
        <v>5.01</v>
      </c>
      <c r="AB141">
        <v>0</v>
      </c>
      <c r="AC141">
        <v>0</v>
      </c>
      <c r="AD141">
        <v>0</v>
      </c>
      <c r="AE141">
        <v>5.01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4.3999999999999997E-2</v>
      </c>
      <c r="AU141" t="s">
        <v>119</v>
      </c>
      <c r="AV141">
        <v>0</v>
      </c>
      <c r="AW141">
        <v>2</v>
      </c>
      <c r="AX141">
        <v>57249173</v>
      </c>
      <c r="AY141">
        <v>1</v>
      </c>
      <c r="AZ141">
        <v>0</v>
      </c>
      <c r="BA141">
        <v>185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ROUND(Y141*Source!I107,9)</f>
        <v>4.3999999999999997E-2</v>
      </c>
      <c r="CY141">
        <f t="shared" si="50"/>
        <v>5.01</v>
      </c>
      <c r="CZ141">
        <f t="shared" si="51"/>
        <v>5.01</v>
      </c>
      <c r="DA141">
        <f t="shared" si="52"/>
        <v>1</v>
      </c>
      <c r="DB141">
        <f t="shared" si="53"/>
        <v>0.22</v>
      </c>
      <c r="DC141">
        <f t="shared" si="54"/>
        <v>0</v>
      </c>
      <c r="DD141" t="s">
        <v>3</v>
      </c>
      <c r="DE141" t="s">
        <v>3</v>
      </c>
      <c r="DF141">
        <f t="shared" si="48"/>
        <v>0.22</v>
      </c>
      <c r="DG141">
        <f t="shared" si="46"/>
        <v>0</v>
      </c>
      <c r="DH141">
        <f t="shared" si="43"/>
        <v>0</v>
      </c>
      <c r="DI141">
        <f t="shared" si="47"/>
        <v>0</v>
      </c>
      <c r="DJ141">
        <f t="shared" si="55"/>
        <v>0.22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ROW(Source!A107)</f>
        <v>107</v>
      </c>
      <c r="B142">
        <v>57248835</v>
      </c>
      <c r="C142">
        <v>57249155</v>
      </c>
      <c r="D142">
        <v>54737923</v>
      </c>
      <c r="E142">
        <v>1</v>
      </c>
      <c r="F142">
        <v>1</v>
      </c>
      <c r="G142">
        <v>1081</v>
      </c>
      <c r="H142">
        <v>3</v>
      </c>
      <c r="I142" t="s">
        <v>479</v>
      </c>
      <c r="J142" t="s">
        <v>480</v>
      </c>
      <c r="K142" t="s">
        <v>481</v>
      </c>
      <c r="L142">
        <v>1348</v>
      </c>
      <c r="N142">
        <v>1009</v>
      </c>
      <c r="O142" t="s">
        <v>298</v>
      </c>
      <c r="P142" t="s">
        <v>298</v>
      </c>
      <c r="Q142">
        <v>1000</v>
      </c>
      <c r="W142">
        <v>0</v>
      </c>
      <c r="X142">
        <v>-761454284</v>
      </c>
      <c r="Y142">
        <f t="shared" si="49"/>
        <v>2.0000000000000002E-5</v>
      </c>
      <c r="AA142">
        <v>64123.05</v>
      </c>
      <c r="AB142">
        <v>0</v>
      </c>
      <c r="AC142">
        <v>0</v>
      </c>
      <c r="AD142">
        <v>0</v>
      </c>
      <c r="AE142">
        <v>64123.05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2.0000000000000002E-5</v>
      </c>
      <c r="AU142" t="s">
        <v>119</v>
      </c>
      <c r="AV142">
        <v>0</v>
      </c>
      <c r="AW142">
        <v>2</v>
      </c>
      <c r="AX142">
        <v>57249174</v>
      </c>
      <c r="AY142">
        <v>1</v>
      </c>
      <c r="AZ142">
        <v>0</v>
      </c>
      <c r="BA142">
        <v>186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ROUND(Y142*Source!I107,9)</f>
        <v>2.0000000000000002E-5</v>
      </c>
      <c r="CY142">
        <f t="shared" si="50"/>
        <v>64123.05</v>
      </c>
      <c r="CZ142">
        <f t="shared" si="51"/>
        <v>64123.05</v>
      </c>
      <c r="DA142">
        <f t="shared" si="52"/>
        <v>1</v>
      </c>
      <c r="DB142">
        <f t="shared" si="53"/>
        <v>1.28</v>
      </c>
      <c r="DC142">
        <f t="shared" si="54"/>
        <v>0</v>
      </c>
      <c r="DD142" t="s">
        <v>3</v>
      </c>
      <c r="DE142" t="s">
        <v>3</v>
      </c>
      <c r="DF142">
        <f t="shared" si="48"/>
        <v>1.28</v>
      </c>
      <c r="DG142">
        <f t="shared" si="46"/>
        <v>0</v>
      </c>
      <c r="DH142">
        <f t="shared" ref="DH142:DH173" si="56">ROUND(ROUND(AG142,2)*CX142,2)</f>
        <v>0</v>
      </c>
      <c r="DI142">
        <f t="shared" si="47"/>
        <v>0</v>
      </c>
      <c r="DJ142">
        <f t="shared" si="55"/>
        <v>1.28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ROW(Source!A107)</f>
        <v>107</v>
      </c>
      <c r="B143">
        <v>57248835</v>
      </c>
      <c r="C143">
        <v>57249155</v>
      </c>
      <c r="D143">
        <v>54747392</v>
      </c>
      <c r="E143">
        <v>1</v>
      </c>
      <c r="F143">
        <v>1</v>
      </c>
      <c r="G143">
        <v>1081</v>
      </c>
      <c r="H143">
        <v>3</v>
      </c>
      <c r="I143" t="s">
        <v>482</v>
      </c>
      <c r="J143" t="s">
        <v>483</v>
      </c>
      <c r="K143" t="s">
        <v>484</v>
      </c>
      <c r="L143">
        <v>1354</v>
      </c>
      <c r="N143">
        <v>1010</v>
      </c>
      <c r="O143" t="s">
        <v>228</v>
      </c>
      <c r="P143" t="s">
        <v>228</v>
      </c>
      <c r="Q143">
        <v>1</v>
      </c>
      <c r="W143">
        <v>0</v>
      </c>
      <c r="X143">
        <v>-407007888</v>
      </c>
      <c r="Y143">
        <f t="shared" si="49"/>
        <v>0.09</v>
      </c>
      <c r="AA143">
        <v>10.53</v>
      </c>
      <c r="AB143">
        <v>0</v>
      </c>
      <c r="AC143">
        <v>0</v>
      </c>
      <c r="AD143">
        <v>0</v>
      </c>
      <c r="AE143">
        <v>10.53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-2</v>
      </c>
      <c r="AN143">
        <v>0</v>
      </c>
      <c r="AO143">
        <v>1</v>
      </c>
      <c r="AP143">
        <v>1</v>
      </c>
      <c r="AQ143">
        <v>0</v>
      </c>
      <c r="AR143">
        <v>0</v>
      </c>
      <c r="AS143" t="s">
        <v>3</v>
      </c>
      <c r="AT143">
        <v>0.09</v>
      </c>
      <c r="AU143" t="s">
        <v>119</v>
      </c>
      <c r="AV143">
        <v>0</v>
      </c>
      <c r="AW143">
        <v>2</v>
      </c>
      <c r="AX143">
        <v>57249175</v>
      </c>
      <c r="AY143">
        <v>1</v>
      </c>
      <c r="AZ143">
        <v>0</v>
      </c>
      <c r="BA143">
        <v>187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ROUND(Y143*Source!I107,9)</f>
        <v>0.09</v>
      </c>
      <c r="CY143">
        <f t="shared" si="50"/>
        <v>10.53</v>
      </c>
      <c r="CZ143">
        <f t="shared" si="51"/>
        <v>10.53</v>
      </c>
      <c r="DA143">
        <f t="shared" si="52"/>
        <v>1</v>
      </c>
      <c r="DB143">
        <f t="shared" si="53"/>
        <v>0.95</v>
      </c>
      <c r="DC143">
        <f t="shared" si="54"/>
        <v>0</v>
      </c>
      <c r="DD143" t="s">
        <v>3</v>
      </c>
      <c r="DE143" t="s">
        <v>3</v>
      </c>
      <c r="DF143">
        <f t="shared" si="48"/>
        <v>0.95</v>
      </c>
      <c r="DG143">
        <f t="shared" si="46"/>
        <v>0</v>
      </c>
      <c r="DH143">
        <f t="shared" si="56"/>
        <v>0</v>
      </c>
      <c r="DI143">
        <f t="shared" si="47"/>
        <v>0</v>
      </c>
      <c r="DJ143">
        <f t="shared" si="55"/>
        <v>0.95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ROW(Source!A107)</f>
        <v>107</v>
      </c>
      <c r="B144">
        <v>57248835</v>
      </c>
      <c r="C144">
        <v>57249155</v>
      </c>
      <c r="D144">
        <v>0</v>
      </c>
      <c r="E144">
        <v>0</v>
      </c>
      <c r="F144">
        <v>1</v>
      </c>
      <c r="G144">
        <v>1081</v>
      </c>
      <c r="H144">
        <v>3</v>
      </c>
      <c r="I144" t="s">
        <v>552</v>
      </c>
      <c r="J144" t="s">
        <v>552</v>
      </c>
      <c r="K144" t="s">
        <v>209</v>
      </c>
      <c r="L144">
        <v>1371</v>
      </c>
      <c r="N144">
        <v>1013</v>
      </c>
      <c r="O144" t="s">
        <v>192</v>
      </c>
      <c r="P144" t="s">
        <v>192</v>
      </c>
      <c r="Q144">
        <v>1</v>
      </c>
      <c r="W144">
        <v>0</v>
      </c>
      <c r="X144">
        <v>144102843</v>
      </c>
      <c r="Y144">
        <f t="shared" si="49"/>
        <v>1</v>
      </c>
      <c r="AA144">
        <v>2385.0700000000002</v>
      </c>
      <c r="AB144">
        <v>0</v>
      </c>
      <c r="AC144">
        <v>0</v>
      </c>
      <c r="AD144">
        <v>0</v>
      </c>
      <c r="AE144">
        <v>2385.0700000000002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1</v>
      </c>
      <c r="AU144" t="s">
        <v>119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ROUND(Y144*Source!I107,9)</f>
        <v>1</v>
      </c>
      <c r="CY144">
        <f t="shared" si="50"/>
        <v>2385.0700000000002</v>
      </c>
      <c r="CZ144">
        <f t="shared" si="51"/>
        <v>2385.0700000000002</v>
      </c>
      <c r="DA144">
        <f t="shared" si="52"/>
        <v>1</v>
      </c>
      <c r="DB144">
        <f t="shared" si="53"/>
        <v>2385.0700000000002</v>
      </c>
      <c r="DC144">
        <f t="shared" si="54"/>
        <v>0</v>
      </c>
      <c r="DD144" t="s">
        <v>3</v>
      </c>
      <c r="DE144" t="s">
        <v>3</v>
      </c>
      <c r="DF144">
        <f t="shared" si="48"/>
        <v>2385.0700000000002</v>
      </c>
      <c r="DG144">
        <f t="shared" si="46"/>
        <v>0</v>
      </c>
      <c r="DH144">
        <f t="shared" si="56"/>
        <v>0</v>
      </c>
      <c r="DI144">
        <f t="shared" si="47"/>
        <v>0</v>
      </c>
      <c r="DJ144">
        <f t="shared" si="55"/>
        <v>2385.0700000000002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ROW(Source!A108)</f>
        <v>108</v>
      </c>
      <c r="B145">
        <v>57248837</v>
      </c>
      <c r="C145">
        <v>57249155</v>
      </c>
      <c r="D145">
        <v>54702434</v>
      </c>
      <c r="E145">
        <v>1081</v>
      </c>
      <c r="F145">
        <v>1</v>
      </c>
      <c r="G145">
        <v>1081</v>
      </c>
      <c r="H145">
        <v>1</v>
      </c>
      <c r="I145" t="s">
        <v>457</v>
      </c>
      <c r="J145" t="s">
        <v>3</v>
      </c>
      <c r="K145" t="s">
        <v>458</v>
      </c>
      <c r="L145">
        <v>1191</v>
      </c>
      <c r="N145">
        <v>1013</v>
      </c>
      <c r="O145" t="s">
        <v>459</v>
      </c>
      <c r="P145" t="s">
        <v>459</v>
      </c>
      <c r="Q145">
        <v>1</v>
      </c>
      <c r="W145">
        <v>0</v>
      </c>
      <c r="X145">
        <v>476480486</v>
      </c>
      <c r="Y145">
        <f>(AT145*1.2)</f>
        <v>7.2119999999999997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5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6.01</v>
      </c>
      <c r="AU145" t="s">
        <v>120</v>
      </c>
      <c r="AV145">
        <v>1</v>
      </c>
      <c r="AW145">
        <v>2</v>
      </c>
      <c r="AX145">
        <v>57249167</v>
      </c>
      <c r="AY145">
        <v>1</v>
      </c>
      <c r="AZ145">
        <v>0</v>
      </c>
      <c r="BA145">
        <v>193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ROUND(AT145*Source!I108*AH145*AL145,2)</f>
        <v>0</v>
      </c>
      <c r="CV145">
        <f>ROUND(Y145*Source!I108,9)</f>
        <v>7.2119999999999997</v>
      </c>
      <c r="CW145">
        <v>0</v>
      </c>
      <c r="CX145">
        <f>ROUND(Y145*Source!I108,9)</f>
        <v>7.2119999999999997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ROUND((ROUND(AT145*CZ145,2)*1.2),6)</f>
        <v>0</v>
      </c>
      <c r="DC145">
        <f>ROUND((ROUND(AT145*AG145,2)*1.2),6)</f>
        <v>0</v>
      </c>
      <c r="DD145" t="s">
        <v>3</v>
      </c>
      <c r="DE145" t="s">
        <v>3</v>
      </c>
      <c r="DF145">
        <f t="shared" si="48"/>
        <v>0</v>
      </c>
      <c r="DG145">
        <f t="shared" si="46"/>
        <v>0</v>
      </c>
      <c r="DH145">
        <f t="shared" si="56"/>
        <v>0</v>
      </c>
      <c r="DI145">
        <f t="shared" si="47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ROW(Source!A108)</f>
        <v>108</v>
      </c>
      <c r="B146">
        <v>57248837</v>
      </c>
      <c r="C146">
        <v>57249155</v>
      </c>
      <c r="D146">
        <v>54768460</v>
      </c>
      <c r="E146">
        <v>1</v>
      </c>
      <c r="F146">
        <v>1</v>
      </c>
      <c r="G146">
        <v>1081</v>
      </c>
      <c r="H146">
        <v>2</v>
      </c>
      <c r="I146" t="s">
        <v>460</v>
      </c>
      <c r="J146" t="s">
        <v>461</v>
      </c>
      <c r="K146" t="s">
        <v>462</v>
      </c>
      <c r="L146">
        <v>1368</v>
      </c>
      <c r="N146">
        <v>1011</v>
      </c>
      <c r="O146" t="s">
        <v>463</v>
      </c>
      <c r="P146" t="s">
        <v>463</v>
      </c>
      <c r="Q146">
        <v>1</v>
      </c>
      <c r="W146">
        <v>0</v>
      </c>
      <c r="X146">
        <v>-2083101341</v>
      </c>
      <c r="Y146">
        <f>(AT146*1.2)</f>
        <v>0.3</v>
      </c>
      <c r="AA146">
        <v>0</v>
      </c>
      <c r="AB146">
        <v>7.92</v>
      </c>
      <c r="AC146">
        <v>0</v>
      </c>
      <c r="AD146">
        <v>0</v>
      </c>
      <c r="AE146">
        <v>0</v>
      </c>
      <c r="AF146">
        <v>0.8</v>
      </c>
      <c r="AG146">
        <v>0</v>
      </c>
      <c r="AH146">
        <v>0</v>
      </c>
      <c r="AI146">
        <v>1</v>
      </c>
      <c r="AJ146">
        <v>9.4600000000000009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0.25</v>
      </c>
      <c r="AU146" t="s">
        <v>120</v>
      </c>
      <c r="AV146">
        <v>0</v>
      </c>
      <c r="AW146">
        <v>2</v>
      </c>
      <c r="AX146">
        <v>57249168</v>
      </c>
      <c r="AY146">
        <v>1</v>
      </c>
      <c r="AZ146">
        <v>0</v>
      </c>
      <c r="BA146">
        <v>194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ROUND(Y146*Source!I108*DO146,9)</f>
        <v>0</v>
      </c>
      <c r="CX146">
        <f>ROUND(Y146*Source!I108,9)</f>
        <v>0.3</v>
      </c>
      <c r="CY146">
        <f>AB146</f>
        <v>7.92</v>
      </c>
      <c r="CZ146">
        <f>AF146</f>
        <v>0.8</v>
      </c>
      <c r="DA146">
        <f>AJ146</f>
        <v>9.4600000000000009</v>
      </c>
      <c r="DB146">
        <f>ROUND((ROUND(AT146*CZ146,2)*1.2),6)</f>
        <v>0.24</v>
      </c>
      <c r="DC146">
        <f>ROUND((ROUND(AT146*AG146,2)*1.2),6)</f>
        <v>0</v>
      </c>
      <c r="DD146" t="s">
        <v>3</v>
      </c>
      <c r="DE146" t="s">
        <v>3</v>
      </c>
      <c r="DF146">
        <f t="shared" si="48"/>
        <v>0</v>
      </c>
      <c r="DG146">
        <f>ROUND(ROUND(AF146*AJ146,2)*CX146,2)</f>
        <v>2.27</v>
      </c>
      <c r="DH146">
        <f t="shared" si="56"/>
        <v>0</v>
      </c>
      <c r="DI146">
        <f t="shared" si="47"/>
        <v>0</v>
      </c>
      <c r="DJ146">
        <f>DG146</f>
        <v>2.27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ROW(Source!A108)</f>
        <v>108</v>
      </c>
      <c r="B147">
        <v>57248837</v>
      </c>
      <c r="C147">
        <v>57249155</v>
      </c>
      <c r="D147">
        <v>54768461</v>
      </c>
      <c r="E147">
        <v>1</v>
      </c>
      <c r="F147">
        <v>1</v>
      </c>
      <c r="G147">
        <v>1081</v>
      </c>
      <c r="H147">
        <v>2</v>
      </c>
      <c r="I147" t="s">
        <v>464</v>
      </c>
      <c r="J147" t="s">
        <v>465</v>
      </c>
      <c r="K147" t="s">
        <v>466</v>
      </c>
      <c r="L147">
        <v>1368</v>
      </c>
      <c r="N147">
        <v>1011</v>
      </c>
      <c r="O147" t="s">
        <v>463</v>
      </c>
      <c r="P147" t="s">
        <v>463</v>
      </c>
      <c r="Q147">
        <v>1</v>
      </c>
      <c r="W147">
        <v>0</v>
      </c>
      <c r="X147">
        <v>1043446422</v>
      </c>
      <c r="Y147">
        <f>(AT147*1.2)</f>
        <v>0.67200000000000004</v>
      </c>
      <c r="AA147">
        <v>0</v>
      </c>
      <c r="AB147">
        <v>11.06</v>
      </c>
      <c r="AC147">
        <v>0</v>
      </c>
      <c r="AD147">
        <v>0</v>
      </c>
      <c r="AE147">
        <v>0</v>
      </c>
      <c r="AF147">
        <v>1.1100000000000001</v>
      </c>
      <c r="AG147">
        <v>0</v>
      </c>
      <c r="AH147">
        <v>0</v>
      </c>
      <c r="AI147">
        <v>1</v>
      </c>
      <c r="AJ147">
        <v>9.52</v>
      </c>
      <c r="AK147">
        <v>1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0.56000000000000005</v>
      </c>
      <c r="AU147" t="s">
        <v>120</v>
      </c>
      <c r="AV147">
        <v>0</v>
      </c>
      <c r="AW147">
        <v>2</v>
      </c>
      <c r="AX147">
        <v>57249169</v>
      </c>
      <c r="AY147">
        <v>1</v>
      </c>
      <c r="AZ147">
        <v>0</v>
      </c>
      <c r="BA147">
        <v>195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ROUND(Y147*Source!I108*DO147,9)</f>
        <v>0</v>
      </c>
      <c r="CX147">
        <f>ROUND(Y147*Source!I108,9)</f>
        <v>0.67200000000000004</v>
      </c>
      <c r="CY147">
        <f>AB147</f>
        <v>11.06</v>
      </c>
      <c r="CZ147">
        <f>AF147</f>
        <v>1.1100000000000001</v>
      </c>
      <c r="DA147">
        <f>AJ147</f>
        <v>9.52</v>
      </c>
      <c r="DB147">
        <f>ROUND((ROUND(AT147*CZ147,2)*1.2),6)</f>
        <v>0.74399999999999999</v>
      </c>
      <c r="DC147">
        <f>ROUND((ROUND(AT147*AG147,2)*1.2),6)</f>
        <v>0</v>
      </c>
      <c r="DD147" t="s">
        <v>3</v>
      </c>
      <c r="DE147" t="s">
        <v>3</v>
      </c>
      <c r="DF147">
        <f t="shared" si="48"/>
        <v>0</v>
      </c>
      <c r="DG147">
        <f>ROUND(ROUND(AF147*AJ147,2)*CX147,2)</f>
        <v>7.1</v>
      </c>
      <c r="DH147">
        <f t="shared" si="56"/>
        <v>0</v>
      </c>
      <c r="DI147">
        <f t="shared" si="47"/>
        <v>0</v>
      </c>
      <c r="DJ147">
        <f>DG147</f>
        <v>7.1</v>
      </c>
      <c r="DK147">
        <v>0</v>
      </c>
      <c r="DL147" t="s">
        <v>3</v>
      </c>
      <c r="DM147">
        <v>0</v>
      </c>
      <c r="DN147" t="s">
        <v>3</v>
      </c>
      <c r="DO147">
        <v>0</v>
      </c>
    </row>
    <row r="148" spans="1:119" x14ac:dyDescent="0.2">
      <c r="A148">
        <f>ROW(Source!A108)</f>
        <v>108</v>
      </c>
      <c r="B148">
        <v>57248837</v>
      </c>
      <c r="C148">
        <v>57249155</v>
      </c>
      <c r="D148">
        <v>54737470</v>
      </c>
      <c r="E148">
        <v>1</v>
      </c>
      <c r="F148">
        <v>1</v>
      </c>
      <c r="G148">
        <v>1081</v>
      </c>
      <c r="H148">
        <v>3</v>
      </c>
      <c r="I148" t="s">
        <v>467</v>
      </c>
      <c r="J148" t="s">
        <v>468</v>
      </c>
      <c r="K148" t="s">
        <v>469</v>
      </c>
      <c r="L148">
        <v>1354</v>
      </c>
      <c r="N148">
        <v>1010</v>
      </c>
      <c r="O148" t="s">
        <v>228</v>
      </c>
      <c r="P148" t="s">
        <v>228</v>
      </c>
      <c r="Q148">
        <v>1</v>
      </c>
      <c r="W148">
        <v>0</v>
      </c>
      <c r="X148">
        <v>-1352077490</v>
      </c>
      <c r="Y148">
        <f t="shared" ref="Y148:Y154" si="57">(AT148*1)</f>
        <v>7</v>
      </c>
      <c r="AA148">
        <v>0.83</v>
      </c>
      <c r="AB148">
        <v>0</v>
      </c>
      <c r="AC148">
        <v>0</v>
      </c>
      <c r="AD148">
        <v>0</v>
      </c>
      <c r="AE148">
        <v>0.89</v>
      </c>
      <c r="AF148">
        <v>0</v>
      </c>
      <c r="AG148">
        <v>0</v>
      </c>
      <c r="AH148">
        <v>0</v>
      </c>
      <c r="AI148">
        <v>0.93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7</v>
      </c>
      <c r="AU148" t="s">
        <v>119</v>
      </c>
      <c r="AV148">
        <v>0</v>
      </c>
      <c r="AW148">
        <v>2</v>
      </c>
      <c r="AX148">
        <v>57249170</v>
      </c>
      <c r="AY148">
        <v>1</v>
      </c>
      <c r="AZ148">
        <v>0</v>
      </c>
      <c r="BA148">
        <v>196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ROUND(Y148*Source!I108,9)</f>
        <v>7</v>
      </c>
      <c r="CY148">
        <f t="shared" ref="CY148:CY154" si="58">AA148</f>
        <v>0.83</v>
      </c>
      <c r="CZ148">
        <f t="shared" ref="CZ148:CZ154" si="59">AE148</f>
        <v>0.89</v>
      </c>
      <c r="DA148">
        <f t="shared" ref="DA148:DA154" si="60">AI148</f>
        <v>0.93</v>
      </c>
      <c r="DB148">
        <f t="shared" ref="DB148:DB154" si="61">ROUND((ROUND(AT148*CZ148,2)*1),6)</f>
        <v>6.23</v>
      </c>
      <c r="DC148">
        <f t="shared" ref="DC148:DC154" si="62">ROUND((ROUND(AT148*AG148,2)*1),6)</f>
        <v>0</v>
      </c>
      <c r="DD148" t="s">
        <v>3</v>
      </c>
      <c r="DE148" t="s">
        <v>3</v>
      </c>
      <c r="DF148">
        <f t="shared" ref="DF148:DF154" si="63">ROUND(ROUND(AE148*AI148,2)*CX148,2)</f>
        <v>5.81</v>
      </c>
      <c r="DG148">
        <f t="shared" ref="DG148:DG161" si="64">ROUND(ROUND(AF148,2)*CX148,2)</f>
        <v>0</v>
      </c>
      <c r="DH148">
        <f t="shared" si="56"/>
        <v>0</v>
      </c>
      <c r="DI148">
        <f t="shared" si="47"/>
        <v>0</v>
      </c>
      <c r="DJ148">
        <f t="shared" ref="DJ148:DJ154" si="65">DF148</f>
        <v>5.81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ROW(Source!A108)</f>
        <v>108</v>
      </c>
      <c r="B149">
        <v>57248837</v>
      </c>
      <c r="C149">
        <v>57249155</v>
      </c>
      <c r="D149">
        <v>54739012</v>
      </c>
      <c r="E149">
        <v>1</v>
      </c>
      <c r="F149">
        <v>1</v>
      </c>
      <c r="G149">
        <v>1081</v>
      </c>
      <c r="H149">
        <v>3</v>
      </c>
      <c r="I149" t="s">
        <v>470</v>
      </c>
      <c r="J149" t="s">
        <v>471</v>
      </c>
      <c r="K149" t="s">
        <v>472</v>
      </c>
      <c r="L149">
        <v>1348</v>
      </c>
      <c r="N149">
        <v>1009</v>
      </c>
      <c r="O149" t="s">
        <v>298</v>
      </c>
      <c r="P149" t="s">
        <v>298</v>
      </c>
      <c r="Q149">
        <v>1000</v>
      </c>
      <c r="W149">
        <v>0</v>
      </c>
      <c r="X149">
        <v>-1448166212</v>
      </c>
      <c r="Y149">
        <f t="shared" si="57"/>
        <v>1.0000000000000001E-5</v>
      </c>
      <c r="AA149">
        <v>109175.63</v>
      </c>
      <c r="AB149">
        <v>0</v>
      </c>
      <c r="AC149">
        <v>0</v>
      </c>
      <c r="AD149">
        <v>0</v>
      </c>
      <c r="AE149">
        <v>14327.51</v>
      </c>
      <c r="AF149">
        <v>0</v>
      </c>
      <c r="AG149">
        <v>0</v>
      </c>
      <c r="AH149">
        <v>0</v>
      </c>
      <c r="AI149">
        <v>7.62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1.0000000000000001E-5</v>
      </c>
      <c r="AU149" t="s">
        <v>119</v>
      </c>
      <c r="AV149">
        <v>0</v>
      </c>
      <c r="AW149">
        <v>2</v>
      </c>
      <c r="AX149">
        <v>57249171</v>
      </c>
      <c r="AY149">
        <v>1</v>
      </c>
      <c r="AZ149">
        <v>0</v>
      </c>
      <c r="BA149">
        <v>197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ROUND(Y149*Source!I108,9)</f>
        <v>1.0000000000000001E-5</v>
      </c>
      <c r="CY149">
        <f t="shared" si="58"/>
        <v>109175.63</v>
      </c>
      <c r="CZ149">
        <f t="shared" si="59"/>
        <v>14327.51</v>
      </c>
      <c r="DA149">
        <f t="shared" si="60"/>
        <v>7.62</v>
      </c>
      <c r="DB149">
        <f t="shared" si="61"/>
        <v>0.14000000000000001</v>
      </c>
      <c r="DC149">
        <f t="shared" si="62"/>
        <v>0</v>
      </c>
      <c r="DD149" t="s">
        <v>3</v>
      </c>
      <c r="DE149" t="s">
        <v>3</v>
      </c>
      <c r="DF149">
        <f t="shared" si="63"/>
        <v>1.0900000000000001</v>
      </c>
      <c r="DG149">
        <f t="shared" si="64"/>
        <v>0</v>
      </c>
      <c r="DH149">
        <f t="shared" si="56"/>
        <v>0</v>
      </c>
      <c r="DI149">
        <f t="shared" si="47"/>
        <v>0</v>
      </c>
      <c r="DJ149">
        <f t="shared" si="65"/>
        <v>1.0900000000000001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ROW(Source!A108)</f>
        <v>108</v>
      </c>
      <c r="B150">
        <v>57248837</v>
      </c>
      <c r="C150">
        <v>57249155</v>
      </c>
      <c r="D150">
        <v>54739257</v>
      </c>
      <c r="E150">
        <v>1</v>
      </c>
      <c r="F150">
        <v>1</v>
      </c>
      <c r="G150">
        <v>1081</v>
      </c>
      <c r="H150">
        <v>3</v>
      </c>
      <c r="I150" t="s">
        <v>473</v>
      </c>
      <c r="J150" t="s">
        <v>474</v>
      </c>
      <c r="K150" t="s">
        <v>475</v>
      </c>
      <c r="L150">
        <v>1355</v>
      </c>
      <c r="N150">
        <v>1010</v>
      </c>
      <c r="O150" t="s">
        <v>67</v>
      </c>
      <c r="P150" t="s">
        <v>67</v>
      </c>
      <c r="Q150">
        <v>100</v>
      </c>
      <c r="W150">
        <v>0</v>
      </c>
      <c r="X150">
        <v>-1635357480</v>
      </c>
      <c r="Y150">
        <f t="shared" si="57"/>
        <v>7.0000000000000007E-2</v>
      </c>
      <c r="AA150">
        <v>18.21</v>
      </c>
      <c r="AB150">
        <v>0</v>
      </c>
      <c r="AC150">
        <v>0</v>
      </c>
      <c r="AD150">
        <v>0</v>
      </c>
      <c r="AE150">
        <v>4.6100000000000003</v>
      </c>
      <c r="AF150">
        <v>0</v>
      </c>
      <c r="AG150">
        <v>0</v>
      </c>
      <c r="AH150">
        <v>0</v>
      </c>
      <c r="AI150">
        <v>3.95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7.0000000000000007E-2</v>
      </c>
      <c r="AU150" t="s">
        <v>119</v>
      </c>
      <c r="AV150">
        <v>0</v>
      </c>
      <c r="AW150">
        <v>2</v>
      </c>
      <c r="AX150">
        <v>57249172</v>
      </c>
      <c r="AY150">
        <v>1</v>
      </c>
      <c r="AZ150">
        <v>0</v>
      </c>
      <c r="BA150">
        <v>198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ROUND(Y150*Source!I108,9)</f>
        <v>7.0000000000000007E-2</v>
      </c>
      <c r="CY150">
        <f t="shared" si="58"/>
        <v>18.21</v>
      </c>
      <c r="CZ150">
        <f t="shared" si="59"/>
        <v>4.6100000000000003</v>
      </c>
      <c r="DA150">
        <f t="shared" si="60"/>
        <v>3.95</v>
      </c>
      <c r="DB150">
        <f t="shared" si="61"/>
        <v>0.32</v>
      </c>
      <c r="DC150">
        <f t="shared" si="62"/>
        <v>0</v>
      </c>
      <c r="DD150" t="s">
        <v>3</v>
      </c>
      <c r="DE150" t="s">
        <v>3</v>
      </c>
      <c r="DF150">
        <f t="shared" si="63"/>
        <v>1.27</v>
      </c>
      <c r="DG150">
        <f t="shared" si="64"/>
        <v>0</v>
      </c>
      <c r="DH150">
        <f t="shared" si="56"/>
        <v>0</v>
      </c>
      <c r="DI150">
        <f t="shared" si="47"/>
        <v>0</v>
      </c>
      <c r="DJ150">
        <f t="shared" si="65"/>
        <v>1.27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ROW(Source!A108)</f>
        <v>108</v>
      </c>
      <c r="B151">
        <v>57248837</v>
      </c>
      <c r="C151">
        <v>57249155</v>
      </c>
      <c r="D151">
        <v>54737684</v>
      </c>
      <c r="E151">
        <v>1</v>
      </c>
      <c r="F151">
        <v>1</v>
      </c>
      <c r="G151">
        <v>1081</v>
      </c>
      <c r="H151">
        <v>3</v>
      </c>
      <c r="I151" t="s">
        <v>476</v>
      </c>
      <c r="J151" t="s">
        <v>477</v>
      </c>
      <c r="K151" t="s">
        <v>478</v>
      </c>
      <c r="L151">
        <v>1346</v>
      </c>
      <c r="N151">
        <v>1009</v>
      </c>
      <c r="O151" t="s">
        <v>320</v>
      </c>
      <c r="P151" t="s">
        <v>320</v>
      </c>
      <c r="Q151">
        <v>1</v>
      </c>
      <c r="W151">
        <v>0</v>
      </c>
      <c r="X151">
        <v>-210355400</v>
      </c>
      <c r="Y151">
        <f t="shared" si="57"/>
        <v>4.3999999999999997E-2</v>
      </c>
      <c r="AA151">
        <v>58.52</v>
      </c>
      <c r="AB151">
        <v>0</v>
      </c>
      <c r="AC151">
        <v>0</v>
      </c>
      <c r="AD151">
        <v>0</v>
      </c>
      <c r="AE151">
        <v>5.01</v>
      </c>
      <c r="AF151">
        <v>0</v>
      </c>
      <c r="AG151">
        <v>0</v>
      </c>
      <c r="AH151">
        <v>0</v>
      </c>
      <c r="AI151">
        <v>11.68</v>
      </c>
      <c r="AJ151">
        <v>1</v>
      </c>
      <c r="AK151">
        <v>1</v>
      </c>
      <c r="AL151">
        <v>1</v>
      </c>
      <c r="AM151">
        <v>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4.3999999999999997E-2</v>
      </c>
      <c r="AU151" t="s">
        <v>119</v>
      </c>
      <c r="AV151">
        <v>0</v>
      </c>
      <c r="AW151">
        <v>2</v>
      </c>
      <c r="AX151">
        <v>57249173</v>
      </c>
      <c r="AY151">
        <v>1</v>
      </c>
      <c r="AZ151">
        <v>0</v>
      </c>
      <c r="BA151">
        <v>199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ROUND(Y151*Source!I108,9)</f>
        <v>4.3999999999999997E-2</v>
      </c>
      <c r="CY151">
        <f t="shared" si="58"/>
        <v>58.52</v>
      </c>
      <c r="CZ151">
        <f t="shared" si="59"/>
        <v>5.01</v>
      </c>
      <c r="DA151">
        <f t="shared" si="60"/>
        <v>11.68</v>
      </c>
      <c r="DB151">
        <f t="shared" si="61"/>
        <v>0.22</v>
      </c>
      <c r="DC151">
        <f t="shared" si="62"/>
        <v>0</v>
      </c>
      <c r="DD151" t="s">
        <v>3</v>
      </c>
      <c r="DE151" t="s">
        <v>3</v>
      </c>
      <c r="DF151">
        <f t="shared" si="63"/>
        <v>2.57</v>
      </c>
      <c r="DG151">
        <f t="shared" si="64"/>
        <v>0</v>
      </c>
      <c r="DH151">
        <f t="shared" si="56"/>
        <v>0</v>
      </c>
      <c r="DI151">
        <f t="shared" si="47"/>
        <v>0</v>
      </c>
      <c r="DJ151">
        <f t="shared" si="65"/>
        <v>2.57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ROW(Source!A108)</f>
        <v>108</v>
      </c>
      <c r="B152">
        <v>57248837</v>
      </c>
      <c r="C152">
        <v>57249155</v>
      </c>
      <c r="D152">
        <v>54737923</v>
      </c>
      <c r="E152">
        <v>1</v>
      </c>
      <c r="F152">
        <v>1</v>
      </c>
      <c r="G152">
        <v>1081</v>
      </c>
      <c r="H152">
        <v>3</v>
      </c>
      <c r="I152" t="s">
        <v>479</v>
      </c>
      <c r="J152" t="s">
        <v>480</v>
      </c>
      <c r="K152" t="s">
        <v>481</v>
      </c>
      <c r="L152">
        <v>1348</v>
      </c>
      <c r="N152">
        <v>1009</v>
      </c>
      <c r="O152" t="s">
        <v>298</v>
      </c>
      <c r="P152" t="s">
        <v>298</v>
      </c>
      <c r="Q152">
        <v>1000</v>
      </c>
      <c r="W152">
        <v>0</v>
      </c>
      <c r="X152">
        <v>-761454284</v>
      </c>
      <c r="Y152">
        <f t="shared" si="57"/>
        <v>2.0000000000000002E-5</v>
      </c>
      <c r="AA152">
        <v>1930745.04</v>
      </c>
      <c r="AB152">
        <v>0</v>
      </c>
      <c r="AC152">
        <v>0</v>
      </c>
      <c r="AD152">
        <v>0</v>
      </c>
      <c r="AE152">
        <v>64123.05</v>
      </c>
      <c r="AF152">
        <v>0</v>
      </c>
      <c r="AG152">
        <v>0</v>
      </c>
      <c r="AH152">
        <v>0</v>
      </c>
      <c r="AI152">
        <v>30.11</v>
      </c>
      <c r="AJ152">
        <v>1</v>
      </c>
      <c r="AK152">
        <v>1</v>
      </c>
      <c r="AL152">
        <v>1</v>
      </c>
      <c r="AM152">
        <v>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2.0000000000000002E-5</v>
      </c>
      <c r="AU152" t="s">
        <v>119</v>
      </c>
      <c r="AV152">
        <v>0</v>
      </c>
      <c r="AW152">
        <v>2</v>
      </c>
      <c r="AX152">
        <v>57249174</v>
      </c>
      <c r="AY152">
        <v>1</v>
      </c>
      <c r="AZ152">
        <v>0</v>
      </c>
      <c r="BA152">
        <v>200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ROUND(Y152*Source!I108,9)</f>
        <v>2.0000000000000002E-5</v>
      </c>
      <c r="CY152">
        <f t="shared" si="58"/>
        <v>1930745.04</v>
      </c>
      <c r="CZ152">
        <f t="shared" si="59"/>
        <v>64123.05</v>
      </c>
      <c r="DA152">
        <f t="shared" si="60"/>
        <v>30.11</v>
      </c>
      <c r="DB152">
        <f t="shared" si="61"/>
        <v>1.28</v>
      </c>
      <c r="DC152">
        <f t="shared" si="62"/>
        <v>0</v>
      </c>
      <c r="DD152" t="s">
        <v>3</v>
      </c>
      <c r="DE152" t="s">
        <v>3</v>
      </c>
      <c r="DF152">
        <f t="shared" si="63"/>
        <v>38.61</v>
      </c>
      <c r="DG152">
        <f t="shared" si="64"/>
        <v>0</v>
      </c>
      <c r="DH152">
        <f t="shared" si="56"/>
        <v>0</v>
      </c>
      <c r="DI152">
        <f t="shared" si="47"/>
        <v>0</v>
      </c>
      <c r="DJ152">
        <f t="shared" si="65"/>
        <v>38.61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ROW(Source!A108)</f>
        <v>108</v>
      </c>
      <c r="B153">
        <v>57248837</v>
      </c>
      <c r="C153">
        <v>57249155</v>
      </c>
      <c r="D153">
        <v>54747392</v>
      </c>
      <c r="E153">
        <v>1</v>
      </c>
      <c r="F153">
        <v>1</v>
      </c>
      <c r="G153">
        <v>1081</v>
      </c>
      <c r="H153">
        <v>3</v>
      </c>
      <c r="I153" t="s">
        <v>482</v>
      </c>
      <c r="J153" t="s">
        <v>483</v>
      </c>
      <c r="K153" t="s">
        <v>484</v>
      </c>
      <c r="L153">
        <v>1354</v>
      </c>
      <c r="N153">
        <v>1010</v>
      </c>
      <c r="O153" t="s">
        <v>228</v>
      </c>
      <c r="P153" t="s">
        <v>228</v>
      </c>
      <c r="Q153">
        <v>1</v>
      </c>
      <c r="W153">
        <v>0</v>
      </c>
      <c r="X153">
        <v>-407007888</v>
      </c>
      <c r="Y153">
        <f t="shared" si="57"/>
        <v>0.09</v>
      </c>
      <c r="AA153">
        <v>103.72</v>
      </c>
      <c r="AB153">
        <v>0</v>
      </c>
      <c r="AC153">
        <v>0</v>
      </c>
      <c r="AD153">
        <v>0</v>
      </c>
      <c r="AE153">
        <v>10.53</v>
      </c>
      <c r="AF153">
        <v>0</v>
      </c>
      <c r="AG153">
        <v>0</v>
      </c>
      <c r="AH153">
        <v>0</v>
      </c>
      <c r="AI153">
        <v>9.85</v>
      </c>
      <c r="AJ153">
        <v>1</v>
      </c>
      <c r="AK153">
        <v>1</v>
      </c>
      <c r="AL153">
        <v>1</v>
      </c>
      <c r="AM153">
        <v>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0.09</v>
      </c>
      <c r="AU153" t="s">
        <v>119</v>
      </c>
      <c r="AV153">
        <v>0</v>
      </c>
      <c r="AW153">
        <v>2</v>
      </c>
      <c r="AX153">
        <v>57249175</v>
      </c>
      <c r="AY153">
        <v>1</v>
      </c>
      <c r="AZ153">
        <v>0</v>
      </c>
      <c r="BA153">
        <v>201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ROUND(Y153*Source!I108,9)</f>
        <v>0.09</v>
      </c>
      <c r="CY153">
        <f t="shared" si="58"/>
        <v>103.72</v>
      </c>
      <c r="CZ153">
        <f t="shared" si="59"/>
        <v>10.53</v>
      </c>
      <c r="DA153">
        <f t="shared" si="60"/>
        <v>9.85</v>
      </c>
      <c r="DB153">
        <f t="shared" si="61"/>
        <v>0.95</v>
      </c>
      <c r="DC153">
        <f t="shared" si="62"/>
        <v>0</v>
      </c>
      <c r="DD153" t="s">
        <v>3</v>
      </c>
      <c r="DE153" t="s">
        <v>3</v>
      </c>
      <c r="DF153">
        <f t="shared" si="63"/>
        <v>9.33</v>
      </c>
      <c r="DG153">
        <f t="shared" si="64"/>
        <v>0</v>
      </c>
      <c r="DH153">
        <f t="shared" si="56"/>
        <v>0</v>
      </c>
      <c r="DI153">
        <f t="shared" si="47"/>
        <v>0</v>
      </c>
      <c r="DJ153">
        <f t="shared" si="65"/>
        <v>9.33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ROW(Source!A108)</f>
        <v>108</v>
      </c>
      <c r="B154">
        <v>57248837</v>
      </c>
      <c r="C154">
        <v>57249155</v>
      </c>
      <c r="D154">
        <v>0</v>
      </c>
      <c r="E154">
        <v>0</v>
      </c>
      <c r="F154">
        <v>1</v>
      </c>
      <c r="G154">
        <v>1081</v>
      </c>
      <c r="H154">
        <v>3</v>
      </c>
      <c r="I154" t="s">
        <v>552</v>
      </c>
      <c r="J154" t="s">
        <v>552</v>
      </c>
      <c r="K154" t="s">
        <v>209</v>
      </c>
      <c r="L154">
        <v>1371</v>
      </c>
      <c r="N154">
        <v>1013</v>
      </c>
      <c r="O154" t="s">
        <v>192</v>
      </c>
      <c r="P154" t="s">
        <v>192</v>
      </c>
      <c r="Q154">
        <v>1</v>
      </c>
      <c r="W154">
        <v>0</v>
      </c>
      <c r="X154">
        <v>144102843</v>
      </c>
      <c r="Y154">
        <f t="shared" si="57"/>
        <v>1</v>
      </c>
      <c r="AA154">
        <v>18054.98</v>
      </c>
      <c r="AB154">
        <v>0</v>
      </c>
      <c r="AC154">
        <v>0</v>
      </c>
      <c r="AD154">
        <v>0</v>
      </c>
      <c r="AE154">
        <v>2385.0700000000002</v>
      </c>
      <c r="AF154">
        <v>0</v>
      </c>
      <c r="AG154">
        <v>0</v>
      </c>
      <c r="AH154">
        <v>0</v>
      </c>
      <c r="AI154">
        <v>7.57</v>
      </c>
      <c r="AJ154">
        <v>1</v>
      </c>
      <c r="AK154">
        <v>1</v>
      </c>
      <c r="AL154">
        <v>1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 t="s">
        <v>3</v>
      </c>
      <c r="AT154">
        <v>1</v>
      </c>
      <c r="AU154" t="s">
        <v>119</v>
      </c>
      <c r="AV154">
        <v>0</v>
      </c>
      <c r="AW154">
        <v>1</v>
      </c>
      <c r="AX154">
        <v>-1</v>
      </c>
      <c r="AY154">
        <v>0</v>
      </c>
      <c r="AZ154">
        <v>0</v>
      </c>
      <c r="BA154" t="s">
        <v>3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ROUND(Y154*Source!I108,9)</f>
        <v>1</v>
      </c>
      <c r="CY154">
        <f t="shared" si="58"/>
        <v>18054.98</v>
      </c>
      <c r="CZ154">
        <f t="shared" si="59"/>
        <v>2385.0700000000002</v>
      </c>
      <c r="DA154">
        <f t="shared" si="60"/>
        <v>7.57</v>
      </c>
      <c r="DB154">
        <f t="shared" si="61"/>
        <v>2385.0700000000002</v>
      </c>
      <c r="DC154">
        <f t="shared" si="62"/>
        <v>0</v>
      </c>
      <c r="DD154" t="s">
        <v>3</v>
      </c>
      <c r="DE154" t="s">
        <v>3</v>
      </c>
      <c r="DF154">
        <f t="shared" si="63"/>
        <v>18054.98</v>
      </c>
      <c r="DG154">
        <f t="shared" si="64"/>
        <v>0</v>
      </c>
      <c r="DH154">
        <f t="shared" si="56"/>
        <v>0</v>
      </c>
      <c r="DI154">
        <f t="shared" si="47"/>
        <v>0</v>
      </c>
      <c r="DJ154">
        <f t="shared" si="65"/>
        <v>18054.98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ROW(Source!A111)</f>
        <v>111</v>
      </c>
      <c r="B155">
        <v>57248835</v>
      </c>
      <c r="C155">
        <v>57249186</v>
      </c>
      <c r="D155">
        <v>54702434</v>
      </c>
      <c r="E155">
        <v>1081</v>
      </c>
      <c r="F155">
        <v>1</v>
      </c>
      <c r="G155">
        <v>1081</v>
      </c>
      <c r="H155">
        <v>1</v>
      </c>
      <c r="I155" t="s">
        <v>457</v>
      </c>
      <c r="J155" t="s">
        <v>3</v>
      </c>
      <c r="K155" t="s">
        <v>458</v>
      </c>
      <c r="L155">
        <v>1191</v>
      </c>
      <c r="N155">
        <v>1013</v>
      </c>
      <c r="O155" t="s">
        <v>459</v>
      </c>
      <c r="P155" t="s">
        <v>459</v>
      </c>
      <c r="Q155">
        <v>1</v>
      </c>
      <c r="W155">
        <v>0</v>
      </c>
      <c r="X155">
        <v>476480486</v>
      </c>
      <c r="Y155">
        <f>(AT155*1.2)</f>
        <v>1.6320000000000001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1.36</v>
      </c>
      <c r="AU155" t="s">
        <v>120</v>
      </c>
      <c r="AV155">
        <v>1</v>
      </c>
      <c r="AW155">
        <v>2</v>
      </c>
      <c r="AX155">
        <v>57249193</v>
      </c>
      <c r="AY155">
        <v>1</v>
      </c>
      <c r="AZ155">
        <v>0</v>
      </c>
      <c r="BA155">
        <v>207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U155">
        <f>ROUND(AT155*Source!I111*AH155*AL155,2)</f>
        <v>0</v>
      </c>
      <c r="CV155">
        <f>ROUND(Y155*Source!I111,9)</f>
        <v>9.7919999999999998</v>
      </c>
      <c r="CW155">
        <v>0</v>
      </c>
      <c r="CX155">
        <f>ROUND(Y155*Source!I111,9)</f>
        <v>9.7919999999999998</v>
      </c>
      <c r="CY155">
        <f>AD155</f>
        <v>0</v>
      </c>
      <c r="CZ155">
        <f>AH155</f>
        <v>0</v>
      </c>
      <c r="DA155">
        <f>AL155</f>
        <v>1</v>
      </c>
      <c r="DB155">
        <f>ROUND((ROUND(AT155*CZ155,2)*1.2),6)</f>
        <v>0</v>
      </c>
      <c r="DC155">
        <f>ROUND((ROUND(AT155*AG155,2)*1.2),6)</f>
        <v>0</v>
      </c>
      <c r="DD155" t="s">
        <v>3</v>
      </c>
      <c r="DE155" t="s">
        <v>3</v>
      </c>
      <c r="DF155">
        <f t="shared" ref="DF155:DF163" si="66">ROUND(ROUND(AE155,2)*CX155,2)</f>
        <v>0</v>
      </c>
      <c r="DG155">
        <f t="shared" si="64"/>
        <v>0</v>
      </c>
      <c r="DH155">
        <f t="shared" si="56"/>
        <v>0</v>
      </c>
      <c r="DI155">
        <f t="shared" si="47"/>
        <v>0</v>
      </c>
      <c r="DJ155">
        <f>DI155</f>
        <v>0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ROW(Source!A111)</f>
        <v>111</v>
      </c>
      <c r="B156">
        <v>57248835</v>
      </c>
      <c r="C156">
        <v>57249186</v>
      </c>
      <c r="D156">
        <v>54768460</v>
      </c>
      <c r="E156">
        <v>1</v>
      </c>
      <c r="F156">
        <v>1</v>
      </c>
      <c r="G156">
        <v>1081</v>
      </c>
      <c r="H156">
        <v>2</v>
      </c>
      <c r="I156" t="s">
        <v>460</v>
      </c>
      <c r="J156" t="s">
        <v>461</v>
      </c>
      <c r="K156" t="s">
        <v>462</v>
      </c>
      <c r="L156">
        <v>1368</v>
      </c>
      <c r="N156">
        <v>1011</v>
      </c>
      <c r="O156" t="s">
        <v>463</v>
      </c>
      <c r="P156" t="s">
        <v>463</v>
      </c>
      <c r="Q156">
        <v>1</v>
      </c>
      <c r="W156">
        <v>0</v>
      </c>
      <c r="X156">
        <v>-2083101341</v>
      </c>
      <c r="Y156">
        <f>(AT156*1.2)</f>
        <v>2.0400000000000001E-2</v>
      </c>
      <c r="AA156">
        <v>0</v>
      </c>
      <c r="AB156">
        <v>0.84</v>
      </c>
      <c r="AC156">
        <v>0</v>
      </c>
      <c r="AD156">
        <v>0</v>
      </c>
      <c r="AE156">
        <v>0</v>
      </c>
      <c r="AF156">
        <v>0.8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1.7000000000000001E-2</v>
      </c>
      <c r="AU156" t="s">
        <v>120</v>
      </c>
      <c r="AV156">
        <v>0</v>
      </c>
      <c r="AW156">
        <v>2</v>
      </c>
      <c r="AX156">
        <v>57249194</v>
      </c>
      <c r="AY156">
        <v>1</v>
      </c>
      <c r="AZ156">
        <v>0</v>
      </c>
      <c r="BA156">
        <v>208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f>ROUND(Y156*Source!I111*DO156,9)</f>
        <v>0</v>
      </c>
      <c r="CX156">
        <f>ROUND(Y156*Source!I111,9)</f>
        <v>0.12239999999999999</v>
      </c>
      <c r="CY156">
        <f>AB156</f>
        <v>0.84</v>
      </c>
      <c r="CZ156">
        <f>AF156</f>
        <v>0.8</v>
      </c>
      <c r="DA156">
        <f>AJ156</f>
        <v>1</v>
      </c>
      <c r="DB156">
        <f>ROUND((ROUND(AT156*CZ156,2)*1.2),6)</f>
        <v>1.2E-2</v>
      </c>
      <c r="DC156">
        <f>ROUND((ROUND(AT156*AG156,2)*1.2),6)</f>
        <v>0</v>
      </c>
      <c r="DD156" t="s">
        <v>3</v>
      </c>
      <c r="DE156" t="s">
        <v>3</v>
      </c>
      <c r="DF156">
        <f t="shared" si="66"/>
        <v>0</v>
      </c>
      <c r="DG156">
        <f t="shared" si="64"/>
        <v>0.1</v>
      </c>
      <c r="DH156">
        <f t="shared" si="56"/>
        <v>0</v>
      </c>
      <c r="DI156">
        <f t="shared" si="47"/>
        <v>0</v>
      </c>
      <c r="DJ156">
        <f>DG156</f>
        <v>0.1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ROW(Source!A111)</f>
        <v>111</v>
      </c>
      <c r="B157">
        <v>57248835</v>
      </c>
      <c r="C157">
        <v>57249186</v>
      </c>
      <c r="D157">
        <v>54768426</v>
      </c>
      <c r="E157">
        <v>1</v>
      </c>
      <c r="F157">
        <v>1</v>
      </c>
      <c r="G157">
        <v>1081</v>
      </c>
      <c r="H157">
        <v>2</v>
      </c>
      <c r="I157" t="s">
        <v>485</v>
      </c>
      <c r="J157" t="s">
        <v>486</v>
      </c>
      <c r="K157" t="s">
        <v>487</v>
      </c>
      <c r="L157">
        <v>1368</v>
      </c>
      <c r="N157">
        <v>1011</v>
      </c>
      <c r="O157" t="s">
        <v>463</v>
      </c>
      <c r="P157" t="s">
        <v>463</v>
      </c>
      <c r="Q157">
        <v>1</v>
      </c>
      <c r="W157">
        <v>0</v>
      </c>
      <c r="X157">
        <v>-643591644</v>
      </c>
      <c r="Y157">
        <f>(AT157*1.2)</f>
        <v>2.4E-2</v>
      </c>
      <c r="AA157">
        <v>0</v>
      </c>
      <c r="AB157">
        <v>0.49</v>
      </c>
      <c r="AC157">
        <v>0</v>
      </c>
      <c r="AD157">
        <v>0</v>
      </c>
      <c r="AE157">
        <v>0</v>
      </c>
      <c r="AF157">
        <v>0.47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0.02</v>
      </c>
      <c r="AU157" t="s">
        <v>120</v>
      </c>
      <c r="AV157">
        <v>0</v>
      </c>
      <c r="AW157">
        <v>2</v>
      </c>
      <c r="AX157">
        <v>57249195</v>
      </c>
      <c r="AY157">
        <v>1</v>
      </c>
      <c r="AZ157">
        <v>0</v>
      </c>
      <c r="BA157">
        <v>209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f>ROUND(Y157*Source!I111*DO157,9)</f>
        <v>0</v>
      </c>
      <c r="CX157">
        <f>ROUND(Y157*Source!I111,9)</f>
        <v>0.14399999999999999</v>
      </c>
      <c r="CY157">
        <f>AB157</f>
        <v>0.49</v>
      </c>
      <c r="CZ157">
        <f>AF157</f>
        <v>0.47</v>
      </c>
      <c r="DA157">
        <f>AJ157</f>
        <v>1</v>
      </c>
      <c r="DB157">
        <f>ROUND((ROUND(AT157*CZ157,2)*1.2),6)</f>
        <v>1.2E-2</v>
      </c>
      <c r="DC157">
        <f>ROUND((ROUND(AT157*AG157,2)*1.2),6)</f>
        <v>0</v>
      </c>
      <c r="DD157" t="s">
        <v>3</v>
      </c>
      <c r="DE157" t="s">
        <v>3</v>
      </c>
      <c r="DF157">
        <f t="shared" si="66"/>
        <v>0</v>
      </c>
      <c r="DG157">
        <f t="shared" si="64"/>
        <v>7.0000000000000007E-2</v>
      </c>
      <c r="DH157">
        <f t="shared" si="56"/>
        <v>0</v>
      </c>
      <c r="DI157">
        <f t="shared" si="47"/>
        <v>0</v>
      </c>
      <c r="DJ157">
        <f>DG157</f>
        <v>7.0000000000000007E-2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ROW(Source!A111)</f>
        <v>111</v>
      </c>
      <c r="B158">
        <v>57248835</v>
      </c>
      <c r="C158">
        <v>57249186</v>
      </c>
      <c r="D158">
        <v>54739204</v>
      </c>
      <c r="E158">
        <v>1</v>
      </c>
      <c r="F158">
        <v>1</v>
      </c>
      <c r="G158">
        <v>1081</v>
      </c>
      <c r="H158">
        <v>3</v>
      </c>
      <c r="I158" t="s">
        <v>488</v>
      </c>
      <c r="J158" t="s">
        <v>489</v>
      </c>
      <c r="K158" t="s">
        <v>490</v>
      </c>
      <c r="L158">
        <v>1346</v>
      </c>
      <c r="N158">
        <v>1009</v>
      </c>
      <c r="O158" t="s">
        <v>320</v>
      </c>
      <c r="P158" t="s">
        <v>320</v>
      </c>
      <c r="Q158">
        <v>1</v>
      </c>
      <c r="W158">
        <v>0</v>
      </c>
      <c r="X158">
        <v>-861631226</v>
      </c>
      <c r="Y158">
        <f>(AT158*1)</f>
        <v>6.2700000000000004E-3</v>
      </c>
      <c r="AA158">
        <v>27.62</v>
      </c>
      <c r="AB158">
        <v>0</v>
      </c>
      <c r="AC158">
        <v>0</v>
      </c>
      <c r="AD158">
        <v>0</v>
      </c>
      <c r="AE158">
        <v>27.62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6.2700000000000004E-3</v>
      </c>
      <c r="AU158" t="s">
        <v>119</v>
      </c>
      <c r="AV158">
        <v>0</v>
      </c>
      <c r="AW158">
        <v>2</v>
      </c>
      <c r="AX158">
        <v>57249196</v>
      </c>
      <c r="AY158">
        <v>1</v>
      </c>
      <c r="AZ158">
        <v>0</v>
      </c>
      <c r="BA158">
        <v>210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ROUND(Y158*Source!I111,9)</f>
        <v>3.7620000000000001E-2</v>
      </c>
      <c r="CY158">
        <f>AA158</f>
        <v>27.62</v>
      </c>
      <c r="CZ158">
        <f>AE158</f>
        <v>27.62</v>
      </c>
      <c r="DA158">
        <f>AI158</f>
        <v>1</v>
      </c>
      <c r="DB158">
        <f>ROUND((ROUND(AT158*CZ158,2)*1),6)</f>
        <v>0.17</v>
      </c>
      <c r="DC158">
        <f>ROUND((ROUND(AT158*AG158,2)*1),6)</f>
        <v>0</v>
      </c>
      <c r="DD158" t="s">
        <v>3</v>
      </c>
      <c r="DE158" t="s">
        <v>3</v>
      </c>
      <c r="DF158">
        <f t="shared" si="66"/>
        <v>1.04</v>
      </c>
      <c r="DG158">
        <f t="shared" si="64"/>
        <v>0</v>
      </c>
      <c r="DH158">
        <f t="shared" si="56"/>
        <v>0</v>
      </c>
      <c r="DI158">
        <f t="shared" si="47"/>
        <v>0</v>
      </c>
      <c r="DJ158">
        <f>DF158</f>
        <v>1.04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ROW(Source!A111)</f>
        <v>111</v>
      </c>
      <c r="B159">
        <v>57248835</v>
      </c>
      <c r="C159">
        <v>57249186</v>
      </c>
      <c r="D159">
        <v>54737923</v>
      </c>
      <c r="E159">
        <v>1</v>
      </c>
      <c r="F159">
        <v>1</v>
      </c>
      <c r="G159">
        <v>1081</v>
      </c>
      <c r="H159">
        <v>3</v>
      </c>
      <c r="I159" t="s">
        <v>479</v>
      </c>
      <c r="J159" t="s">
        <v>480</v>
      </c>
      <c r="K159" t="s">
        <v>481</v>
      </c>
      <c r="L159">
        <v>1348</v>
      </c>
      <c r="N159">
        <v>1009</v>
      </c>
      <c r="O159" t="s">
        <v>298</v>
      </c>
      <c r="P159" t="s">
        <v>298</v>
      </c>
      <c r="Q159">
        <v>1000</v>
      </c>
      <c r="W159">
        <v>0</v>
      </c>
      <c r="X159">
        <v>-761454284</v>
      </c>
      <c r="Y159">
        <f>(AT159*1)</f>
        <v>1.0000000000000001E-5</v>
      </c>
      <c r="AA159">
        <v>64123.05</v>
      </c>
      <c r="AB159">
        <v>0</v>
      </c>
      <c r="AC159">
        <v>0</v>
      </c>
      <c r="AD159">
        <v>0</v>
      </c>
      <c r="AE159">
        <v>64123.05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-2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1.0000000000000001E-5</v>
      </c>
      <c r="AU159" t="s">
        <v>119</v>
      </c>
      <c r="AV159">
        <v>0</v>
      </c>
      <c r="AW159">
        <v>2</v>
      </c>
      <c r="AX159">
        <v>57249197</v>
      </c>
      <c r="AY159">
        <v>1</v>
      </c>
      <c r="AZ159">
        <v>0</v>
      </c>
      <c r="BA159">
        <v>211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ROUND(Y159*Source!I111,9)</f>
        <v>6.0000000000000002E-5</v>
      </c>
      <c r="CY159">
        <f>AA159</f>
        <v>64123.05</v>
      </c>
      <c r="CZ159">
        <f>AE159</f>
        <v>64123.05</v>
      </c>
      <c r="DA159">
        <f>AI159</f>
        <v>1</v>
      </c>
      <c r="DB159">
        <f>ROUND((ROUND(AT159*CZ159,2)*1),6)</f>
        <v>0.64</v>
      </c>
      <c r="DC159">
        <f>ROUND((ROUND(AT159*AG159,2)*1),6)</f>
        <v>0</v>
      </c>
      <c r="DD159" t="s">
        <v>3</v>
      </c>
      <c r="DE159" t="s">
        <v>3</v>
      </c>
      <c r="DF159">
        <f t="shared" si="66"/>
        <v>3.85</v>
      </c>
      <c r="DG159">
        <f t="shared" si="64"/>
        <v>0</v>
      </c>
      <c r="DH159">
        <f t="shared" si="56"/>
        <v>0</v>
      </c>
      <c r="DI159">
        <f t="shared" si="47"/>
        <v>0</v>
      </c>
      <c r="DJ159">
        <f>DF159</f>
        <v>3.85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ROW(Source!A111)</f>
        <v>111</v>
      </c>
      <c r="B160">
        <v>57248835</v>
      </c>
      <c r="C160">
        <v>57249186</v>
      </c>
      <c r="D160">
        <v>54747383</v>
      </c>
      <c r="E160">
        <v>1</v>
      </c>
      <c r="F160">
        <v>1</v>
      </c>
      <c r="G160">
        <v>1081</v>
      </c>
      <c r="H160">
        <v>3</v>
      </c>
      <c r="I160" t="s">
        <v>491</v>
      </c>
      <c r="J160" t="s">
        <v>492</v>
      </c>
      <c r="K160" t="s">
        <v>493</v>
      </c>
      <c r="L160">
        <v>1354</v>
      </c>
      <c r="N160">
        <v>1010</v>
      </c>
      <c r="O160" t="s">
        <v>228</v>
      </c>
      <c r="P160" t="s">
        <v>228</v>
      </c>
      <c r="Q160">
        <v>1</v>
      </c>
      <c r="W160">
        <v>0</v>
      </c>
      <c r="X160">
        <v>-32785108</v>
      </c>
      <c r="Y160">
        <f>(AT160*1)</f>
        <v>0.1</v>
      </c>
      <c r="AA160">
        <v>15.25</v>
      </c>
      <c r="AB160">
        <v>0</v>
      </c>
      <c r="AC160">
        <v>0</v>
      </c>
      <c r="AD160">
        <v>0</v>
      </c>
      <c r="AE160">
        <v>15.25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-2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0.1</v>
      </c>
      <c r="AU160" t="s">
        <v>119</v>
      </c>
      <c r="AV160">
        <v>0</v>
      </c>
      <c r="AW160">
        <v>2</v>
      </c>
      <c r="AX160">
        <v>57249198</v>
      </c>
      <c r="AY160">
        <v>1</v>
      </c>
      <c r="AZ160">
        <v>0</v>
      </c>
      <c r="BA160">
        <v>212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ROUND(Y160*Source!I111,9)</f>
        <v>0.6</v>
      </c>
      <c r="CY160">
        <f>AA160</f>
        <v>15.25</v>
      </c>
      <c r="CZ160">
        <f>AE160</f>
        <v>15.25</v>
      </c>
      <c r="DA160">
        <f>AI160</f>
        <v>1</v>
      </c>
      <c r="DB160">
        <f>ROUND((ROUND(AT160*CZ160,2)*1),6)</f>
        <v>1.53</v>
      </c>
      <c r="DC160">
        <f>ROUND((ROUND(AT160*AG160,2)*1),6)</f>
        <v>0</v>
      </c>
      <c r="DD160" t="s">
        <v>3</v>
      </c>
      <c r="DE160" t="s">
        <v>3</v>
      </c>
      <c r="DF160">
        <f t="shared" si="66"/>
        <v>9.15</v>
      </c>
      <c r="DG160">
        <f t="shared" si="64"/>
        <v>0</v>
      </c>
      <c r="DH160">
        <f t="shared" si="56"/>
        <v>0</v>
      </c>
      <c r="DI160">
        <f t="shared" si="47"/>
        <v>0</v>
      </c>
      <c r="DJ160">
        <f>DF160</f>
        <v>9.15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ROW(Source!A112)</f>
        <v>112</v>
      </c>
      <c r="B161">
        <v>57248837</v>
      </c>
      <c r="C161">
        <v>57249186</v>
      </c>
      <c r="D161">
        <v>54702434</v>
      </c>
      <c r="E161">
        <v>1081</v>
      </c>
      <c r="F161">
        <v>1</v>
      </c>
      <c r="G161">
        <v>1081</v>
      </c>
      <c r="H161">
        <v>1</v>
      </c>
      <c r="I161" t="s">
        <v>457</v>
      </c>
      <c r="J161" t="s">
        <v>3</v>
      </c>
      <c r="K161" t="s">
        <v>458</v>
      </c>
      <c r="L161">
        <v>1191</v>
      </c>
      <c r="N161">
        <v>1013</v>
      </c>
      <c r="O161" t="s">
        <v>459</v>
      </c>
      <c r="P161" t="s">
        <v>459</v>
      </c>
      <c r="Q161">
        <v>1</v>
      </c>
      <c r="W161">
        <v>0</v>
      </c>
      <c r="X161">
        <v>476480486</v>
      </c>
      <c r="Y161">
        <f>(AT161*1.2)</f>
        <v>1.6320000000000001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1.36</v>
      </c>
      <c r="AU161" t="s">
        <v>120</v>
      </c>
      <c r="AV161">
        <v>1</v>
      </c>
      <c r="AW161">
        <v>2</v>
      </c>
      <c r="AX161">
        <v>57249193</v>
      </c>
      <c r="AY161">
        <v>1</v>
      </c>
      <c r="AZ161">
        <v>0</v>
      </c>
      <c r="BA161">
        <v>214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ROUND(AT161*Source!I112*AH161*AL161,2)</f>
        <v>0</v>
      </c>
      <c r="CV161">
        <f>ROUND(Y161*Source!I112,9)</f>
        <v>9.7919999999999998</v>
      </c>
      <c r="CW161">
        <v>0</v>
      </c>
      <c r="CX161">
        <f>ROUND(Y161*Source!I112,9)</f>
        <v>9.7919999999999998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si="66"/>
        <v>0</v>
      </c>
      <c r="DG161">
        <f t="shared" si="64"/>
        <v>0</v>
      </c>
      <c r="DH161">
        <f t="shared" si="56"/>
        <v>0</v>
      </c>
      <c r="DI161">
        <f t="shared" si="47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ROW(Source!A112)</f>
        <v>112</v>
      </c>
      <c r="B162">
        <v>57248837</v>
      </c>
      <c r="C162">
        <v>57249186</v>
      </c>
      <c r="D162">
        <v>54768460</v>
      </c>
      <c r="E162">
        <v>1</v>
      </c>
      <c r="F162">
        <v>1</v>
      </c>
      <c r="G162">
        <v>1081</v>
      </c>
      <c r="H162">
        <v>2</v>
      </c>
      <c r="I162" t="s">
        <v>460</v>
      </c>
      <c r="J162" t="s">
        <v>461</v>
      </c>
      <c r="K162" t="s">
        <v>462</v>
      </c>
      <c r="L162">
        <v>1368</v>
      </c>
      <c r="N162">
        <v>1011</v>
      </c>
      <c r="O162" t="s">
        <v>463</v>
      </c>
      <c r="P162" t="s">
        <v>463</v>
      </c>
      <c r="Q162">
        <v>1</v>
      </c>
      <c r="W162">
        <v>0</v>
      </c>
      <c r="X162">
        <v>-2083101341</v>
      </c>
      <c r="Y162">
        <f>(AT162*1.2)</f>
        <v>2.0400000000000001E-2</v>
      </c>
      <c r="AA162">
        <v>0</v>
      </c>
      <c r="AB162">
        <v>7.92</v>
      </c>
      <c r="AC162">
        <v>0</v>
      </c>
      <c r="AD162">
        <v>0</v>
      </c>
      <c r="AE162">
        <v>0</v>
      </c>
      <c r="AF162">
        <v>0.8</v>
      </c>
      <c r="AG162">
        <v>0</v>
      </c>
      <c r="AH162">
        <v>0</v>
      </c>
      <c r="AI162">
        <v>1</v>
      </c>
      <c r="AJ162">
        <v>9.4600000000000009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1.7000000000000001E-2</v>
      </c>
      <c r="AU162" t="s">
        <v>120</v>
      </c>
      <c r="AV162">
        <v>0</v>
      </c>
      <c r="AW162">
        <v>2</v>
      </c>
      <c r="AX162">
        <v>57249194</v>
      </c>
      <c r="AY162">
        <v>1</v>
      </c>
      <c r="AZ162">
        <v>0</v>
      </c>
      <c r="BA162">
        <v>215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ROUND(Y162*Source!I112*DO162,9)</f>
        <v>0</v>
      </c>
      <c r="CX162">
        <f>ROUND(Y162*Source!I112,9)</f>
        <v>0.12239999999999999</v>
      </c>
      <c r="CY162">
        <f>AB162</f>
        <v>7.92</v>
      </c>
      <c r="CZ162">
        <f>AF162</f>
        <v>0.8</v>
      </c>
      <c r="DA162">
        <f>AJ162</f>
        <v>9.4600000000000009</v>
      </c>
      <c r="DB162">
        <f>ROUND((ROUND(AT162*CZ162,2)*1.2),6)</f>
        <v>1.2E-2</v>
      </c>
      <c r="DC162">
        <f>ROUND((ROUND(AT162*AG162,2)*1.2),6)</f>
        <v>0</v>
      </c>
      <c r="DD162" t="s">
        <v>3</v>
      </c>
      <c r="DE162" t="s">
        <v>3</v>
      </c>
      <c r="DF162">
        <f t="shared" si="66"/>
        <v>0</v>
      </c>
      <c r="DG162">
        <f>ROUND(ROUND(AF162*AJ162,2)*CX162,2)</f>
        <v>0.93</v>
      </c>
      <c r="DH162">
        <f t="shared" si="56"/>
        <v>0</v>
      </c>
      <c r="DI162">
        <f t="shared" si="47"/>
        <v>0</v>
      </c>
      <c r="DJ162">
        <f>DG162</f>
        <v>0.93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ROW(Source!A112)</f>
        <v>112</v>
      </c>
      <c r="B163">
        <v>57248837</v>
      </c>
      <c r="C163">
        <v>57249186</v>
      </c>
      <c r="D163">
        <v>54768426</v>
      </c>
      <c r="E163">
        <v>1</v>
      </c>
      <c r="F163">
        <v>1</v>
      </c>
      <c r="G163">
        <v>1081</v>
      </c>
      <c r="H163">
        <v>2</v>
      </c>
      <c r="I163" t="s">
        <v>485</v>
      </c>
      <c r="J163" t="s">
        <v>486</v>
      </c>
      <c r="K163" t="s">
        <v>487</v>
      </c>
      <c r="L163">
        <v>1368</v>
      </c>
      <c r="N163">
        <v>1011</v>
      </c>
      <c r="O163" t="s">
        <v>463</v>
      </c>
      <c r="P163" t="s">
        <v>463</v>
      </c>
      <c r="Q163">
        <v>1</v>
      </c>
      <c r="W163">
        <v>0</v>
      </c>
      <c r="X163">
        <v>-643591644</v>
      </c>
      <c r="Y163">
        <f>(AT163*1.2)</f>
        <v>2.4E-2</v>
      </c>
      <c r="AA163">
        <v>0</v>
      </c>
      <c r="AB163">
        <v>4.75</v>
      </c>
      <c r="AC163">
        <v>0</v>
      </c>
      <c r="AD163">
        <v>0</v>
      </c>
      <c r="AE163">
        <v>0</v>
      </c>
      <c r="AF163">
        <v>0.47</v>
      </c>
      <c r="AG163">
        <v>0</v>
      </c>
      <c r="AH163">
        <v>0</v>
      </c>
      <c r="AI163">
        <v>1</v>
      </c>
      <c r="AJ163">
        <v>9.66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0.02</v>
      </c>
      <c r="AU163" t="s">
        <v>120</v>
      </c>
      <c r="AV163">
        <v>0</v>
      </c>
      <c r="AW163">
        <v>2</v>
      </c>
      <c r="AX163">
        <v>57249195</v>
      </c>
      <c r="AY163">
        <v>1</v>
      </c>
      <c r="AZ163">
        <v>0</v>
      </c>
      <c r="BA163">
        <v>216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ROUND(Y163*Source!I112*DO163,9)</f>
        <v>0</v>
      </c>
      <c r="CX163">
        <f>ROUND(Y163*Source!I112,9)</f>
        <v>0.14399999999999999</v>
      </c>
      <c r="CY163">
        <f>AB163</f>
        <v>4.75</v>
      </c>
      <c r="CZ163">
        <f>AF163</f>
        <v>0.47</v>
      </c>
      <c r="DA163">
        <f>AJ163</f>
        <v>9.66</v>
      </c>
      <c r="DB163">
        <f>ROUND((ROUND(AT163*CZ163,2)*1.2),6)</f>
        <v>1.2E-2</v>
      </c>
      <c r="DC163">
        <f>ROUND((ROUND(AT163*AG163,2)*1.2),6)</f>
        <v>0</v>
      </c>
      <c r="DD163" t="s">
        <v>3</v>
      </c>
      <c r="DE163" t="s">
        <v>3</v>
      </c>
      <c r="DF163">
        <f t="shared" si="66"/>
        <v>0</v>
      </c>
      <c r="DG163">
        <f>ROUND(ROUND(AF163*AJ163,2)*CX163,2)</f>
        <v>0.65</v>
      </c>
      <c r="DH163">
        <f t="shared" si="56"/>
        <v>0</v>
      </c>
      <c r="DI163">
        <f t="shared" si="47"/>
        <v>0</v>
      </c>
      <c r="DJ163">
        <f>DG163</f>
        <v>0.65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ROW(Source!A112)</f>
        <v>112</v>
      </c>
      <c r="B164">
        <v>57248837</v>
      </c>
      <c r="C164">
        <v>57249186</v>
      </c>
      <c r="D164">
        <v>54739204</v>
      </c>
      <c r="E164">
        <v>1</v>
      </c>
      <c r="F164">
        <v>1</v>
      </c>
      <c r="G164">
        <v>1081</v>
      </c>
      <c r="H164">
        <v>3</v>
      </c>
      <c r="I164" t="s">
        <v>488</v>
      </c>
      <c r="J164" t="s">
        <v>489</v>
      </c>
      <c r="K164" t="s">
        <v>490</v>
      </c>
      <c r="L164">
        <v>1346</v>
      </c>
      <c r="N164">
        <v>1009</v>
      </c>
      <c r="O164" t="s">
        <v>320</v>
      </c>
      <c r="P164" t="s">
        <v>320</v>
      </c>
      <c r="Q164">
        <v>1</v>
      </c>
      <c r="W164">
        <v>0</v>
      </c>
      <c r="X164">
        <v>-861631226</v>
      </c>
      <c r="Y164">
        <f>(AT164*1)</f>
        <v>6.2700000000000004E-3</v>
      </c>
      <c r="AA164">
        <v>163.51</v>
      </c>
      <c r="AB164">
        <v>0</v>
      </c>
      <c r="AC164">
        <v>0</v>
      </c>
      <c r="AD164">
        <v>0</v>
      </c>
      <c r="AE164">
        <v>27.62</v>
      </c>
      <c r="AF164">
        <v>0</v>
      </c>
      <c r="AG164">
        <v>0</v>
      </c>
      <c r="AH164">
        <v>0</v>
      </c>
      <c r="AI164">
        <v>5.92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6.2700000000000004E-3</v>
      </c>
      <c r="AU164" t="s">
        <v>119</v>
      </c>
      <c r="AV164">
        <v>0</v>
      </c>
      <c r="AW164">
        <v>2</v>
      </c>
      <c r="AX164">
        <v>57249196</v>
      </c>
      <c r="AY164">
        <v>1</v>
      </c>
      <c r="AZ164">
        <v>0</v>
      </c>
      <c r="BA164">
        <v>217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ROUND(Y164*Source!I112,9)</f>
        <v>3.7620000000000001E-2</v>
      </c>
      <c r="CY164">
        <f>AA164</f>
        <v>163.51</v>
      </c>
      <c r="CZ164">
        <f>AE164</f>
        <v>27.62</v>
      </c>
      <c r="DA164">
        <f>AI164</f>
        <v>5.92</v>
      </c>
      <c r="DB164">
        <f>ROUND((ROUND(AT164*CZ164,2)*1),6)</f>
        <v>0.17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6.15</v>
      </c>
      <c r="DG164">
        <f t="shared" ref="DG164:DG183" si="67">ROUND(ROUND(AF164,2)*CX164,2)</f>
        <v>0</v>
      </c>
      <c r="DH164">
        <f t="shared" si="56"/>
        <v>0</v>
      </c>
      <c r="DI164">
        <f t="shared" si="47"/>
        <v>0</v>
      </c>
      <c r="DJ164">
        <f>DF164</f>
        <v>6.15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ROW(Source!A112)</f>
        <v>112</v>
      </c>
      <c r="B165">
        <v>57248837</v>
      </c>
      <c r="C165">
        <v>57249186</v>
      </c>
      <c r="D165">
        <v>54737923</v>
      </c>
      <c r="E165">
        <v>1</v>
      </c>
      <c r="F165">
        <v>1</v>
      </c>
      <c r="G165">
        <v>1081</v>
      </c>
      <c r="H165">
        <v>3</v>
      </c>
      <c r="I165" t="s">
        <v>479</v>
      </c>
      <c r="J165" t="s">
        <v>480</v>
      </c>
      <c r="K165" t="s">
        <v>481</v>
      </c>
      <c r="L165">
        <v>1348</v>
      </c>
      <c r="N165">
        <v>1009</v>
      </c>
      <c r="O165" t="s">
        <v>298</v>
      </c>
      <c r="P165" t="s">
        <v>298</v>
      </c>
      <c r="Q165">
        <v>1000</v>
      </c>
      <c r="W165">
        <v>0</v>
      </c>
      <c r="X165">
        <v>-761454284</v>
      </c>
      <c r="Y165">
        <f>(AT165*1)</f>
        <v>1.0000000000000001E-5</v>
      </c>
      <c r="AA165">
        <v>1930745.04</v>
      </c>
      <c r="AB165">
        <v>0</v>
      </c>
      <c r="AC165">
        <v>0</v>
      </c>
      <c r="AD165">
        <v>0</v>
      </c>
      <c r="AE165">
        <v>64123.05</v>
      </c>
      <c r="AF165">
        <v>0</v>
      </c>
      <c r="AG165">
        <v>0</v>
      </c>
      <c r="AH165">
        <v>0</v>
      </c>
      <c r="AI165">
        <v>30.11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1.0000000000000001E-5</v>
      </c>
      <c r="AU165" t="s">
        <v>119</v>
      </c>
      <c r="AV165">
        <v>0</v>
      </c>
      <c r="AW165">
        <v>2</v>
      </c>
      <c r="AX165">
        <v>57249197</v>
      </c>
      <c r="AY165">
        <v>1</v>
      </c>
      <c r="AZ165">
        <v>0</v>
      </c>
      <c r="BA165">
        <v>218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ROUND(Y165*Source!I112,9)</f>
        <v>6.0000000000000002E-5</v>
      </c>
      <c r="CY165">
        <f>AA165</f>
        <v>1930745.04</v>
      </c>
      <c r="CZ165">
        <f>AE165</f>
        <v>64123.05</v>
      </c>
      <c r="DA165">
        <f>AI165</f>
        <v>30.11</v>
      </c>
      <c r="DB165">
        <f>ROUND((ROUND(AT165*CZ165,2)*1),6)</f>
        <v>0.64</v>
      </c>
      <c r="DC165">
        <f>ROUND((ROUND(AT165*AG165,2)*1),6)</f>
        <v>0</v>
      </c>
      <c r="DD165" t="s">
        <v>3</v>
      </c>
      <c r="DE165" t="s">
        <v>3</v>
      </c>
      <c r="DF165">
        <f>ROUND(ROUND(AE165*AI165,2)*CX165,2)</f>
        <v>115.84</v>
      </c>
      <c r="DG165">
        <f t="shared" si="67"/>
        <v>0</v>
      </c>
      <c r="DH165">
        <f t="shared" si="56"/>
        <v>0</v>
      </c>
      <c r="DI165">
        <f t="shared" si="47"/>
        <v>0</v>
      </c>
      <c r="DJ165">
        <f>DF165</f>
        <v>115.84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ROW(Source!A112)</f>
        <v>112</v>
      </c>
      <c r="B166">
        <v>57248837</v>
      </c>
      <c r="C166">
        <v>57249186</v>
      </c>
      <c r="D166">
        <v>54747383</v>
      </c>
      <c r="E166">
        <v>1</v>
      </c>
      <c r="F166">
        <v>1</v>
      </c>
      <c r="G166">
        <v>1081</v>
      </c>
      <c r="H166">
        <v>3</v>
      </c>
      <c r="I166" t="s">
        <v>491</v>
      </c>
      <c r="J166" t="s">
        <v>492</v>
      </c>
      <c r="K166" t="s">
        <v>493</v>
      </c>
      <c r="L166">
        <v>1354</v>
      </c>
      <c r="N166">
        <v>1010</v>
      </c>
      <c r="O166" t="s">
        <v>228</v>
      </c>
      <c r="P166" t="s">
        <v>228</v>
      </c>
      <c r="Q166">
        <v>1</v>
      </c>
      <c r="W166">
        <v>0</v>
      </c>
      <c r="X166">
        <v>-32785108</v>
      </c>
      <c r="Y166">
        <f>(AT166*1)</f>
        <v>0.1</v>
      </c>
      <c r="AA166">
        <v>36.14</v>
      </c>
      <c r="AB166">
        <v>0</v>
      </c>
      <c r="AC166">
        <v>0</v>
      </c>
      <c r="AD166">
        <v>0</v>
      </c>
      <c r="AE166">
        <v>15.25</v>
      </c>
      <c r="AF166">
        <v>0</v>
      </c>
      <c r="AG166">
        <v>0</v>
      </c>
      <c r="AH166">
        <v>0</v>
      </c>
      <c r="AI166">
        <v>2.37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</v>
      </c>
      <c r="AU166" t="s">
        <v>119</v>
      </c>
      <c r="AV166">
        <v>0</v>
      </c>
      <c r="AW166">
        <v>2</v>
      </c>
      <c r="AX166">
        <v>57249198</v>
      </c>
      <c r="AY166">
        <v>1</v>
      </c>
      <c r="AZ166">
        <v>0</v>
      </c>
      <c r="BA166">
        <v>219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ROUND(Y166*Source!I112,9)</f>
        <v>0.6</v>
      </c>
      <c r="CY166">
        <f>AA166</f>
        <v>36.14</v>
      </c>
      <c r="CZ166">
        <f>AE166</f>
        <v>15.25</v>
      </c>
      <c r="DA166">
        <f>AI166</f>
        <v>2.37</v>
      </c>
      <c r="DB166">
        <f>ROUND((ROUND(AT166*CZ166,2)*1),6)</f>
        <v>1.53</v>
      </c>
      <c r="DC166">
        <f>ROUND((ROUND(AT166*AG166,2)*1),6)</f>
        <v>0</v>
      </c>
      <c r="DD166" t="s">
        <v>3</v>
      </c>
      <c r="DE166" t="s">
        <v>3</v>
      </c>
      <c r="DF166">
        <f>ROUND(ROUND(AE166*AI166,2)*CX166,2)</f>
        <v>21.68</v>
      </c>
      <c r="DG166">
        <f t="shared" si="67"/>
        <v>0</v>
      </c>
      <c r="DH166">
        <f t="shared" si="56"/>
        <v>0</v>
      </c>
      <c r="DI166">
        <f t="shared" si="47"/>
        <v>0</v>
      </c>
      <c r="DJ166">
        <f>DF166</f>
        <v>21.68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ROW(Source!A123)</f>
        <v>123</v>
      </c>
      <c r="B167">
        <v>57248835</v>
      </c>
      <c r="C167">
        <v>57249221</v>
      </c>
      <c r="D167">
        <v>54702434</v>
      </c>
      <c r="E167">
        <v>1081</v>
      </c>
      <c r="F167">
        <v>1</v>
      </c>
      <c r="G167">
        <v>1081</v>
      </c>
      <c r="H167">
        <v>1</v>
      </c>
      <c r="I167" t="s">
        <v>457</v>
      </c>
      <c r="J167" t="s">
        <v>3</v>
      </c>
      <c r="K167" t="s">
        <v>458</v>
      </c>
      <c r="L167">
        <v>1191</v>
      </c>
      <c r="N167">
        <v>1013</v>
      </c>
      <c r="O167" t="s">
        <v>459</v>
      </c>
      <c r="P167" t="s">
        <v>459</v>
      </c>
      <c r="Q167">
        <v>1</v>
      </c>
      <c r="W167">
        <v>0</v>
      </c>
      <c r="X167">
        <v>476480486</v>
      </c>
      <c r="Y167">
        <f>(AT167*1.2)</f>
        <v>2.016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1</v>
      </c>
      <c r="AK167">
        <v>1</v>
      </c>
      <c r="AL167">
        <v>1</v>
      </c>
      <c r="AM167">
        <v>-2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1.68</v>
      </c>
      <c r="AU167" t="s">
        <v>120</v>
      </c>
      <c r="AV167">
        <v>1</v>
      </c>
      <c r="AW167">
        <v>2</v>
      </c>
      <c r="AX167">
        <v>57249223</v>
      </c>
      <c r="AY167">
        <v>1</v>
      </c>
      <c r="AZ167">
        <v>0</v>
      </c>
      <c r="BA167">
        <v>221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U167">
        <f>ROUND(AT167*Source!I123*AH167*AL167,2)</f>
        <v>0</v>
      </c>
      <c r="CV167">
        <f>ROUND(Y167*Source!I123,9)</f>
        <v>16.128</v>
      </c>
      <c r="CW167">
        <v>0</v>
      </c>
      <c r="CX167">
        <f>ROUND(Y167*Source!I123,9)</f>
        <v>16.128</v>
      </c>
      <c r="CY167">
        <f>AD167</f>
        <v>0</v>
      </c>
      <c r="CZ167">
        <f>AH167</f>
        <v>0</v>
      </c>
      <c r="DA167">
        <f>AL167</f>
        <v>1</v>
      </c>
      <c r="DB167">
        <f>ROUND((ROUND(AT167*CZ167,2)*1.2),6)</f>
        <v>0</v>
      </c>
      <c r="DC167">
        <f>ROUND((ROUND(AT167*AG167,2)*1.2),6)</f>
        <v>0</v>
      </c>
      <c r="DD167" t="s">
        <v>3</v>
      </c>
      <c r="DE167" t="s">
        <v>3</v>
      </c>
      <c r="DF167">
        <f t="shared" ref="DF167:DF172" si="68">ROUND(ROUND(AE167,2)*CX167,2)</f>
        <v>0</v>
      </c>
      <c r="DG167">
        <f t="shared" si="67"/>
        <v>0</v>
      </c>
      <c r="DH167">
        <f t="shared" si="56"/>
        <v>0</v>
      </c>
      <c r="DI167">
        <f t="shared" si="47"/>
        <v>0</v>
      </c>
      <c r="DJ167">
        <f>DI167</f>
        <v>0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ROW(Source!A124)</f>
        <v>124</v>
      </c>
      <c r="B168">
        <v>57248837</v>
      </c>
      <c r="C168">
        <v>57249221</v>
      </c>
      <c r="D168">
        <v>54702434</v>
      </c>
      <c r="E168">
        <v>1081</v>
      </c>
      <c r="F168">
        <v>1</v>
      </c>
      <c r="G168">
        <v>1081</v>
      </c>
      <c r="H168">
        <v>1</v>
      </c>
      <c r="I168" t="s">
        <v>457</v>
      </c>
      <c r="J168" t="s">
        <v>3</v>
      </c>
      <c r="K168" t="s">
        <v>458</v>
      </c>
      <c r="L168">
        <v>1191</v>
      </c>
      <c r="N168">
        <v>1013</v>
      </c>
      <c r="O168" t="s">
        <v>459</v>
      </c>
      <c r="P168" t="s">
        <v>459</v>
      </c>
      <c r="Q168">
        <v>1</v>
      </c>
      <c r="W168">
        <v>0</v>
      </c>
      <c r="X168">
        <v>476480486</v>
      </c>
      <c r="Y168">
        <f>(AT168*1.2)</f>
        <v>2.016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5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1.68</v>
      </c>
      <c r="AU168" t="s">
        <v>120</v>
      </c>
      <c r="AV168">
        <v>1</v>
      </c>
      <c r="AW168">
        <v>2</v>
      </c>
      <c r="AX168">
        <v>57249223</v>
      </c>
      <c r="AY168">
        <v>1</v>
      </c>
      <c r="AZ168">
        <v>0</v>
      </c>
      <c r="BA168">
        <v>222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U168">
        <f>ROUND(AT168*Source!I124*AH168*AL168,2)</f>
        <v>0</v>
      </c>
      <c r="CV168">
        <f>ROUND(Y168*Source!I124,9)</f>
        <v>16.128</v>
      </c>
      <c r="CW168">
        <v>0</v>
      </c>
      <c r="CX168">
        <f>ROUND(Y168*Source!I124,9)</f>
        <v>16.128</v>
      </c>
      <c r="CY168">
        <f>AD168</f>
        <v>0</v>
      </c>
      <c r="CZ168">
        <f>AH168</f>
        <v>0</v>
      </c>
      <c r="DA168">
        <f>AL168</f>
        <v>1</v>
      </c>
      <c r="DB168">
        <f>ROUND((ROUND(AT168*CZ168,2)*1.2),6)</f>
        <v>0</v>
      </c>
      <c r="DC168">
        <f>ROUND((ROUND(AT168*AG168,2)*1.2),6)</f>
        <v>0</v>
      </c>
      <c r="DD168" t="s">
        <v>3</v>
      </c>
      <c r="DE168" t="s">
        <v>3</v>
      </c>
      <c r="DF168">
        <f t="shared" si="68"/>
        <v>0</v>
      </c>
      <c r="DG168">
        <f t="shared" si="67"/>
        <v>0</v>
      </c>
      <c r="DH168">
        <f t="shared" si="56"/>
        <v>0</v>
      </c>
      <c r="DI168">
        <f t="shared" si="47"/>
        <v>0</v>
      </c>
      <c r="DJ168">
        <f>DI168</f>
        <v>0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ROW(Source!A127)</f>
        <v>127</v>
      </c>
      <c r="B169">
        <v>57248835</v>
      </c>
      <c r="C169">
        <v>57249230</v>
      </c>
      <c r="D169">
        <v>54702434</v>
      </c>
      <c r="E169">
        <v>1081</v>
      </c>
      <c r="F169">
        <v>1</v>
      </c>
      <c r="G169">
        <v>1081</v>
      </c>
      <c r="H169">
        <v>1</v>
      </c>
      <c r="I169" t="s">
        <v>457</v>
      </c>
      <c r="J169" t="s">
        <v>3</v>
      </c>
      <c r="K169" t="s">
        <v>458</v>
      </c>
      <c r="L169">
        <v>1191</v>
      </c>
      <c r="N169">
        <v>1013</v>
      </c>
      <c r="O169" t="s">
        <v>459</v>
      </c>
      <c r="P169" t="s">
        <v>459</v>
      </c>
      <c r="Q169">
        <v>1</v>
      </c>
      <c r="W169">
        <v>0</v>
      </c>
      <c r="X169">
        <v>476480486</v>
      </c>
      <c r="Y169">
        <f>(AT169*1.2)</f>
        <v>1.2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1</v>
      </c>
      <c r="AU169" t="s">
        <v>120</v>
      </c>
      <c r="AV169">
        <v>1</v>
      </c>
      <c r="AW169">
        <v>2</v>
      </c>
      <c r="AX169">
        <v>57249234</v>
      </c>
      <c r="AY169">
        <v>1</v>
      </c>
      <c r="AZ169">
        <v>0</v>
      </c>
      <c r="BA169">
        <v>223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ROUND(AT169*Source!I127*AH169*AL169,2)</f>
        <v>0</v>
      </c>
      <c r="CV169">
        <f>ROUND(Y169*Source!I127,9)</f>
        <v>4.8</v>
      </c>
      <c r="CW169">
        <v>0</v>
      </c>
      <c r="CX169">
        <f>ROUND(Y169*Source!I127,9)</f>
        <v>4.8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si="68"/>
        <v>0</v>
      </c>
      <c r="DG169">
        <f t="shared" si="67"/>
        <v>0</v>
      </c>
      <c r="DH169">
        <f t="shared" si="56"/>
        <v>0</v>
      </c>
      <c r="DI169">
        <f t="shared" si="47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ROW(Source!A127)</f>
        <v>127</v>
      </c>
      <c r="B170">
        <v>57248835</v>
      </c>
      <c r="C170">
        <v>57249230</v>
      </c>
      <c r="D170">
        <v>54737923</v>
      </c>
      <c r="E170">
        <v>1</v>
      </c>
      <c r="F170">
        <v>1</v>
      </c>
      <c r="G170">
        <v>1081</v>
      </c>
      <c r="H170">
        <v>3</v>
      </c>
      <c r="I170" t="s">
        <v>479</v>
      </c>
      <c r="J170" t="s">
        <v>480</v>
      </c>
      <c r="K170" t="s">
        <v>481</v>
      </c>
      <c r="L170">
        <v>1348</v>
      </c>
      <c r="N170">
        <v>1009</v>
      </c>
      <c r="O170" t="s">
        <v>298</v>
      </c>
      <c r="P170" t="s">
        <v>298</v>
      </c>
      <c r="Q170">
        <v>1000</v>
      </c>
      <c r="W170">
        <v>0</v>
      </c>
      <c r="X170">
        <v>-761454284</v>
      </c>
      <c r="Y170">
        <f>(AT170*1)</f>
        <v>1.0000000000000001E-5</v>
      </c>
      <c r="AA170">
        <v>64123.05</v>
      </c>
      <c r="AB170">
        <v>0</v>
      </c>
      <c r="AC170">
        <v>0</v>
      </c>
      <c r="AD170">
        <v>0</v>
      </c>
      <c r="AE170">
        <v>64123.05</v>
      </c>
      <c r="AF170">
        <v>0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1.0000000000000001E-5</v>
      </c>
      <c r="AU170" t="s">
        <v>119</v>
      </c>
      <c r="AV170">
        <v>0</v>
      </c>
      <c r="AW170">
        <v>2</v>
      </c>
      <c r="AX170">
        <v>57249235</v>
      </c>
      <c r="AY170">
        <v>1</v>
      </c>
      <c r="AZ170">
        <v>0</v>
      </c>
      <c r="BA170">
        <v>224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ROUND(Y170*Source!I127,9)</f>
        <v>4.0000000000000003E-5</v>
      </c>
      <c r="CY170">
        <f>AA170</f>
        <v>64123.05</v>
      </c>
      <c r="CZ170">
        <f>AE170</f>
        <v>64123.05</v>
      </c>
      <c r="DA170">
        <f>AI170</f>
        <v>1</v>
      </c>
      <c r="DB170">
        <f>ROUND((ROUND(AT170*CZ170,2)*1),6)</f>
        <v>0.64</v>
      </c>
      <c r="DC170">
        <f>ROUND((ROUND(AT170*AG170,2)*1),6)</f>
        <v>0</v>
      </c>
      <c r="DD170" t="s">
        <v>3</v>
      </c>
      <c r="DE170" t="s">
        <v>3</v>
      </c>
      <c r="DF170">
        <f t="shared" si="68"/>
        <v>2.56</v>
      </c>
      <c r="DG170">
        <f t="shared" si="67"/>
        <v>0</v>
      </c>
      <c r="DH170">
        <f t="shared" si="56"/>
        <v>0</v>
      </c>
      <c r="DI170">
        <f t="shared" si="47"/>
        <v>0</v>
      </c>
      <c r="DJ170">
        <f>DF170</f>
        <v>2.56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ROW(Source!A127)</f>
        <v>127</v>
      </c>
      <c r="B171">
        <v>57248835</v>
      </c>
      <c r="C171">
        <v>57249230</v>
      </c>
      <c r="D171">
        <v>54766072</v>
      </c>
      <c r="E171">
        <v>1</v>
      </c>
      <c r="F171">
        <v>1</v>
      </c>
      <c r="G171">
        <v>1081</v>
      </c>
      <c r="H171">
        <v>3</v>
      </c>
      <c r="I171" t="s">
        <v>494</v>
      </c>
      <c r="J171" t="s">
        <v>495</v>
      </c>
      <c r="K171" t="s">
        <v>496</v>
      </c>
      <c r="L171">
        <v>1303</v>
      </c>
      <c r="N171">
        <v>1003</v>
      </c>
      <c r="O171" t="s">
        <v>390</v>
      </c>
      <c r="P171" t="s">
        <v>390</v>
      </c>
      <c r="Q171">
        <v>1000</v>
      </c>
      <c r="W171">
        <v>0</v>
      </c>
      <c r="X171">
        <v>-1692873835</v>
      </c>
      <c r="Y171">
        <f>(AT171*1)</f>
        <v>2E-3</v>
      </c>
      <c r="AA171">
        <v>516.63</v>
      </c>
      <c r="AB171">
        <v>0</v>
      </c>
      <c r="AC171">
        <v>0</v>
      </c>
      <c r="AD171">
        <v>0</v>
      </c>
      <c r="AE171">
        <v>516.63</v>
      </c>
      <c r="AF171">
        <v>0</v>
      </c>
      <c r="AG171">
        <v>0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2E-3</v>
      </c>
      <c r="AU171" t="s">
        <v>119</v>
      </c>
      <c r="AV171">
        <v>0</v>
      </c>
      <c r="AW171">
        <v>2</v>
      </c>
      <c r="AX171">
        <v>57249236</v>
      </c>
      <c r="AY171">
        <v>1</v>
      </c>
      <c r="AZ171">
        <v>0</v>
      </c>
      <c r="BA171">
        <v>225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ROUND(Y171*Source!I127,9)</f>
        <v>8.0000000000000002E-3</v>
      </c>
      <c r="CY171">
        <f>AA171</f>
        <v>516.63</v>
      </c>
      <c r="CZ171">
        <f>AE171</f>
        <v>516.63</v>
      </c>
      <c r="DA171">
        <f>AI171</f>
        <v>1</v>
      </c>
      <c r="DB171">
        <f>ROUND((ROUND(AT171*CZ171,2)*1),6)</f>
        <v>1.03</v>
      </c>
      <c r="DC171">
        <f>ROUND((ROUND(AT171*AG171,2)*1),6)</f>
        <v>0</v>
      </c>
      <c r="DD171" t="s">
        <v>3</v>
      </c>
      <c r="DE171" t="s">
        <v>3</v>
      </c>
      <c r="DF171">
        <f t="shared" si="68"/>
        <v>4.13</v>
      </c>
      <c r="DG171">
        <f t="shared" si="67"/>
        <v>0</v>
      </c>
      <c r="DH171">
        <f t="shared" si="56"/>
        <v>0</v>
      </c>
      <c r="DI171">
        <f t="shared" si="47"/>
        <v>0</v>
      </c>
      <c r="DJ171">
        <f>DF171</f>
        <v>4.13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ROW(Source!A128)</f>
        <v>128</v>
      </c>
      <c r="B172">
        <v>57248837</v>
      </c>
      <c r="C172">
        <v>57249230</v>
      </c>
      <c r="D172">
        <v>54702434</v>
      </c>
      <c r="E172">
        <v>1081</v>
      </c>
      <c r="F172">
        <v>1</v>
      </c>
      <c r="G172">
        <v>1081</v>
      </c>
      <c r="H172">
        <v>1</v>
      </c>
      <c r="I172" t="s">
        <v>457</v>
      </c>
      <c r="J172" t="s">
        <v>3</v>
      </c>
      <c r="K172" t="s">
        <v>458</v>
      </c>
      <c r="L172">
        <v>1191</v>
      </c>
      <c r="N172">
        <v>1013</v>
      </c>
      <c r="O172" t="s">
        <v>459</v>
      </c>
      <c r="P172" t="s">
        <v>459</v>
      </c>
      <c r="Q172">
        <v>1</v>
      </c>
      <c r="W172">
        <v>0</v>
      </c>
      <c r="X172">
        <v>476480486</v>
      </c>
      <c r="Y172">
        <f>(AT172*1.2)</f>
        <v>1.2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5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1</v>
      </c>
      <c r="AU172" t="s">
        <v>120</v>
      </c>
      <c r="AV172">
        <v>1</v>
      </c>
      <c r="AW172">
        <v>2</v>
      </c>
      <c r="AX172">
        <v>57249234</v>
      </c>
      <c r="AY172">
        <v>1</v>
      </c>
      <c r="AZ172">
        <v>0</v>
      </c>
      <c r="BA172">
        <v>227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U172">
        <f>ROUND(AT172*Source!I128*AH172*AL172,2)</f>
        <v>0</v>
      </c>
      <c r="CV172">
        <f>ROUND(Y172*Source!I128,9)</f>
        <v>4.8</v>
      </c>
      <c r="CW172">
        <v>0</v>
      </c>
      <c r="CX172">
        <f>ROUND(Y172*Source!I128,9)</f>
        <v>4.8</v>
      </c>
      <c r="CY172">
        <f>AD172</f>
        <v>0</v>
      </c>
      <c r="CZ172">
        <f>AH172</f>
        <v>0</v>
      </c>
      <c r="DA172">
        <f>AL172</f>
        <v>1</v>
      </c>
      <c r="DB172">
        <f>ROUND((ROUND(AT172*CZ172,2)*1.2),6)</f>
        <v>0</v>
      </c>
      <c r="DC172">
        <f>ROUND((ROUND(AT172*AG172,2)*1.2),6)</f>
        <v>0</v>
      </c>
      <c r="DD172" t="s">
        <v>3</v>
      </c>
      <c r="DE172" t="s">
        <v>3</v>
      </c>
      <c r="DF172">
        <f t="shared" si="68"/>
        <v>0</v>
      </c>
      <c r="DG172">
        <f t="shared" si="67"/>
        <v>0</v>
      </c>
      <c r="DH172">
        <f t="shared" si="56"/>
        <v>0</v>
      </c>
      <c r="DI172">
        <f t="shared" si="47"/>
        <v>0</v>
      </c>
      <c r="DJ172">
        <f>DI172</f>
        <v>0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ROW(Source!A128)</f>
        <v>128</v>
      </c>
      <c r="B173">
        <v>57248837</v>
      </c>
      <c r="C173">
        <v>57249230</v>
      </c>
      <c r="D173">
        <v>54737923</v>
      </c>
      <c r="E173">
        <v>1</v>
      </c>
      <c r="F173">
        <v>1</v>
      </c>
      <c r="G173">
        <v>1081</v>
      </c>
      <c r="H173">
        <v>3</v>
      </c>
      <c r="I173" t="s">
        <v>479</v>
      </c>
      <c r="J173" t="s">
        <v>480</v>
      </c>
      <c r="K173" t="s">
        <v>481</v>
      </c>
      <c r="L173">
        <v>1348</v>
      </c>
      <c r="N173">
        <v>1009</v>
      </c>
      <c r="O173" t="s">
        <v>298</v>
      </c>
      <c r="P173" t="s">
        <v>298</v>
      </c>
      <c r="Q173">
        <v>1000</v>
      </c>
      <c r="W173">
        <v>0</v>
      </c>
      <c r="X173">
        <v>-761454284</v>
      </c>
      <c r="Y173">
        <f>(AT173*1)</f>
        <v>1.0000000000000001E-5</v>
      </c>
      <c r="AA173">
        <v>1930745.04</v>
      </c>
      <c r="AB173">
        <v>0</v>
      </c>
      <c r="AC173">
        <v>0</v>
      </c>
      <c r="AD173">
        <v>0</v>
      </c>
      <c r="AE173">
        <v>64123.05</v>
      </c>
      <c r="AF173">
        <v>0</v>
      </c>
      <c r="AG173">
        <v>0</v>
      </c>
      <c r="AH173">
        <v>0</v>
      </c>
      <c r="AI173">
        <v>30.11</v>
      </c>
      <c r="AJ173">
        <v>1</v>
      </c>
      <c r="AK173">
        <v>1</v>
      </c>
      <c r="AL173">
        <v>1</v>
      </c>
      <c r="AM173">
        <v>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1.0000000000000001E-5</v>
      </c>
      <c r="AU173" t="s">
        <v>119</v>
      </c>
      <c r="AV173">
        <v>0</v>
      </c>
      <c r="AW173">
        <v>2</v>
      </c>
      <c r="AX173">
        <v>57249235</v>
      </c>
      <c r="AY173">
        <v>1</v>
      </c>
      <c r="AZ173">
        <v>0</v>
      </c>
      <c r="BA173">
        <v>228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ROUND(Y173*Source!I128,9)</f>
        <v>4.0000000000000003E-5</v>
      </c>
      <c r="CY173">
        <f>AA173</f>
        <v>1930745.04</v>
      </c>
      <c r="CZ173">
        <f>AE173</f>
        <v>64123.05</v>
      </c>
      <c r="DA173">
        <f>AI173</f>
        <v>30.11</v>
      </c>
      <c r="DB173">
        <f>ROUND((ROUND(AT173*CZ173,2)*1),6)</f>
        <v>0.64</v>
      </c>
      <c r="DC173">
        <f>ROUND((ROUND(AT173*AG173,2)*1),6)</f>
        <v>0</v>
      </c>
      <c r="DD173" t="s">
        <v>3</v>
      </c>
      <c r="DE173" t="s">
        <v>3</v>
      </c>
      <c r="DF173">
        <f>ROUND(ROUND(AE173*AI173,2)*CX173,2)</f>
        <v>77.23</v>
      </c>
      <c r="DG173">
        <f t="shared" si="67"/>
        <v>0</v>
      </c>
      <c r="DH173">
        <f t="shared" si="56"/>
        <v>0</v>
      </c>
      <c r="DI173">
        <f t="shared" si="47"/>
        <v>0</v>
      </c>
      <c r="DJ173">
        <f>DF173</f>
        <v>77.23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ROW(Source!A128)</f>
        <v>128</v>
      </c>
      <c r="B174">
        <v>57248837</v>
      </c>
      <c r="C174">
        <v>57249230</v>
      </c>
      <c r="D174">
        <v>54766072</v>
      </c>
      <c r="E174">
        <v>1</v>
      </c>
      <c r="F174">
        <v>1</v>
      </c>
      <c r="G174">
        <v>1081</v>
      </c>
      <c r="H174">
        <v>3</v>
      </c>
      <c r="I174" t="s">
        <v>494</v>
      </c>
      <c r="J174" t="s">
        <v>495</v>
      </c>
      <c r="K174" t="s">
        <v>496</v>
      </c>
      <c r="L174">
        <v>1303</v>
      </c>
      <c r="N174">
        <v>1003</v>
      </c>
      <c r="O174" t="s">
        <v>390</v>
      </c>
      <c r="P174" t="s">
        <v>390</v>
      </c>
      <c r="Q174">
        <v>1000</v>
      </c>
      <c r="W174">
        <v>0</v>
      </c>
      <c r="X174">
        <v>-1692873835</v>
      </c>
      <c r="Y174">
        <f>(AT174*1)</f>
        <v>2E-3</v>
      </c>
      <c r="AA174">
        <v>5269.63</v>
      </c>
      <c r="AB174">
        <v>0</v>
      </c>
      <c r="AC174">
        <v>0</v>
      </c>
      <c r="AD174">
        <v>0</v>
      </c>
      <c r="AE174">
        <v>516.63</v>
      </c>
      <c r="AF174">
        <v>0</v>
      </c>
      <c r="AG174">
        <v>0</v>
      </c>
      <c r="AH174">
        <v>0</v>
      </c>
      <c r="AI174">
        <v>10.199999999999999</v>
      </c>
      <c r="AJ174">
        <v>1</v>
      </c>
      <c r="AK174">
        <v>1</v>
      </c>
      <c r="AL174">
        <v>1</v>
      </c>
      <c r="AM174">
        <v>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2E-3</v>
      </c>
      <c r="AU174" t="s">
        <v>119</v>
      </c>
      <c r="AV174">
        <v>0</v>
      </c>
      <c r="AW174">
        <v>2</v>
      </c>
      <c r="AX174">
        <v>57249236</v>
      </c>
      <c r="AY174">
        <v>1</v>
      </c>
      <c r="AZ174">
        <v>0</v>
      </c>
      <c r="BA174">
        <v>229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ROUND(Y174*Source!I128,9)</f>
        <v>8.0000000000000002E-3</v>
      </c>
      <c r="CY174">
        <f>AA174</f>
        <v>5269.63</v>
      </c>
      <c r="CZ174">
        <f>AE174</f>
        <v>516.63</v>
      </c>
      <c r="DA174">
        <f>AI174</f>
        <v>10.199999999999999</v>
      </c>
      <c r="DB174">
        <f>ROUND((ROUND(AT174*CZ174,2)*1),6)</f>
        <v>1.03</v>
      </c>
      <c r="DC174">
        <f>ROUND((ROUND(AT174*AG174,2)*1),6)</f>
        <v>0</v>
      </c>
      <c r="DD174" t="s">
        <v>3</v>
      </c>
      <c r="DE174" t="s">
        <v>3</v>
      </c>
      <c r="DF174">
        <f>ROUND(ROUND(AE174*AI174,2)*CX174,2)</f>
        <v>42.16</v>
      </c>
      <c r="DG174">
        <f t="shared" si="67"/>
        <v>0</v>
      </c>
      <c r="DH174">
        <f t="shared" ref="DH174:DH183" si="69">ROUND(ROUND(AG174,2)*CX174,2)</f>
        <v>0</v>
      </c>
      <c r="DI174">
        <f t="shared" si="47"/>
        <v>0</v>
      </c>
      <c r="DJ174">
        <f>DF174</f>
        <v>42.16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ROW(Source!A131)</f>
        <v>131</v>
      </c>
      <c r="B175">
        <v>57248835</v>
      </c>
      <c r="C175">
        <v>57249244</v>
      </c>
      <c r="D175">
        <v>54702434</v>
      </c>
      <c r="E175">
        <v>1081</v>
      </c>
      <c r="F175">
        <v>1</v>
      </c>
      <c r="G175">
        <v>1081</v>
      </c>
      <c r="H175">
        <v>1</v>
      </c>
      <c r="I175" t="s">
        <v>457</v>
      </c>
      <c r="J175" t="s">
        <v>3</v>
      </c>
      <c r="K175" t="s">
        <v>458</v>
      </c>
      <c r="L175">
        <v>1191</v>
      </c>
      <c r="N175">
        <v>1013</v>
      </c>
      <c r="O175" t="s">
        <v>459</v>
      </c>
      <c r="P175" t="s">
        <v>459</v>
      </c>
      <c r="Q175">
        <v>1</v>
      </c>
      <c r="W175">
        <v>0</v>
      </c>
      <c r="X175">
        <v>476480486</v>
      </c>
      <c r="Y175">
        <f>(AT175*1.2)</f>
        <v>1.008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0.84</v>
      </c>
      <c r="AU175" t="s">
        <v>120</v>
      </c>
      <c r="AV175">
        <v>1</v>
      </c>
      <c r="AW175">
        <v>2</v>
      </c>
      <c r="AX175">
        <v>57249246</v>
      </c>
      <c r="AY175">
        <v>1</v>
      </c>
      <c r="AZ175">
        <v>0</v>
      </c>
      <c r="BA175">
        <v>231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U175">
        <f>ROUND(AT175*Source!I131*AH175*AL175,2)</f>
        <v>0</v>
      </c>
      <c r="CV175">
        <f>ROUND(Y175*Source!I131,9)</f>
        <v>4.032</v>
      </c>
      <c r="CW175">
        <v>0</v>
      </c>
      <c r="CX175">
        <f>ROUND(Y175*Source!I131,9)</f>
        <v>4.032</v>
      </c>
      <c r="CY175">
        <f>AD175</f>
        <v>0</v>
      </c>
      <c r="CZ175">
        <f>AH175</f>
        <v>0</v>
      </c>
      <c r="DA175">
        <f>AL175</f>
        <v>1</v>
      </c>
      <c r="DB175">
        <f>ROUND((ROUND(AT175*CZ175,2)*1.2),6)</f>
        <v>0</v>
      </c>
      <c r="DC175">
        <f>ROUND((ROUND(AT175*AG175,2)*1.2),6)</f>
        <v>0</v>
      </c>
      <c r="DD175" t="s">
        <v>3</v>
      </c>
      <c r="DE175" t="s">
        <v>3</v>
      </c>
      <c r="DF175">
        <f t="shared" ref="DF175:DF185" si="70">ROUND(ROUND(AE175,2)*CX175,2)</f>
        <v>0</v>
      </c>
      <c r="DG175">
        <f t="shared" si="67"/>
        <v>0</v>
      </c>
      <c r="DH175">
        <f t="shared" si="69"/>
        <v>0</v>
      </c>
      <c r="DI175">
        <f t="shared" si="47"/>
        <v>0</v>
      </c>
      <c r="DJ175">
        <f>DI175</f>
        <v>0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ROW(Source!A132)</f>
        <v>132</v>
      </c>
      <c r="B176">
        <v>57248837</v>
      </c>
      <c r="C176">
        <v>57249244</v>
      </c>
      <c r="D176">
        <v>54702434</v>
      </c>
      <c r="E176">
        <v>1081</v>
      </c>
      <c r="F176">
        <v>1</v>
      </c>
      <c r="G176">
        <v>1081</v>
      </c>
      <c r="H176">
        <v>1</v>
      </c>
      <c r="I176" t="s">
        <v>457</v>
      </c>
      <c r="J176" t="s">
        <v>3</v>
      </c>
      <c r="K176" t="s">
        <v>458</v>
      </c>
      <c r="L176">
        <v>1191</v>
      </c>
      <c r="N176">
        <v>1013</v>
      </c>
      <c r="O176" t="s">
        <v>459</v>
      </c>
      <c r="P176" t="s">
        <v>459</v>
      </c>
      <c r="Q176">
        <v>1</v>
      </c>
      <c r="W176">
        <v>0</v>
      </c>
      <c r="X176">
        <v>476480486</v>
      </c>
      <c r="Y176">
        <f>(AT176*1.2)</f>
        <v>1.008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0.84</v>
      </c>
      <c r="AU176" t="s">
        <v>120</v>
      </c>
      <c r="AV176">
        <v>1</v>
      </c>
      <c r="AW176">
        <v>2</v>
      </c>
      <c r="AX176">
        <v>57249246</v>
      </c>
      <c r="AY176">
        <v>1</v>
      </c>
      <c r="AZ176">
        <v>0</v>
      </c>
      <c r="BA176">
        <v>232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ROUND(AT176*Source!I132*AH176*AL176,2)</f>
        <v>0</v>
      </c>
      <c r="CV176">
        <f>ROUND(Y176*Source!I132,9)</f>
        <v>4.032</v>
      </c>
      <c r="CW176">
        <v>0</v>
      </c>
      <c r="CX176">
        <f>ROUND(Y176*Source!I132,9)</f>
        <v>4.032</v>
      </c>
      <c r="CY176">
        <f>AD176</f>
        <v>0</v>
      </c>
      <c r="CZ176">
        <f>AH176</f>
        <v>0</v>
      </c>
      <c r="DA176">
        <f>AL176</f>
        <v>1</v>
      </c>
      <c r="DB176">
        <f>ROUND((ROUND(AT176*CZ176,2)*1.2),6)</f>
        <v>0</v>
      </c>
      <c r="DC176">
        <f>ROUND((ROUND(AT176*AG176,2)*1.2),6)</f>
        <v>0</v>
      </c>
      <c r="DD176" t="s">
        <v>3</v>
      </c>
      <c r="DE176" t="s">
        <v>3</v>
      </c>
      <c r="DF176">
        <f t="shared" si="70"/>
        <v>0</v>
      </c>
      <c r="DG176">
        <f t="shared" si="67"/>
        <v>0</v>
      </c>
      <c r="DH176">
        <f t="shared" si="69"/>
        <v>0</v>
      </c>
      <c r="DI176">
        <f t="shared" si="47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ROW(Source!A135)</f>
        <v>135</v>
      </c>
      <c r="B177">
        <v>57248835</v>
      </c>
      <c r="C177">
        <v>57249248</v>
      </c>
      <c r="D177">
        <v>54702434</v>
      </c>
      <c r="E177">
        <v>1081</v>
      </c>
      <c r="F177">
        <v>1</v>
      </c>
      <c r="G177">
        <v>1081</v>
      </c>
      <c r="H177">
        <v>1</v>
      </c>
      <c r="I177" t="s">
        <v>457</v>
      </c>
      <c r="J177" t="s">
        <v>3</v>
      </c>
      <c r="K177" t="s">
        <v>458</v>
      </c>
      <c r="L177">
        <v>1191</v>
      </c>
      <c r="N177">
        <v>1013</v>
      </c>
      <c r="O177" t="s">
        <v>459</v>
      </c>
      <c r="P177" t="s">
        <v>459</v>
      </c>
      <c r="Q177">
        <v>1</v>
      </c>
      <c r="W177">
        <v>0</v>
      </c>
      <c r="X177">
        <v>476480486</v>
      </c>
      <c r="Y177">
        <f>(AT177*1.2)</f>
        <v>101.604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84.67</v>
      </c>
      <c r="AU177" t="s">
        <v>120</v>
      </c>
      <c r="AV177">
        <v>1</v>
      </c>
      <c r="AW177">
        <v>2</v>
      </c>
      <c r="AX177">
        <v>57249255</v>
      </c>
      <c r="AY177">
        <v>1</v>
      </c>
      <c r="AZ177">
        <v>0</v>
      </c>
      <c r="BA177">
        <v>233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U177">
        <f>ROUND(AT177*Source!I135*AH177*AL177,2)</f>
        <v>0</v>
      </c>
      <c r="CV177">
        <f>ROUND(Y177*Source!I135,9)</f>
        <v>12.19248</v>
      </c>
      <c r="CW177">
        <v>0</v>
      </c>
      <c r="CX177">
        <f>ROUND(Y177*Source!I135,9)</f>
        <v>12.19248</v>
      </c>
      <c r="CY177">
        <f>AD177</f>
        <v>0</v>
      </c>
      <c r="CZ177">
        <f>AH177</f>
        <v>0</v>
      </c>
      <c r="DA177">
        <f>AL177</f>
        <v>1</v>
      </c>
      <c r="DB177">
        <f>ROUND((ROUND(AT177*CZ177,2)*1.2),6)</f>
        <v>0</v>
      </c>
      <c r="DC177">
        <f>ROUND((ROUND(AT177*AG177,2)*1.2),6)</f>
        <v>0</v>
      </c>
      <c r="DD177" t="s">
        <v>3</v>
      </c>
      <c r="DE177" t="s">
        <v>3</v>
      </c>
      <c r="DF177">
        <f t="shared" si="70"/>
        <v>0</v>
      </c>
      <c r="DG177">
        <f t="shared" si="67"/>
        <v>0</v>
      </c>
      <c r="DH177">
        <f t="shared" si="69"/>
        <v>0</v>
      </c>
      <c r="DI177">
        <f t="shared" si="47"/>
        <v>0</v>
      </c>
      <c r="DJ177">
        <f>DI177</f>
        <v>0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ROW(Source!A135)</f>
        <v>135</v>
      </c>
      <c r="B178">
        <v>57248835</v>
      </c>
      <c r="C178">
        <v>57249248</v>
      </c>
      <c r="D178">
        <v>54768339</v>
      </c>
      <c r="E178">
        <v>1</v>
      </c>
      <c r="F178">
        <v>1</v>
      </c>
      <c r="G178">
        <v>1081</v>
      </c>
      <c r="H178">
        <v>2</v>
      </c>
      <c r="I178" t="s">
        <v>497</v>
      </c>
      <c r="J178" t="s">
        <v>498</v>
      </c>
      <c r="K178" t="s">
        <v>499</v>
      </c>
      <c r="L178">
        <v>1368</v>
      </c>
      <c r="N178">
        <v>1011</v>
      </c>
      <c r="O178" t="s">
        <v>463</v>
      </c>
      <c r="P178" t="s">
        <v>463</v>
      </c>
      <c r="Q178">
        <v>1</v>
      </c>
      <c r="W178">
        <v>0</v>
      </c>
      <c r="X178">
        <v>874612079</v>
      </c>
      <c r="Y178">
        <f>(AT178*1.2)</f>
        <v>1.236</v>
      </c>
      <c r="AA178">
        <v>0</v>
      </c>
      <c r="AB178">
        <v>87.01</v>
      </c>
      <c r="AC178">
        <v>13.21</v>
      </c>
      <c r="AD178">
        <v>0</v>
      </c>
      <c r="AE178">
        <v>0</v>
      </c>
      <c r="AF178">
        <v>83.1</v>
      </c>
      <c r="AG178">
        <v>12.62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1.03</v>
      </c>
      <c r="AU178" t="s">
        <v>120</v>
      </c>
      <c r="AV178">
        <v>0</v>
      </c>
      <c r="AW178">
        <v>2</v>
      </c>
      <c r="AX178">
        <v>57249256</v>
      </c>
      <c r="AY178">
        <v>1</v>
      </c>
      <c r="AZ178">
        <v>0</v>
      </c>
      <c r="BA178">
        <v>234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ROUND(Y178*Source!I135*DO178,9)</f>
        <v>1.8717984000000001</v>
      </c>
      <c r="CX178">
        <f>ROUND(Y178*Source!I135,9)</f>
        <v>0.14832000000000001</v>
      </c>
      <c r="CY178">
        <f>AB178</f>
        <v>87.01</v>
      </c>
      <c r="CZ178">
        <f>AF178</f>
        <v>83.1</v>
      </c>
      <c r="DA178">
        <f>AJ178</f>
        <v>1</v>
      </c>
      <c r="DB178">
        <f>ROUND((ROUND(AT178*CZ178,2)*1.2),6)</f>
        <v>102.708</v>
      </c>
      <c r="DC178">
        <f>ROUND((ROUND(AT178*AG178,2)*1.2),6)</f>
        <v>15.6</v>
      </c>
      <c r="DD178" t="s">
        <v>3</v>
      </c>
      <c r="DE178" t="s">
        <v>3</v>
      </c>
      <c r="DF178">
        <f t="shared" si="70"/>
        <v>0</v>
      </c>
      <c r="DG178">
        <f t="shared" si="67"/>
        <v>12.33</v>
      </c>
      <c r="DH178">
        <f t="shared" si="69"/>
        <v>1.87</v>
      </c>
      <c r="DI178">
        <f t="shared" si="47"/>
        <v>0</v>
      </c>
      <c r="DJ178">
        <f>DG178</f>
        <v>12.33</v>
      </c>
      <c r="DK178">
        <v>0</v>
      </c>
      <c r="DL178" t="s">
        <v>500</v>
      </c>
      <c r="DM178">
        <v>0</v>
      </c>
      <c r="DN178" t="s">
        <v>459</v>
      </c>
      <c r="DO178">
        <v>12.62</v>
      </c>
    </row>
    <row r="179" spans="1:119" x14ac:dyDescent="0.2">
      <c r="A179">
        <f>ROW(Source!A135)</f>
        <v>135</v>
      </c>
      <c r="B179">
        <v>57248835</v>
      </c>
      <c r="C179">
        <v>57249248</v>
      </c>
      <c r="D179">
        <v>54768454</v>
      </c>
      <c r="E179">
        <v>1</v>
      </c>
      <c r="F179">
        <v>1</v>
      </c>
      <c r="G179">
        <v>1081</v>
      </c>
      <c r="H179">
        <v>2</v>
      </c>
      <c r="I179" t="s">
        <v>501</v>
      </c>
      <c r="J179" t="s">
        <v>502</v>
      </c>
      <c r="K179" t="s">
        <v>503</v>
      </c>
      <c r="L179">
        <v>1368</v>
      </c>
      <c r="N179">
        <v>1011</v>
      </c>
      <c r="O179" t="s">
        <v>463</v>
      </c>
      <c r="P179" t="s">
        <v>463</v>
      </c>
      <c r="Q179">
        <v>1</v>
      </c>
      <c r="W179">
        <v>0</v>
      </c>
      <c r="X179">
        <v>1906446486</v>
      </c>
      <c r="Y179">
        <f>(AT179*1.2)</f>
        <v>26.495999999999999</v>
      </c>
      <c r="AA179">
        <v>0</v>
      </c>
      <c r="AB179">
        <v>0.37</v>
      </c>
      <c r="AC179">
        <v>0</v>
      </c>
      <c r="AD179">
        <v>0</v>
      </c>
      <c r="AE179">
        <v>0</v>
      </c>
      <c r="AF179">
        <v>0.35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22.08</v>
      </c>
      <c r="AU179" t="s">
        <v>120</v>
      </c>
      <c r="AV179">
        <v>0</v>
      </c>
      <c r="AW179">
        <v>2</v>
      </c>
      <c r="AX179">
        <v>57249257</v>
      </c>
      <c r="AY179">
        <v>1</v>
      </c>
      <c r="AZ179">
        <v>0</v>
      </c>
      <c r="BA179">
        <v>235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f>ROUND(Y179*Source!I135*DO179,9)</f>
        <v>0</v>
      </c>
      <c r="CX179">
        <f>ROUND(Y179*Source!I135,9)</f>
        <v>3.1795200000000001</v>
      </c>
      <c r="CY179">
        <f>AB179</f>
        <v>0.37</v>
      </c>
      <c r="CZ179">
        <f>AF179</f>
        <v>0.35</v>
      </c>
      <c r="DA179">
        <f>AJ179</f>
        <v>1</v>
      </c>
      <c r="DB179">
        <f>ROUND((ROUND(AT179*CZ179,2)*1.2),6)</f>
        <v>9.2759999999999998</v>
      </c>
      <c r="DC179">
        <f>ROUND((ROUND(AT179*AG179,2)*1.2),6)</f>
        <v>0</v>
      </c>
      <c r="DD179" t="s">
        <v>3</v>
      </c>
      <c r="DE179" t="s">
        <v>3</v>
      </c>
      <c r="DF179">
        <f t="shared" si="70"/>
        <v>0</v>
      </c>
      <c r="DG179">
        <f t="shared" si="67"/>
        <v>1.1100000000000001</v>
      </c>
      <c r="DH179">
        <f t="shared" si="69"/>
        <v>0</v>
      </c>
      <c r="DI179">
        <f t="shared" si="47"/>
        <v>0</v>
      </c>
      <c r="DJ179">
        <f>DG179</f>
        <v>1.1100000000000001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ROW(Source!A135)</f>
        <v>135</v>
      </c>
      <c r="B180">
        <v>57248835</v>
      </c>
      <c r="C180">
        <v>57249248</v>
      </c>
      <c r="D180">
        <v>54738554</v>
      </c>
      <c r="E180">
        <v>1</v>
      </c>
      <c r="F180">
        <v>1</v>
      </c>
      <c r="G180">
        <v>1081</v>
      </c>
      <c r="H180">
        <v>3</v>
      </c>
      <c r="I180" t="s">
        <v>504</v>
      </c>
      <c r="J180" t="s">
        <v>505</v>
      </c>
      <c r="K180" t="s">
        <v>506</v>
      </c>
      <c r="L180">
        <v>1346</v>
      </c>
      <c r="N180">
        <v>1009</v>
      </c>
      <c r="O180" t="s">
        <v>320</v>
      </c>
      <c r="P180" t="s">
        <v>320</v>
      </c>
      <c r="Q180">
        <v>1</v>
      </c>
      <c r="W180">
        <v>0</v>
      </c>
      <c r="X180">
        <v>1309298634</v>
      </c>
      <c r="Y180">
        <f>(AT180*1)</f>
        <v>0.21</v>
      </c>
      <c r="AA180">
        <v>159.06</v>
      </c>
      <c r="AB180">
        <v>0</v>
      </c>
      <c r="AC180">
        <v>0</v>
      </c>
      <c r="AD180">
        <v>0</v>
      </c>
      <c r="AE180">
        <v>159.06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0.21</v>
      </c>
      <c r="AU180" t="s">
        <v>119</v>
      </c>
      <c r="AV180">
        <v>0</v>
      </c>
      <c r="AW180">
        <v>2</v>
      </c>
      <c r="AX180">
        <v>57249258</v>
      </c>
      <c r="AY180">
        <v>1</v>
      </c>
      <c r="AZ180">
        <v>0</v>
      </c>
      <c r="BA180">
        <v>236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ROUND(Y180*Source!I135,9)</f>
        <v>2.52E-2</v>
      </c>
      <c r="CY180">
        <f>AA180</f>
        <v>159.06</v>
      </c>
      <c r="CZ180">
        <f>AE180</f>
        <v>159.06</v>
      </c>
      <c r="DA180">
        <f>AI180</f>
        <v>1</v>
      </c>
      <c r="DB180">
        <f>ROUND((ROUND(AT180*CZ180,2)*1),6)</f>
        <v>33.4</v>
      </c>
      <c r="DC180">
        <f>ROUND((ROUND(AT180*AG180,2)*1),6)</f>
        <v>0</v>
      </c>
      <c r="DD180" t="s">
        <v>3</v>
      </c>
      <c r="DE180" t="s">
        <v>3</v>
      </c>
      <c r="DF180">
        <f t="shared" si="70"/>
        <v>4.01</v>
      </c>
      <c r="DG180">
        <f t="shared" si="67"/>
        <v>0</v>
      </c>
      <c r="DH180">
        <f t="shared" si="69"/>
        <v>0</v>
      </c>
      <c r="DI180">
        <f t="shared" si="47"/>
        <v>0</v>
      </c>
      <c r="DJ180">
        <f>DF180</f>
        <v>4.01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ROW(Source!A135)</f>
        <v>135</v>
      </c>
      <c r="B181">
        <v>57248835</v>
      </c>
      <c r="C181">
        <v>57249248</v>
      </c>
      <c r="D181">
        <v>54737470</v>
      </c>
      <c r="E181">
        <v>1</v>
      </c>
      <c r="F181">
        <v>1</v>
      </c>
      <c r="G181">
        <v>1081</v>
      </c>
      <c r="H181">
        <v>3</v>
      </c>
      <c r="I181" t="s">
        <v>467</v>
      </c>
      <c r="J181" t="s">
        <v>468</v>
      </c>
      <c r="K181" t="s">
        <v>469</v>
      </c>
      <c r="L181">
        <v>1354</v>
      </c>
      <c r="N181">
        <v>1010</v>
      </c>
      <c r="O181" t="s">
        <v>228</v>
      </c>
      <c r="P181" t="s">
        <v>228</v>
      </c>
      <c r="Q181">
        <v>1</v>
      </c>
      <c r="W181">
        <v>0</v>
      </c>
      <c r="X181">
        <v>-1352077490</v>
      </c>
      <c r="Y181">
        <f>(AT181*1)</f>
        <v>4.08</v>
      </c>
      <c r="AA181">
        <v>0.89</v>
      </c>
      <c r="AB181">
        <v>0</v>
      </c>
      <c r="AC181">
        <v>0</v>
      </c>
      <c r="AD181">
        <v>0</v>
      </c>
      <c r="AE181">
        <v>0.89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4.08</v>
      </c>
      <c r="AU181" t="s">
        <v>119</v>
      </c>
      <c r="AV181">
        <v>0</v>
      </c>
      <c r="AW181">
        <v>2</v>
      </c>
      <c r="AX181">
        <v>57249259</v>
      </c>
      <c r="AY181">
        <v>1</v>
      </c>
      <c r="AZ181">
        <v>0</v>
      </c>
      <c r="BA181">
        <v>237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ROUND(Y181*Source!I135,9)</f>
        <v>0.48959999999999998</v>
      </c>
      <c r="CY181">
        <f>AA181</f>
        <v>0.89</v>
      </c>
      <c r="CZ181">
        <f>AE181</f>
        <v>0.89</v>
      </c>
      <c r="DA181">
        <f>AI181</f>
        <v>1</v>
      </c>
      <c r="DB181">
        <f>ROUND((ROUND(AT181*CZ181,2)*1),6)</f>
        <v>3.63</v>
      </c>
      <c r="DC181">
        <f>ROUND((ROUND(AT181*AG181,2)*1),6)</f>
        <v>0</v>
      </c>
      <c r="DD181" t="s">
        <v>3</v>
      </c>
      <c r="DE181" t="s">
        <v>3</v>
      </c>
      <c r="DF181">
        <f t="shared" si="70"/>
        <v>0.44</v>
      </c>
      <c r="DG181">
        <f t="shared" si="67"/>
        <v>0</v>
      </c>
      <c r="DH181">
        <f t="shared" si="69"/>
        <v>0</v>
      </c>
      <c r="DI181">
        <f t="shared" si="47"/>
        <v>0</v>
      </c>
      <c r="DJ181">
        <f>DF181</f>
        <v>0.44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ROW(Source!A135)</f>
        <v>135</v>
      </c>
      <c r="B182">
        <v>57248835</v>
      </c>
      <c r="C182">
        <v>57249248</v>
      </c>
      <c r="D182">
        <v>54766003</v>
      </c>
      <c r="E182">
        <v>1</v>
      </c>
      <c r="F182">
        <v>1</v>
      </c>
      <c r="G182">
        <v>1081</v>
      </c>
      <c r="H182">
        <v>3</v>
      </c>
      <c r="I182" t="s">
        <v>507</v>
      </c>
      <c r="J182" t="s">
        <v>508</v>
      </c>
      <c r="K182" t="s">
        <v>509</v>
      </c>
      <c r="L182">
        <v>1303</v>
      </c>
      <c r="N182">
        <v>1003</v>
      </c>
      <c r="O182" t="s">
        <v>390</v>
      </c>
      <c r="P182" t="s">
        <v>390</v>
      </c>
      <c r="Q182">
        <v>1000</v>
      </c>
      <c r="W182">
        <v>0</v>
      </c>
      <c r="X182">
        <v>1578855358</v>
      </c>
      <c r="Y182">
        <f>(AT182*1)</f>
        <v>1.5299999999999999E-2</v>
      </c>
      <c r="AA182">
        <v>2897.31</v>
      </c>
      <c r="AB182">
        <v>0</v>
      </c>
      <c r="AC182">
        <v>0</v>
      </c>
      <c r="AD182">
        <v>0</v>
      </c>
      <c r="AE182">
        <v>2897.31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1.5299999999999999E-2</v>
      </c>
      <c r="AU182" t="s">
        <v>119</v>
      </c>
      <c r="AV182">
        <v>0</v>
      </c>
      <c r="AW182">
        <v>2</v>
      </c>
      <c r="AX182">
        <v>57249260</v>
      </c>
      <c r="AY182">
        <v>1</v>
      </c>
      <c r="AZ182">
        <v>0</v>
      </c>
      <c r="BA182">
        <v>238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ROUND(Y182*Source!I135,9)</f>
        <v>1.836E-3</v>
      </c>
      <c r="CY182">
        <f>AA182</f>
        <v>2897.31</v>
      </c>
      <c r="CZ182">
        <f>AE182</f>
        <v>2897.31</v>
      </c>
      <c r="DA182">
        <f>AI182</f>
        <v>1</v>
      </c>
      <c r="DB182">
        <f>ROUND((ROUND(AT182*CZ182,2)*1),6)</f>
        <v>44.33</v>
      </c>
      <c r="DC182">
        <f>ROUND((ROUND(AT182*AG182,2)*1),6)</f>
        <v>0</v>
      </c>
      <c r="DD182" t="s">
        <v>3</v>
      </c>
      <c r="DE182" t="s">
        <v>3</v>
      </c>
      <c r="DF182">
        <f t="shared" si="70"/>
        <v>5.32</v>
      </c>
      <c r="DG182">
        <f t="shared" si="67"/>
        <v>0</v>
      </c>
      <c r="DH182">
        <f t="shared" si="69"/>
        <v>0</v>
      </c>
      <c r="DI182">
        <f t="shared" si="47"/>
        <v>0</v>
      </c>
      <c r="DJ182">
        <f>DF182</f>
        <v>5.32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ROW(Source!A136)</f>
        <v>136</v>
      </c>
      <c r="B183">
        <v>57248837</v>
      </c>
      <c r="C183">
        <v>57249248</v>
      </c>
      <c r="D183">
        <v>54702434</v>
      </c>
      <c r="E183">
        <v>1081</v>
      </c>
      <c r="F183">
        <v>1</v>
      </c>
      <c r="G183">
        <v>1081</v>
      </c>
      <c r="H183">
        <v>1</v>
      </c>
      <c r="I183" t="s">
        <v>457</v>
      </c>
      <c r="J183" t="s">
        <v>3</v>
      </c>
      <c r="K183" t="s">
        <v>458</v>
      </c>
      <c r="L183">
        <v>1191</v>
      </c>
      <c r="N183">
        <v>1013</v>
      </c>
      <c r="O183" t="s">
        <v>459</v>
      </c>
      <c r="P183" t="s">
        <v>459</v>
      </c>
      <c r="Q183">
        <v>1</v>
      </c>
      <c r="W183">
        <v>0</v>
      </c>
      <c r="X183">
        <v>476480486</v>
      </c>
      <c r="Y183">
        <f>(AT183*1.2)</f>
        <v>101.604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5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84.67</v>
      </c>
      <c r="AU183" t="s">
        <v>120</v>
      </c>
      <c r="AV183">
        <v>1</v>
      </c>
      <c r="AW183">
        <v>2</v>
      </c>
      <c r="AX183">
        <v>57249255</v>
      </c>
      <c r="AY183">
        <v>1</v>
      </c>
      <c r="AZ183">
        <v>0</v>
      </c>
      <c r="BA183">
        <v>241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ROUND(AT183*Source!I136*AH183*AL183,2)</f>
        <v>0</v>
      </c>
      <c r="CV183">
        <f>ROUND(Y183*Source!I136,9)</f>
        <v>12.19248</v>
      </c>
      <c r="CW183">
        <v>0</v>
      </c>
      <c r="CX183">
        <f>ROUND(Y183*Source!I136,9)</f>
        <v>12.19248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si="70"/>
        <v>0</v>
      </c>
      <c r="DG183">
        <f t="shared" si="67"/>
        <v>0</v>
      </c>
      <c r="DH183">
        <f t="shared" si="69"/>
        <v>0</v>
      </c>
      <c r="DI183">
        <f t="shared" si="47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ROW(Source!A136)</f>
        <v>136</v>
      </c>
      <c r="B184">
        <v>57248837</v>
      </c>
      <c r="C184">
        <v>57249248</v>
      </c>
      <c r="D184">
        <v>54768339</v>
      </c>
      <c r="E184">
        <v>1</v>
      </c>
      <c r="F184">
        <v>1</v>
      </c>
      <c r="G184">
        <v>1081</v>
      </c>
      <c r="H184">
        <v>2</v>
      </c>
      <c r="I184" t="s">
        <v>497</v>
      </c>
      <c r="J184" t="s">
        <v>498</v>
      </c>
      <c r="K184" t="s">
        <v>499</v>
      </c>
      <c r="L184">
        <v>1368</v>
      </c>
      <c r="N184">
        <v>1011</v>
      </c>
      <c r="O184" t="s">
        <v>463</v>
      </c>
      <c r="P184" t="s">
        <v>463</v>
      </c>
      <c r="Q184">
        <v>1</v>
      </c>
      <c r="W184">
        <v>0</v>
      </c>
      <c r="X184">
        <v>874612079</v>
      </c>
      <c r="Y184">
        <f>(AT184*1.2)</f>
        <v>1.236</v>
      </c>
      <c r="AA184">
        <v>0</v>
      </c>
      <c r="AB184">
        <v>1485.19</v>
      </c>
      <c r="AC184">
        <v>744.56</v>
      </c>
      <c r="AD184">
        <v>0</v>
      </c>
      <c r="AE184">
        <v>0</v>
      </c>
      <c r="AF184">
        <v>83.1</v>
      </c>
      <c r="AG184">
        <v>12.62</v>
      </c>
      <c r="AH184">
        <v>0</v>
      </c>
      <c r="AI184">
        <v>1</v>
      </c>
      <c r="AJ184">
        <v>17.07</v>
      </c>
      <c r="AK184">
        <v>56.35</v>
      </c>
      <c r="AL184">
        <v>1</v>
      </c>
      <c r="AM184">
        <v>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1.03</v>
      </c>
      <c r="AU184" t="s">
        <v>120</v>
      </c>
      <c r="AV184">
        <v>0</v>
      </c>
      <c r="AW184">
        <v>2</v>
      </c>
      <c r="AX184">
        <v>57249256</v>
      </c>
      <c r="AY184">
        <v>1</v>
      </c>
      <c r="AZ184">
        <v>0</v>
      </c>
      <c r="BA184">
        <v>242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ROUND(Y184*Source!I136*DO184,9)</f>
        <v>1.8717984000000001</v>
      </c>
      <c r="CX184">
        <f>ROUND(Y184*Source!I136,9)</f>
        <v>0.14832000000000001</v>
      </c>
      <c r="CY184">
        <f>AB184</f>
        <v>1485.19</v>
      </c>
      <c r="CZ184">
        <f>AF184</f>
        <v>83.1</v>
      </c>
      <c r="DA184">
        <f>AJ184</f>
        <v>17.07</v>
      </c>
      <c r="DB184">
        <f>ROUND((ROUND(AT184*CZ184,2)*1.2),6)</f>
        <v>102.708</v>
      </c>
      <c r="DC184">
        <f>ROUND((ROUND(AT184*AG184,2)*1.2),6)</f>
        <v>15.6</v>
      </c>
      <c r="DD184" t="s">
        <v>3</v>
      </c>
      <c r="DE184" t="s">
        <v>3</v>
      </c>
      <c r="DF184">
        <f t="shared" si="70"/>
        <v>0</v>
      </c>
      <c r="DG184">
        <f>ROUND(ROUND(AF184*AJ184,2)*CX184,2)</f>
        <v>210.39</v>
      </c>
      <c r="DH184">
        <f>ROUND(ROUND(AG184*AK184,2)*CX184,2)</f>
        <v>105.48</v>
      </c>
      <c r="DI184">
        <f t="shared" si="47"/>
        <v>0</v>
      </c>
      <c r="DJ184">
        <f>DG184</f>
        <v>210.39</v>
      </c>
      <c r="DK184">
        <v>0</v>
      </c>
      <c r="DL184" t="s">
        <v>500</v>
      </c>
      <c r="DM184">
        <v>0</v>
      </c>
      <c r="DN184" t="s">
        <v>459</v>
      </c>
      <c r="DO184">
        <v>12.62</v>
      </c>
    </row>
    <row r="185" spans="1:119" x14ac:dyDescent="0.2">
      <c r="A185">
        <f>ROW(Source!A136)</f>
        <v>136</v>
      </c>
      <c r="B185">
        <v>57248837</v>
      </c>
      <c r="C185">
        <v>57249248</v>
      </c>
      <c r="D185">
        <v>54768454</v>
      </c>
      <c r="E185">
        <v>1</v>
      </c>
      <c r="F185">
        <v>1</v>
      </c>
      <c r="G185">
        <v>1081</v>
      </c>
      <c r="H185">
        <v>2</v>
      </c>
      <c r="I185" t="s">
        <v>501</v>
      </c>
      <c r="J185" t="s">
        <v>502</v>
      </c>
      <c r="K185" t="s">
        <v>503</v>
      </c>
      <c r="L185">
        <v>1368</v>
      </c>
      <c r="N185">
        <v>1011</v>
      </c>
      <c r="O185" t="s">
        <v>463</v>
      </c>
      <c r="P185" t="s">
        <v>463</v>
      </c>
      <c r="Q185">
        <v>1</v>
      </c>
      <c r="W185">
        <v>0</v>
      </c>
      <c r="X185">
        <v>1906446486</v>
      </c>
      <c r="Y185">
        <f>(AT185*1.2)</f>
        <v>26.495999999999999</v>
      </c>
      <c r="AA185">
        <v>0</v>
      </c>
      <c r="AB185">
        <v>3.37</v>
      </c>
      <c r="AC185">
        <v>0</v>
      </c>
      <c r="AD185">
        <v>0</v>
      </c>
      <c r="AE185">
        <v>0</v>
      </c>
      <c r="AF185">
        <v>0.35</v>
      </c>
      <c r="AG185">
        <v>0</v>
      </c>
      <c r="AH185">
        <v>0</v>
      </c>
      <c r="AI185">
        <v>1</v>
      </c>
      <c r="AJ185">
        <v>9.1999999999999993</v>
      </c>
      <c r="AK185">
        <v>1</v>
      </c>
      <c r="AL185">
        <v>1</v>
      </c>
      <c r="AM185">
        <v>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22.08</v>
      </c>
      <c r="AU185" t="s">
        <v>120</v>
      </c>
      <c r="AV185">
        <v>0</v>
      </c>
      <c r="AW185">
        <v>2</v>
      </c>
      <c r="AX185">
        <v>57249257</v>
      </c>
      <c r="AY185">
        <v>1</v>
      </c>
      <c r="AZ185">
        <v>0</v>
      </c>
      <c r="BA185">
        <v>243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f>ROUND(Y185*Source!I136*DO185,9)</f>
        <v>0</v>
      </c>
      <c r="CX185">
        <f>ROUND(Y185*Source!I136,9)</f>
        <v>3.1795200000000001</v>
      </c>
      <c r="CY185">
        <f>AB185</f>
        <v>3.37</v>
      </c>
      <c r="CZ185">
        <f>AF185</f>
        <v>0.35</v>
      </c>
      <c r="DA185">
        <f>AJ185</f>
        <v>9.1999999999999993</v>
      </c>
      <c r="DB185">
        <f>ROUND((ROUND(AT185*CZ185,2)*1.2),6)</f>
        <v>9.2759999999999998</v>
      </c>
      <c r="DC185">
        <f>ROUND((ROUND(AT185*AG185,2)*1.2),6)</f>
        <v>0</v>
      </c>
      <c r="DD185" t="s">
        <v>3</v>
      </c>
      <c r="DE185" t="s">
        <v>3</v>
      </c>
      <c r="DF185">
        <f t="shared" si="70"/>
        <v>0</v>
      </c>
      <c r="DG185">
        <f>ROUND(ROUND(AF185*AJ185,2)*CX185,2)</f>
        <v>10.24</v>
      </c>
      <c r="DH185">
        <f t="shared" ref="DH185:DH207" si="71">ROUND(ROUND(AG185,2)*CX185,2)</f>
        <v>0</v>
      </c>
      <c r="DI185">
        <f t="shared" si="47"/>
        <v>0</v>
      </c>
      <c r="DJ185">
        <f>DG185</f>
        <v>10.24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ROW(Source!A136)</f>
        <v>136</v>
      </c>
      <c r="B186">
        <v>57248837</v>
      </c>
      <c r="C186">
        <v>57249248</v>
      </c>
      <c r="D186">
        <v>54738554</v>
      </c>
      <c r="E186">
        <v>1</v>
      </c>
      <c r="F186">
        <v>1</v>
      </c>
      <c r="G186">
        <v>1081</v>
      </c>
      <c r="H186">
        <v>3</v>
      </c>
      <c r="I186" t="s">
        <v>504</v>
      </c>
      <c r="J186" t="s">
        <v>505</v>
      </c>
      <c r="K186" t="s">
        <v>506</v>
      </c>
      <c r="L186">
        <v>1346</v>
      </c>
      <c r="N186">
        <v>1009</v>
      </c>
      <c r="O186" t="s">
        <v>320</v>
      </c>
      <c r="P186" t="s">
        <v>320</v>
      </c>
      <c r="Q186">
        <v>1</v>
      </c>
      <c r="W186">
        <v>0</v>
      </c>
      <c r="X186">
        <v>1309298634</v>
      </c>
      <c r="Y186">
        <f>(AT186*1)</f>
        <v>0.21</v>
      </c>
      <c r="AA186">
        <v>286.31</v>
      </c>
      <c r="AB186">
        <v>0</v>
      </c>
      <c r="AC186">
        <v>0</v>
      </c>
      <c r="AD186">
        <v>0</v>
      </c>
      <c r="AE186">
        <v>159.06</v>
      </c>
      <c r="AF186">
        <v>0</v>
      </c>
      <c r="AG186">
        <v>0</v>
      </c>
      <c r="AH186">
        <v>0</v>
      </c>
      <c r="AI186">
        <v>1.8</v>
      </c>
      <c r="AJ186">
        <v>1</v>
      </c>
      <c r="AK186">
        <v>1</v>
      </c>
      <c r="AL186">
        <v>1</v>
      </c>
      <c r="AM186">
        <v>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0.21</v>
      </c>
      <c r="AU186" t="s">
        <v>119</v>
      </c>
      <c r="AV186">
        <v>0</v>
      </c>
      <c r="AW186">
        <v>2</v>
      </c>
      <c r="AX186">
        <v>57249258</v>
      </c>
      <c r="AY186">
        <v>1</v>
      </c>
      <c r="AZ186">
        <v>0</v>
      </c>
      <c r="BA186">
        <v>244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ROUND(Y186*Source!I136,9)</f>
        <v>2.52E-2</v>
      </c>
      <c r="CY186">
        <f>AA186</f>
        <v>286.31</v>
      </c>
      <c r="CZ186">
        <f>AE186</f>
        <v>159.06</v>
      </c>
      <c r="DA186">
        <f>AI186</f>
        <v>1.8</v>
      </c>
      <c r="DB186">
        <f>ROUND((ROUND(AT186*CZ186,2)*1),6)</f>
        <v>33.4</v>
      </c>
      <c r="DC186">
        <f>ROUND((ROUND(AT186*AG186,2)*1),6)</f>
        <v>0</v>
      </c>
      <c r="DD186" t="s">
        <v>3</v>
      </c>
      <c r="DE186" t="s">
        <v>3</v>
      </c>
      <c r="DF186">
        <f>ROUND(ROUND(AE186*AI186,2)*CX186,2)</f>
        <v>7.22</v>
      </c>
      <c r="DG186">
        <f t="shared" ref="DG186:DG195" si="72">ROUND(ROUND(AF186,2)*CX186,2)</f>
        <v>0</v>
      </c>
      <c r="DH186">
        <f t="shared" si="71"/>
        <v>0</v>
      </c>
      <c r="DI186">
        <f t="shared" si="47"/>
        <v>0</v>
      </c>
      <c r="DJ186">
        <f>DF186</f>
        <v>7.22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ROW(Source!A136)</f>
        <v>136</v>
      </c>
      <c r="B187">
        <v>57248837</v>
      </c>
      <c r="C187">
        <v>57249248</v>
      </c>
      <c r="D187">
        <v>54737470</v>
      </c>
      <c r="E187">
        <v>1</v>
      </c>
      <c r="F187">
        <v>1</v>
      </c>
      <c r="G187">
        <v>1081</v>
      </c>
      <c r="H187">
        <v>3</v>
      </c>
      <c r="I187" t="s">
        <v>467</v>
      </c>
      <c r="J187" t="s">
        <v>468</v>
      </c>
      <c r="K187" t="s">
        <v>469</v>
      </c>
      <c r="L187">
        <v>1354</v>
      </c>
      <c r="N187">
        <v>1010</v>
      </c>
      <c r="O187" t="s">
        <v>228</v>
      </c>
      <c r="P187" t="s">
        <v>228</v>
      </c>
      <c r="Q187">
        <v>1</v>
      </c>
      <c r="W187">
        <v>0</v>
      </c>
      <c r="X187">
        <v>-1352077490</v>
      </c>
      <c r="Y187">
        <f>(AT187*1)</f>
        <v>4.08</v>
      </c>
      <c r="AA187">
        <v>0.83</v>
      </c>
      <c r="AB187">
        <v>0</v>
      </c>
      <c r="AC187">
        <v>0</v>
      </c>
      <c r="AD187">
        <v>0</v>
      </c>
      <c r="AE187">
        <v>0.89</v>
      </c>
      <c r="AF187">
        <v>0</v>
      </c>
      <c r="AG187">
        <v>0</v>
      </c>
      <c r="AH187">
        <v>0</v>
      </c>
      <c r="AI187">
        <v>0.93</v>
      </c>
      <c r="AJ187">
        <v>1</v>
      </c>
      <c r="AK187">
        <v>1</v>
      </c>
      <c r="AL187">
        <v>1</v>
      </c>
      <c r="AM187">
        <v>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4.08</v>
      </c>
      <c r="AU187" t="s">
        <v>119</v>
      </c>
      <c r="AV187">
        <v>0</v>
      </c>
      <c r="AW187">
        <v>2</v>
      </c>
      <c r="AX187">
        <v>57249259</v>
      </c>
      <c r="AY187">
        <v>1</v>
      </c>
      <c r="AZ187">
        <v>0</v>
      </c>
      <c r="BA187">
        <v>245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ROUND(Y187*Source!I136,9)</f>
        <v>0.48959999999999998</v>
      </c>
      <c r="CY187">
        <f>AA187</f>
        <v>0.83</v>
      </c>
      <c r="CZ187">
        <f>AE187</f>
        <v>0.89</v>
      </c>
      <c r="DA187">
        <f>AI187</f>
        <v>0.93</v>
      </c>
      <c r="DB187">
        <f>ROUND((ROUND(AT187*CZ187,2)*1),6)</f>
        <v>3.63</v>
      </c>
      <c r="DC187">
        <f>ROUND((ROUND(AT187*AG187,2)*1),6)</f>
        <v>0</v>
      </c>
      <c r="DD187" t="s">
        <v>3</v>
      </c>
      <c r="DE187" t="s">
        <v>3</v>
      </c>
      <c r="DF187">
        <f>ROUND(ROUND(AE187*AI187,2)*CX187,2)</f>
        <v>0.41</v>
      </c>
      <c r="DG187">
        <f t="shared" si="72"/>
        <v>0</v>
      </c>
      <c r="DH187">
        <f t="shared" si="71"/>
        <v>0</v>
      </c>
      <c r="DI187">
        <f t="shared" si="47"/>
        <v>0</v>
      </c>
      <c r="DJ187">
        <f>DF187</f>
        <v>0.41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ROW(Source!A136)</f>
        <v>136</v>
      </c>
      <c r="B188">
        <v>57248837</v>
      </c>
      <c r="C188">
        <v>57249248</v>
      </c>
      <c r="D188">
        <v>54766003</v>
      </c>
      <c r="E188">
        <v>1</v>
      </c>
      <c r="F188">
        <v>1</v>
      </c>
      <c r="G188">
        <v>1081</v>
      </c>
      <c r="H188">
        <v>3</v>
      </c>
      <c r="I188" t="s">
        <v>507</v>
      </c>
      <c r="J188" t="s">
        <v>508</v>
      </c>
      <c r="K188" t="s">
        <v>509</v>
      </c>
      <c r="L188">
        <v>1303</v>
      </c>
      <c r="N188">
        <v>1003</v>
      </c>
      <c r="O188" t="s">
        <v>390</v>
      </c>
      <c r="P188" t="s">
        <v>390</v>
      </c>
      <c r="Q188">
        <v>1000</v>
      </c>
      <c r="W188">
        <v>0</v>
      </c>
      <c r="X188">
        <v>1578855358</v>
      </c>
      <c r="Y188">
        <f>(AT188*1)</f>
        <v>1.5299999999999999E-2</v>
      </c>
      <c r="AA188">
        <v>52499.26</v>
      </c>
      <c r="AB188">
        <v>0</v>
      </c>
      <c r="AC188">
        <v>0</v>
      </c>
      <c r="AD188">
        <v>0</v>
      </c>
      <c r="AE188">
        <v>2897.31</v>
      </c>
      <c r="AF188">
        <v>0</v>
      </c>
      <c r="AG188">
        <v>0</v>
      </c>
      <c r="AH188">
        <v>0</v>
      </c>
      <c r="AI188">
        <v>18.12</v>
      </c>
      <c r="AJ188">
        <v>1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1.5299999999999999E-2</v>
      </c>
      <c r="AU188" t="s">
        <v>119</v>
      </c>
      <c r="AV188">
        <v>0</v>
      </c>
      <c r="AW188">
        <v>2</v>
      </c>
      <c r="AX188">
        <v>57249260</v>
      </c>
      <c r="AY188">
        <v>1</v>
      </c>
      <c r="AZ188">
        <v>0</v>
      </c>
      <c r="BA188">
        <v>246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ROUND(Y188*Source!I136,9)</f>
        <v>1.836E-3</v>
      </c>
      <c r="CY188">
        <f>AA188</f>
        <v>52499.26</v>
      </c>
      <c r="CZ188">
        <f>AE188</f>
        <v>2897.31</v>
      </c>
      <c r="DA188">
        <f>AI188</f>
        <v>18.12</v>
      </c>
      <c r="DB188">
        <f>ROUND((ROUND(AT188*CZ188,2)*1),6)</f>
        <v>44.33</v>
      </c>
      <c r="DC188">
        <f>ROUND((ROUND(AT188*AG188,2)*1),6)</f>
        <v>0</v>
      </c>
      <c r="DD188" t="s">
        <v>3</v>
      </c>
      <c r="DE188" t="s">
        <v>3</v>
      </c>
      <c r="DF188">
        <f>ROUND(ROUND(AE188*AI188,2)*CX188,2)</f>
        <v>96.39</v>
      </c>
      <c r="DG188">
        <f t="shared" si="72"/>
        <v>0</v>
      </c>
      <c r="DH188">
        <f t="shared" si="71"/>
        <v>0</v>
      </c>
      <c r="DI188">
        <f t="shared" si="47"/>
        <v>0</v>
      </c>
      <c r="DJ188">
        <f>DF188</f>
        <v>96.39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ROW(Source!A139)</f>
        <v>139</v>
      </c>
      <c r="B189">
        <v>57248835</v>
      </c>
      <c r="C189">
        <v>57249264</v>
      </c>
      <c r="D189">
        <v>54702434</v>
      </c>
      <c r="E189">
        <v>1081</v>
      </c>
      <c r="F189">
        <v>1</v>
      </c>
      <c r="G189">
        <v>1081</v>
      </c>
      <c r="H189">
        <v>1</v>
      </c>
      <c r="I189" t="s">
        <v>457</v>
      </c>
      <c r="J189" t="s">
        <v>3</v>
      </c>
      <c r="K189" t="s">
        <v>458</v>
      </c>
      <c r="L189">
        <v>1191</v>
      </c>
      <c r="N189">
        <v>1013</v>
      </c>
      <c r="O189" t="s">
        <v>459</v>
      </c>
      <c r="P189" t="s">
        <v>459</v>
      </c>
      <c r="Q189">
        <v>1</v>
      </c>
      <c r="W189">
        <v>0</v>
      </c>
      <c r="X189">
        <v>476480486</v>
      </c>
      <c r="Y189">
        <f>(AT189*1.2)</f>
        <v>2.016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-2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1.68</v>
      </c>
      <c r="AU189" t="s">
        <v>120</v>
      </c>
      <c r="AV189">
        <v>1</v>
      </c>
      <c r="AW189">
        <v>2</v>
      </c>
      <c r="AX189">
        <v>57249266</v>
      </c>
      <c r="AY189">
        <v>1</v>
      </c>
      <c r="AZ189">
        <v>0</v>
      </c>
      <c r="BA189">
        <v>249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U189">
        <f>ROUND(AT189*Source!I139*AH189*AL189,2)</f>
        <v>0</v>
      </c>
      <c r="CV189">
        <f>ROUND(Y189*Source!I139,9)</f>
        <v>8.0640000000000001</v>
      </c>
      <c r="CW189">
        <v>0</v>
      </c>
      <c r="CX189">
        <f>ROUND(Y189*Source!I139,9)</f>
        <v>8.0640000000000001</v>
      </c>
      <c r="CY189">
        <f>AD189</f>
        <v>0</v>
      </c>
      <c r="CZ189">
        <f>AH189</f>
        <v>0</v>
      </c>
      <c r="DA189">
        <f>AL189</f>
        <v>1</v>
      </c>
      <c r="DB189">
        <f>ROUND((ROUND(AT189*CZ189,2)*1.2),6)</f>
        <v>0</v>
      </c>
      <c r="DC189">
        <f>ROUND((ROUND(AT189*AG189,2)*1.2),6)</f>
        <v>0</v>
      </c>
      <c r="DD189" t="s">
        <v>3</v>
      </c>
      <c r="DE189" t="s">
        <v>3</v>
      </c>
      <c r="DF189">
        <f t="shared" ref="DF189:DF196" si="73">ROUND(ROUND(AE189,2)*CX189,2)</f>
        <v>0</v>
      </c>
      <c r="DG189">
        <f t="shared" si="72"/>
        <v>0</v>
      </c>
      <c r="DH189">
        <f t="shared" si="71"/>
        <v>0</v>
      </c>
      <c r="DI189">
        <f t="shared" si="47"/>
        <v>0</v>
      </c>
      <c r="DJ189">
        <f>DI189</f>
        <v>0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ROW(Source!A140)</f>
        <v>140</v>
      </c>
      <c r="B190">
        <v>57248837</v>
      </c>
      <c r="C190">
        <v>57249264</v>
      </c>
      <c r="D190">
        <v>54702434</v>
      </c>
      <c r="E190">
        <v>1081</v>
      </c>
      <c r="F190">
        <v>1</v>
      </c>
      <c r="G190">
        <v>1081</v>
      </c>
      <c r="H190">
        <v>1</v>
      </c>
      <c r="I190" t="s">
        <v>457</v>
      </c>
      <c r="J190" t="s">
        <v>3</v>
      </c>
      <c r="K190" t="s">
        <v>458</v>
      </c>
      <c r="L190">
        <v>1191</v>
      </c>
      <c r="N190">
        <v>1013</v>
      </c>
      <c r="O190" t="s">
        <v>459</v>
      </c>
      <c r="P190" t="s">
        <v>459</v>
      </c>
      <c r="Q190">
        <v>1</v>
      </c>
      <c r="W190">
        <v>0</v>
      </c>
      <c r="X190">
        <v>476480486</v>
      </c>
      <c r="Y190">
        <f>(AT190*1.2)</f>
        <v>2.016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5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1.68</v>
      </c>
      <c r="AU190" t="s">
        <v>120</v>
      </c>
      <c r="AV190">
        <v>1</v>
      </c>
      <c r="AW190">
        <v>2</v>
      </c>
      <c r="AX190">
        <v>57249266</v>
      </c>
      <c r="AY190">
        <v>1</v>
      </c>
      <c r="AZ190">
        <v>0</v>
      </c>
      <c r="BA190">
        <v>250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U190">
        <f>ROUND(AT190*Source!I140*AH190*AL190,2)</f>
        <v>0</v>
      </c>
      <c r="CV190">
        <f>ROUND(Y190*Source!I140,9)</f>
        <v>8.0640000000000001</v>
      </c>
      <c r="CW190">
        <v>0</v>
      </c>
      <c r="CX190">
        <f>ROUND(Y190*Source!I140,9)</f>
        <v>8.0640000000000001</v>
      </c>
      <c r="CY190">
        <f>AD190</f>
        <v>0</v>
      </c>
      <c r="CZ190">
        <f>AH190</f>
        <v>0</v>
      </c>
      <c r="DA190">
        <f>AL190</f>
        <v>1</v>
      </c>
      <c r="DB190">
        <f>ROUND((ROUND(AT190*CZ190,2)*1.2),6)</f>
        <v>0</v>
      </c>
      <c r="DC190">
        <f>ROUND((ROUND(AT190*AG190,2)*1.2),6)</f>
        <v>0</v>
      </c>
      <c r="DD190" t="s">
        <v>3</v>
      </c>
      <c r="DE190" t="s">
        <v>3</v>
      </c>
      <c r="DF190">
        <f t="shared" si="73"/>
        <v>0</v>
      </c>
      <c r="DG190">
        <f t="shared" si="72"/>
        <v>0</v>
      </c>
      <c r="DH190">
        <f t="shared" si="71"/>
        <v>0</v>
      </c>
      <c r="DI190">
        <f t="shared" si="47"/>
        <v>0</v>
      </c>
      <c r="DJ190">
        <f>DI190</f>
        <v>0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ROW(Source!A143)</f>
        <v>143</v>
      </c>
      <c r="B191">
        <v>57248835</v>
      </c>
      <c r="C191">
        <v>57249273</v>
      </c>
      <c r="D191">
        <v>54702434</v>
      </c>
      <c r="E191">
        <v>1081</v>
      </c>
      <c r="F191">
        <v>1</v>
      </c>
      <c r="G191">
        <v>1081</v>
      </c>
      <c r="H191">
        <v>1</v>
      </c>
      <c r="I191" t="s">
        <v>457</v>
      </c>
      <c r="J191" t="s">
        <v>3</v>
      </c>
      <c r="K191" t="s">
        <v>458</v>
      </c>
      <c r="L191">
        <v>1191</v>
      </c>
      <c r="N191">
        <v>1013</v>
      </c>
      <c r="O191" t="s">
        <v>459</v>
      </c>
      <c r="P191" t="s">
        <v>459</v>
      </c>
      <c r="Q191">
        <v>1</v>
      </c>
      <c r="W191">
        <v>0</v>
      </c>
      <c r="X191">
        <v>476480486</v>
      </c>
      <c r="Y191">
        <f>(AT191*1.2)</f>
        <v>0.72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-2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0.6</v>
      </c>
      <c r="AU191" t="s">
        <v>120</v>
      </c>
      <c r="AV191">
        <v>1</v>
      </c>
      <c r="AW191">
        <v>2</v>
      </c>
      <c r="AX191">
        <v>57249278</v>
      </c>
      <c r="AY191">
        <v>1</v>
      </c>
      <c r="AZ191">
        <v>0</v>
      </c>
      <c r="BA191">
        <v>251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ROUND(AT191*Source!I143*AH191*AL191,2)</f>
        <v>0</v>
      </c>
      <c r="CV191">
        <f>ROUND(Y191*Source!I143,9)</f>
        <v>6.48</v>
      </c>
      <c r="CW191">
        <v>0</v>
      </c>
      <c r="CX191">
        <f>ROUND(Y191*Source!I143,9)</f>
        <v>6.48</v>
      </c>
      <c r="CY191">
        <f>AD191</f>
        <v>0</v>
      </c>
      <c r="CZ191">
        <f>AH191</f>
        <v>0</v>
      </c>
      <c r="DA191">
        <f>AL191</f>
        <v>1</v>
      </c>
      <c r="DB191">
        <f>ROUND((ROUND(AT191*CZ191,2)*1.2),6)</f>
        <v>0</v>
      </c>
      <c r="DC191">
        <f>ROUND((ROUND(AT191*AG191,2)*1.2),6)</f>
        <v>0</v>
      </c>
      <c r="DD191" t="s">
        <v>3</v>
      </c>
      <c r="DE191" t="s">
        <v>3</v>
      </c>
      <c r="DF191">
        <f t="shared" si="73"/>
        <v>0</v>
      </c>
      <c r="DG191">
        <f t="shared" si="72"/>
        <v>0</v>
      </c>
      <c r="DH191">
        <f t="shared" si="71"/>
        <v>0</v>
      </c>
      <c r="DI191">
        <f t="shared" si="47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ROW(Source!A143)</f>
        <v>143</v>
      </c>
      <c r="B192">
        <v>57248835</v>
      </c>
      <c r="C192">
        <v>57249273</v>
      </c>
      <c r="D192">
        <v>54768393</v>
      </c>
      <c r="E192">
        <v>1</v>
      </c>
      <c r="F192">
        <v>1</v>
      </c>
      <c r="G192">
        <v>1081</v>
      </c>
      <c r="H192">
        <v>2</v>
      </c>
      <c r="I192" t="s">
        <v>510</v>
      </c>
      <c r="J192" t="s">
        <v>511</v>
      </c>
      <c r="K192" t="s">
        <v>512</v>
      </c>
      <c r="L192">
        <v>1368</v>
      </c>
      <c r="N192">
        <v>1011</v>
      </c>
      <c r="O192" t="s">
        <v>463</v>
      </c>
      <c r="P192" t="s">
        <v>463</v>
      </c>
      <c r="Q192">
        <v>1</v>
      </c>
      <c r="W192">
        <v>0</v>
      </c>
      <c r="X192">
        <v>-1895752648</v>
      </c>
      <c r="Y192">
        <f>(AT192*1.2)</f>
        <v>7.1999999999999995E-2</v>
      </c>
      <c r="AA192">
        <v>0</v>
      </c>
      <c r="AB192">
        <v>0.82</v>
      </c>
      <c r="AC192">
        <v>0</v>
      </c>
      <c r="AD192">
        <v>0</v>
      </c>
      <c r="AE192">
        <v>0</v>
      </c>
      <c r="AF192">
        <v>0.77</v>
      </c>
      <c r="AG192">
        <v>0</v>
      </c>
      <c r="AH192">
        <v>0</v>
      </c>
      <c r="AI192">
        <v>1</v>
      </c>
      <c r="AJ192">
        <v>1</v>
      </c>
      <c r="AK192">
        <v>1</v>
      </c>
      <c r="AL192">
        <v>1</v>
      </c>
      <c r="AM192">
        <v>-2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0.06</v>
      </c>
      <c r="AU192" t="s">
        <v>120</v>
      </c>
      <c r="AV192">
        <v>0</v>
      </c>
      <c r="AW192">
        <v>2</v>
      </c>
      <c r="AX192">
        <v>57249279</v>
      </c>
      <c r="AY192">
        <v>1</v>
      </c>
      <c r="AZ192">
        <v>0</v>
      </c>
      <c r="BA192">
        <v>252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ROUND(Y192*Source!I143*DO192,9)</f>
        <v>0</v>
      </c>
      <c r="CX192">
        <f>ROUND(Y192*Source!I143,9)</f>
        <v>0.64800000000000002</v>
      </c>
      <c r="CY192">
        <f>AB192</f>
        <v>0.82</v>
      </c>
      <c r="CZ192">
        <f>AF192</f>
        <v>0.77</v>
      </c>
      <c r="DA192">
        <f>AJ192</f>
        <v>1</v>
      </c>
      <c r="DB192">
        <f>ROUND((ROUND(AT192*CZ192,2)*1.2),6)</f>
        <v>0.06</v>
      </c>
      <c r="DC192">
        <f>ROUND((ROUND(AT192*AG192,2)*1.2),6)</f>
        <v>0</v>
      </c>
      <c r="DD192" t="s">
        <v>3</v>
      </c>
      <c r="DE192" t="s">
        <v>3</v>
      </c>
      <c r="DF192">
        <f t="shared" si="73"/>
        <v>0</v>
      </c>
      <c r="DG192">
        <f t="shared" si="72"/>
        <v>0.5</v>
      </c>
      <c r="DH192">
        <f t="shared" si="71"/>
        <v>0</v>
      </c>
      <c r="DI192">
        <f t="shared" si="47"/>
        <v>0</v>
      </c>
      <c r="DJ192">
        <f>DG192</f>
        <v>0.5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ROW(Source!A143)</f>
        <v>143</v>
      </c>
      <c r="B193">
        <v>57248835</v>
      </c>
      <c r="C193">
        <v>57249273</v>
      </c>
      <c r="D193">
        <v>54739202</v>
      </c>
      <c r="E193">
        <v>1</v>
      </c>
      <c r="F193">
        <v>1</v>
      </c>
      <c r="G193">
        <v>1081</v>
      </c>
      <c r="H193">
        <v>3</v>
      </c>
      <c r="I193" t="s">
        <v>513</v>
      </c>
      <c r="J193" t="s">
        <v>514</v>
      </c>
      <c r="K193" t="s">
        <v>515</v>
      </c>
      <c r="L193">
        <v>1348</v>
      </c>
      <c r="N193">
        <v>1009</v>
      </c>
      <c r="O193" t="s">
        <v>298</v>
      </c>
      <c r="P193" t="s">
        <v>298</v>
      </c>
      <c r="Q193">
        <v>1000</v>
      </c>
      <c r="W193">
        <v>0</v>
      </c>
      <c r="X193">
        <v>895851324</v>
      </c>
      <c r="Y193">
        <f>(AT193*1)</f>
        <v>3.0000000000000001E-5</v>
      </c>
      <c r="AA193">
        <v>38894.449999999997</v>
      </c>
      <c r="AB193">
        <v>0</v>
      </c>
      <c r="AC193">
        <v>0</v>
      </c>
      <c r="AD193">
        <v>0</v>
      </c>
      <c r="AE193">
        <v>37835.07</v>
      </c>
      <c r="AF193">
        <v>0</v>
      </c>
      <c r="AG193">
        <v>0</v>
      </c>
      <c r="AH193">
        <v>0</v>
      </c>
      <c r="AI193">
        <v>1</v>
      </c>
      <c r="AJ193">
        <v>1</v>
      </c>
      <c r="AK193">
        <v>1</v>
      </c>
      <c r="AL193">
        <v>1</v>
      </c>
      <c r="AM193">
        <v>-2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3.0000000000000001E-5</v>
      </c>
      <c r="AU193" t="s">
        <v>119</v>
      </c>
      <c r="AV193">
        <v>0</v>
      </c>
      <c r="AW193">
        <v>2</v>
      </c>
      <c r="AX193">
        <v>57249281</v>
      </c>
      <c r="AY193">
        <v>1</v>
      </c>
      <c r="AZ193">
        <v>0</v>
      </c>
      <c r="BA193">
        <v>254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ROUND(Y193*Source!I143,9)</f>
        <v>2.7E-4</v>
      </c>
      <c r="CY193">
        <f>AA193</f>
        <v>38894.449999999997</v>
      </c>
      <c r="CZ193">
        <f>AE193</f>
        <v>37835.07</v>
      </c>
      <c r="DA193">
        <f>AI193</f>
        <v>1</v>
      </c>
      <c r="DB193">
        <f>ROUND((ROUND(AT193*CZ193,2)*1),6)</f>
        <v>1.1399999999999999</v>
      </c>
      <c r="DC193">
        <f>ROUND((ROUND(AT193*AG193,2)*1),6)</f>
        <v>0</v>
      </c>
      <c r="DD193" t="s">
        <v>3</v>
      </c>
      <c r="DE193" t="s">
        <v>3</v>
      </c>
      <c r="DF193">
        <f t="shared" si="73"/>
        <v>10.220000000000001</v>
      </c>
      <c r="DG193">
        <f t="shared" si="72"/>
        <v>0</v>
      </c>
      <c r="DH193">
        <f t="shared" si="71"/>
        <v>0</v>
      </c>
      <c r="DI193">
        <f t="shared" ref="DI193:DI256" si="74">ROUND(ROUND(AH193,2)*CX193,2)</f>
        <v>0</v>
      </c>
      <c r="DJ193">
        <f>DF193</f>
        <v>10.220000000000001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ROW(Source!A143)</f>
        <v>143</v>
      </c>
      <c r="B194">
        <v>57248835</v>
      </c>
      <c r="C194">
        <v>57249273</v>
      </c>
      <c r="D194">
        <v>54739891</v>
      </c>
      <c r="E194">
        <v>1</v>
      </c>
      <c r="F194">
        <v>1</v>
      </c>
      <c r="G194">
        <v>1081</v>
      </c>
      <c r="H194">
        <v>3</v>
      </c>
      <c r="I194" t="s">
        <v>516</v>
      </c>
      <c r="J194" t="s">
        <v>517</v>
      </c>
      <c r="K194" t="s">
        <v>518</v>
      </c>
      <c r="L194">
        <v>1348</v>
      </c>
      <c r="N194">
        <v>1009</v>
      </c>
      <c r="O194" t="s">
        <v>298</v>
      </c>
      <c r="P194" t="s">
        <v>298</v>
      </c>
      <c r="Q194">
        <v>1000</v>
      </c>
      <c r="W194">
        <v>0</v>
      </c>
      <c r="X194">
        <v>893353442</v>
      </c>
      <c r="Y194">
        <f>(AT194*1)</f>
        <v>1.0000000000000001E-5</v>
      </c>
      <c r="AA194">
        <v>17525.23</v>
      </c>
      <c r="AB194">
        <v>0</v>
      </c>
      <c r="AC194">
        <v>0</v>
      </c>
      <c r="AD194">
        <v>0</v>
      </c>
      <c r="AE194">
        <v>17047.89</v>
      </c>
      <c r="AF194">
        <v>0</v>
      </c>
      <c r="AG194">
        <v>0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-2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1.0000000000000001E-5</v>
      </c>
      <c r="AU194" t="s">
        <v>119</v>
      </c>
      <c r="AV194">
        <v>0</v>
      </c>
      <c r="AW194">
        <v>2</v>
      </c>
      <c r="AX194">
        <v>57249282</v>
      </c>
      <c r="AY194">
        <v>1</v>
      </c>
      <c r="AZ194">
        <v>0</v>
      </c>
      <c r="BA194">
        <v>255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ROUND(Y194*Source!I143,9)</f>
        <v>9.0000000000000006E-5</v>
      </c>
      <c r="CY194">
        <f>AA194</f>
        <v>17525.23</v>
      </c>
      <c r="CZ194">
        <f>AE194</f>
        <v>17047.89</v>
      </c>
      <c r="DA194">
        <f>AI194</f>
        <v>1</v>
      </c>
      <c r="DB194">
        <f>ROUND((ROUND(AT194*CZ194,2)*1),6)</f>
        <v>0.17</v>
      </c>
      <c r="DC194">
        <f>ROUND((ROUND(AT194*AG194,2)*1),6)</f>
        <v>0</v>
      </c>
      <c r="DD194" t="s">
        <v>3</v>
      </c>
      <c r="DE194" t="s">
        <v>3</v>
      </c>
      <c r="DF194">
        <f t="shared" si="73"/>
        <v>1.53</v>
      </c>
      <c r="DG194">
        <f t="shared" si="72"/>
        <v>0</v>
      </c>
      <c r="DH194">
        <f t="shared" si="71"/>
        <v>0</v>
      </c>
      <c r="DI194">
        <f t="shared" si="74"/>
        <v>0</v>
      </c>
      <c r="DJ194">
        <f>DF194</f>
        <v>1.53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ROW(Source!A144)</f>
        <v>144</v>
      </c>
      <c r="B195">
        <v>57248837</v>
      </c>
      <c r="C195">
        <v>57249273</v>
      </c>
      <c r="D195">
        <v>54702434</v>
      </c>
      <c r="E195">
        <v>1081</v>
      </c>
      <c r="F195">
        <v>1</v>
      </c>
      <c r="G195">
        <v>1081</v>
      </c>
      <c r="H195">
        <v>1</v>
      </c>
      <c r="I195" t="s">
        <v>457</v>
      </c>
      <c r="J195" t="s">
        <v>3</v>
      </c>
      <c r="K195" t="s">
        <v>458</v>
      </c>
      <c r="L195">
        <v>1191</v>
      </c>
      <c r="N195">
        <v>1013</v>
      </c>
      <c r="O195" t="s">
        <v>459</v>
      </c>
      <c r="P195" t="s">
        <v>459</v>
      </c>
      <c r="Q195">
        <v>1</v>
      </c>
      <c r="W195">
        <v>0</v>
      </c>
      <c r="X195">
        <v>476480486</v>
      </c>
      <c r="Y195">
        <f>(AT195*1.2)</f>
        <v>0.72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1</v>
      </c>
      <c r="AK195">
        <v>1</v>
      </c>
      <c r="AL195">
        <v>1</v>
      </c>
      <c r="AM195">
        <v>5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0.6</v>
      </c>
      <c r="AU195" t="s">
        <v>120</v>
      </c>
      <c r="AV195">
        <v>1</v>
      </c>
      <c r="AW195">
        <v>2</v>
      </c>
      <c r="AX195">
        <v>57249278</v>
      </c>
      <c r="AY195">
        <v>1</v>
      </c>
      <c r="AZ195">
        <v>0</v>
      </c>
      <c r="BA195">
        <v>257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U195">
        <f>ROUND(AT195*Source!I144*AH195*AL195,2)</f>
        <v>0</v>
      </c>
      <c r="CV195">
        <f>ROUND(Y195*Source!I144,9)</f>
        <v>6.48</v>
      </c>
      <c r="CW195">
        <v>0</v>
      </c>
      <c r="CX195">
        <f>ROUND(Y195*Source!I144,9)</f>
        <v>6.48</v>
      </c>
      <c r="CY195">
        <f>AD195</f>
        <v>0</v>
      </c>
      <c r="CZ195">
        <f>AH195</f>
        <v>0</v>
      </c>
      <c r="DA195">
        <f>AL195</f>
        <v>1</v>
      </c>
      <c r="DB195">
        <f>ROUND((ROUND(AT195*CZ195,2)*1.2),6)</f>
        <v>0</v>
      </c>
      <c r="DC195">
        <f>ROUND((ROUND(AT195*AG195,2)*1.2),6)</f>
        <v>0</v>
      </c>
      <c r="DD195" t="s">
        <v>3</v>
      </c>
      <c r="DE195" t="s">
        <v>3</v>
      </c>
      <c r="DF195">
        <f t="shared" si="73"/>
        <v>0</v>
      </c>
      <c r="DG195">
        <f t="shared" si="72"/>
        <v>0</v>
      </c>
      <c r="DH195">
        <f t="shared" si="71"/>
        <v>0</v>
      </c>
      <c r="DI195">
        <f t="shared" si="74"/>
        <v>0</v>
      </c>
      <c r="DJ195">
        <f>DI195</f>
        <v>0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ROW(Source!A144)</f>
        <v>144</v>
      </c>
      <c r="B196">
        <v>57248837</v>
      </c>
      <c r="C196">
        <v>57249273</v>
      </c>
      <c r="D196">
        <v>54768393</v>
      </c>
      <c r="E196">
        <v>1</v>
      </c>
      <c r="F196">
        <v>1</v>
      </c>
      <c r="G196">
        <v>1081</v>
      </c>
      <c r="H196">
        <v>2</v>
      </c>
      <c r="I196" t="s">
        <v>510</v>
      </c>
      <c r="J196" t="s">
        <v>511</v>
      </c>
      <c r="K196" t="s">
        <v>512</v>
      </c>
      <c r="L196">
        <v>1368</v>
      </c>
      <c r="N196">
        <v>1011</v>
      </c>
      <c r="O196" t="s">
        <v>463</v>
      </c>
      <c r="P196" t="s">
        <v>463</v>
      </c>
      <c r="Q196">
        <v>1</v>
      </c>
      <c r="W196">
        <v>0</v>
      </c>
      <c r="X196">
        <v>-1895752648</v>
      </c>
      <c r="Y196">
        <f>(AT196*1.2)</f>
        <v>7.1999999999999995E-2</v>
      </c>
      <c r="AA196">
        <v>0</v>
      </c>
      <c r="AB196">
        <v>7.85</v>
      </c>
      <c r="AC196">
        <v>0</v>
      </c>
      <c r="AD196">
        <v>0</v>
      </c>
      <c r="AE196">
        <v>0</v>
      </c>
      <c r="AF196">
        <v>0.77</v>
      </c>
      <c r="AG196">
        <v>0</v>
      </c>
      <c r="AH196">
        <v>0</v>
      </c>
      <c r="AI196">
        <v>1</v>
      </c>
      <c r="AJ196">
        <v>9.56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0.06</v>
      </c>
      <c r="AU196" t="s">
        <v>120</v>
      </c>
      <c r="AV196">
        <v>0</v>
      </c>
      <c r="AW196">
        <v>2</v>
      </c>
      <c r="AX196">
        <v>57249279</v>
      </c>
      <c r="AY196">
        <v>1</v>
      </c>
      <c r="AZ196">
        <v>0</v>
      </c>
      <c r="BA196">
        <v>258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f>ROUND(Y196*Source!I144*DO196,9)</f>
        <v>0</v>
      </c>
      <c r="CX196">
        <f>ROUND(Y196*Source!I144,9)</f>
        <v>0.64800000000000002</v>
      </c>
      <c r="CY196">
        <f>AB196</f>
        <v>7.85</v>
      </c>
      <c r="CZ196">
        <f>AF196</f>
        <v>0.77</v>
      </c>
      <c r="DA196">
        <f>AJ196</f>
        <v>9.56</v>
      </c>
      <c r="DB196">
        <f>ROUND((ROUND(AT196*CZ196,2)*1.2),6)</f>
        <v>0.06</v>
      </c>
      <c r="DC196">
        <f>ROUND((ROUND(AT196*AG196,2)*1.2),6)</f>
        <v>0</v>
      </c>
      <c r="DD196" t="s">
        <v>3</v>
      </c>
      <c r="DE196" t="s">
        <v>3</v>
      </c>
      <c r="DF196">
        <f t="shared" si="73"/>
        <v>0</v>
      </c>
      <c r="DG196">
        <f>ROUND(ROUND(AF196*AJ196,2)*CX196,2)</f>
        <v>4.7699999999999996</v>
      </c>
      <c r="DH196">
        <f t="shared" si="71"/>
        <v>0</v>
      </c>
      <c r="DI196">
        <f t="shared" si="74"/>
        <v>0</v>
      </c>
      <c r="DJ196">
        <f>DG196</f>
        <v>4.7699999999999996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ROW(Source!A144)</f>
        <v>144</v>
      </c>
      <c r="B197">
        <v>57248837</v>
      </c>
      <c r="C197">
        <v>57249273</v>
      </c>
      <c r="D197">
        <v>54739202</v>
      </c>
      <c r="E197">
        <v>1</v>
      </c>
      <c r="F197">
        <v>1</v>
      </c>
      <c r="G197">
        <v>1081</v>
      </c>
      <c r="H197">
        <v>3</v>
      </c>
      <c r="I197" t="s">
        <v>513</v>
      </c>
      <c r="J197" t="s">
        <v>514</v>
      </c>
      <c r="K197" t="s">
        <v>515</v>
      </c>
      <c r="L197">
        <v>1348</v>
      </c>
      <c r="N197">
        <v>1009</v>
      </c>
      <c r="O197" t="s">
        <v>298</v>
      </c>
      <c r="P197" t="s">
        <v>298</v>
      </c>
      <c r="Q197">
        <v>1000</v>
      </c>
      <c r="W197">
        <v>0</v>
      </c>
      <c r="X197">
        <v>895851324</v>
      </c>
      <c r="Y197">
        <f>(AT197*1)</f>
        <v>3.0000000000000001E-5</v>
      </c>
      <c r="AA197">
        <v>95680.35</v>
      </c>
      <c r="AB197">
        <v>0</v>
      </c>
      <c r="AC197">
        <v>0</v>
      </c>
      <c r="AD197">
        <v>0</v>
      </c>
      <c r="AE197">
        <v>37835.07</v>
      </c>
      <c r="AF197">
        <v>0</v>
      </c>
      <c r="AG197">
        <v>0</v>
      </c>
      <c r="AH197">
        <v>0</v>
      </c>
      <c r="AI197">
        <v>2.46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3.0000000000000001E-5</v>
      </c>
      <c r="AU197" t="s">
        <v>119</v>
      </c>
      <c r="AV197">
        <v>0</v>
      </c>
      <c r="AW197">
        <v>2</v>
      </c>
      <c r="AX197">
        <v>57249281</v>
      </c>
      <c r="AY197">
        <v>1</v>
      </c>
      <c r="AZ197">
        <v>0</v>
      </c>
      <c r="BA197">
        <v>260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ROUND(Y197*Source!I144,9)</f>
        <v>2.7E-4</v>
      </c>
      <c r="CY197">
        <f>AA197</f>
        <v>95680.35</v>
      </c>
      <c r="CZ197">
        <f>AE197</f>
        <v>37835.07</v>
      </c>
      <c r="DA197">
        <f>AI197</f>
        <v>2.46</v>
      </c>
      <c r="DB197">
        <f>ROUND((ROUND(AT197*CZ197,2)*1),6)</f>
        <v>1.1399999999999999</v>
      </c>
      <c r="DC197">
        <f>ROUND((ROUND(AT197*AG197,2)*1),6)</f>
        <v>0</v>
      </c>
      <c r="DD197" t="s">
        <v>3</v>
      </c>
      <c r="DE197" t="s">
        <v>3</v>
      </c>
      <c r="DF197">
        <f>ROUND(ROUND(AE197*AI197,2)*CX197,2)</f>
        <v>25.13</v>
      </c>
      <c r="DG197">
        <f t="shared" ref="DG197:DG207" si="75">ROUND(ROUND(AF197,2)*CX197,2)</f>
        <v>0</v>
      </c>
      <c r="DH197">
        <f t="shared" si="71"/>
        <v>0</v>
      </c>
      <c r="DI197">
        <f t="shared" si="74"/>
        <v>0</v>
      </c>
      <c r="DJ197">
        <f>DF197</f>
        <v>25.13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ROW(Source!A144)</f>
        <v>144</v>
      </c>
      <c r="B198">
        <v>57248837</v>
      </c>
      <c r="C198">
        <v>57249273</v>
      </c>
      <c r="D198">
        <v>54739891</v>
      </c>
      <c r="E198">
        <v>1</v>
      </c>
      <c r="F198">
        <v>1</v>
      </c>
      <c r="G198">
        <v>1081</v>
      </c>
      <c r="H198">
        <v>3</v>
      </c>
      <c r="I198" t="s">
        <v>516</v>
      </c>
      <c r="J198" t="s">
        <v>517</v>
      </c>
      <c r="K198" t="s">
        <v>518</v>
      </c>
      <c r="L198">
        <v>1348</v>
      </c>
      <c r="N198">
        <v>1009</v>
      </c>
      <c r="O198" t="s">
        <v>298</v>
      </c>
      <c r="P198" t="s">
        <v>298</v>
      </c>
      <c r="Q198">
        <v>1000</v>
      </c>
      <c r="W198">
        <v>0</v>
      </c>
      <c r="X198">
        <v>893353442</v>
      </c>
      <c r="Y198">
        <f>(AT198*1)</f>
        <v>1.0000000000000001E-5</v>
      </c>
      <c r="AA198">
        <v>103223.61</v>
      </c>
      <c r="AB198">
        <v>0</v>
      </c>
      <c r="AC198">
        <v>0</v>
      </c>
      <c r="AD198">
        <v>0</v>
      </c>
      <c r="AE198">
        <v>17047.89</v>
      </c>
      <c r="AF198">
        <v>0</v>
      </c>
      <c r="AG198">
        <v>0</v>
      </c>
      <c r="AH198">
        <v>0</v>
      </c>
      <c r="AI198">
        <v>5.89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1.0000000000000001E-5</v>
      </c>
      <c r="AU198" t="s">
        <v>119</v>
      </c>
      <c r="AV198">
        <v>0</v>
      </c>
      <c r="AW198">
        <v>2</v>
      </c>
      <c r="AX198">
        <v>57249282</v>
      </c>
      <c r="AY198">
        <v>1</v>
      </c>
      <c r="AZ198">
        <v>0</v>
      </c>
      <c r="BA198">
        <v>261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ROUND(Y198*Source!I144,9)</f>
        <v>9.0000000000000006E-5</v>
      </c>
      <c r="CY198">
        <f>AA198</f>
        <v>103223.61</v>
      </c>
      <c r="CZ198">
        <f>AE198</f>
        <v>17047.89</v>
      </c>
      <c r="DA198">
        <f>AI198</f>
        <v>5.89</v>
      </c>
      <c r="DB198">
        <f>ROUND((ROUND(AT198*CZ198,2)*1),6)</f>
        <v>0.17</v>
      </c>
      <c r="DC198">
        <f>ROUND((ROUND(AT198*AG198,2)*1),6)</f>
        <v>0</v>
      </c>
      <c r="DD198" t="s">
        <v>3</v>
      </c>
      <c r="DE198" t="s">
        <v>3</v>
      </c>
      <c r="DF198">
        <f>ROUND(ROUND(AE198*AI198,2)*CX198,2)</f>
        <v>9.0399999999999991</v>
      </c>
      <c r="DG198">
        <f t="shared" si="75"/>
        <v>0</v>
      </c>
      <c r="DH198">
        <f t="shared" si="71"/>
        <v>0</v>
      </c>
      <c r="DI198">
        <f t="shared" si="74"/>
        <v>0</v>
      </c>
      <c r="DJ198">
        <f>DF198</f>
        <v>9.0399999999999991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ROW(Source!A157)</f>
        <v>157</v>
      </c>
      <c r="B199">
        <v>57248835</v>
      </c>
      <c r="C199">
        <v>57249320</v>
      </c>
      <c r="D199">
        <v>54702434</v>
      </c>
      <c r="E199">
        <v>1081</v>
      </c>
      <c r="F199">
        <v>1</v>
      </c>
      <c r="G199">
        <v>1081</v>
      </c>
      <c r="H199">
        <v>1</v>
      </c>
      <c r="I199" t="s">
        <v>457</v>
      </c>
      <c r="J199" t="s">
        <v>3</v>
      </c>
      <c r="K199" t="s">
        <v>458</v>
      </c>
      <c r="L199">
        <v>1191</v>
      </c>
      <c r="N199">
        <v>1013</v>
      </c>
      <c r="O199" t="s">
        <v>459</v>
      </c>
      <c r="P199" t="s">
        <v>459</v>
      </c>
      <c r="Q199">
        <v>1</v>
      </c>
      <c r="W199">
        <v>0</v>
      </c>
      <c r="X199">
        <v>476480486</v>
      </c>
      <c r="Y199">
        <f>((AT199*1.15)*1.2)</f>
        <v>25.364399999999996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18.38</v>
      </c>
      <c r="AU199" t="s">
        <v>293</v>
      </c>
      <c r="AV199">
        <v>1</v>
      </c>
      <c r="AW199">
        <v>2</v>
      </c>
      <c r="AX199">
        <v>57249329</v>
      </c>
      <c r="AY199">
        <v>1</v>
      </c>
      <c r="AZ199">
        <v>0</v>
      </c>
      <c r="BA199">
        <v>263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ROUND(AT199*Source!I157*AH199*AL199,2)</f>
        <v>0</v>
      </c>
      <c r="CV199">
        <f>ROUND(Y199*Source!I157,9)</f>
        <v>10.145759999999999</v>
      </c>
      <c r="CW199">
        <v>0</v>
      </c>
      <c r="CX199">
        <f>ROUND(Y199*Source!I157,9)</f>
        <v>10.145759999999999</v>
      </c>
      <c r="CY199">
        <f>AD199</f>
        <v>0</v>
      </c>
      <c r="CZ199">
        <f>AH199</f>
        <v>0</v>
      </c>
      <c r="DA199">
        <f>AL199</f>
        <v>1</v>
      </c>
      <c r="DB199">
        <f>ROUND(((ROUND(AT199*CZ199,2)*1.15)*1.2),6)</f>
        <v>0</v>
      </c>
      <c r="DC199">
        <f>ROUND(((ROUND(AT199*AG199,2)*1.15)*1.2),6)</f>
        <v>0</v>
      </c>
      <c r="DD199" t="s">
        <v>3</v>
      </c>
      <c r="DE199" t="s">
        <v>3</v>
      </c>
      <c r="DF199">
        <f t="shared" ref="DF199:DF210" si="76">ROUND(ROUND(AE199,2)*CX199,2)</f>
        <v>0</v>
      </c>
      <c r="DG199">
        <f t="shared" si="75"/>
        <v>0</v>
      </c>
      <c r="DH199">
        <f t="shared" si="71"/>
        <v>0</v>
      </c>
      <c r="DI199">
        <f t="shared" si="74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ROW(Source!A157)</f>
        <v>157</v>
      </c>
      <c r="B200">
        <v>57248835</v>
      </c>
      <c r="C200">
        <v>57249320</v>
      </c>
      <c r="D200">
        <v>54768339</v>
      </c>
      <c r="E200">
        <v>1</v>
      </c>
      <c r="F200">
        <v>1</v>
      </c>
      <c r="G200">
        <v>1081</v>
      </c>
      <c r="H200">
        <v>2</v>
      </c>
      <c r="I200" t="s">
        <v>497</v>
      </c>
      <c r="J200" t="s">
        <v>498</v>
      </c>
      <c r="K200" t="s">
        <v>499</v>
      </c>
      <c r="L200">
        <v>1368</v>
      </c>
      <c r="N200">
        <v>1011</v>
      </c>
      <c r="O200" t="s">
        <v>463</v>
      </c>
      <c r="P200" t="s">
        <v>463</v>
      </c>
      <c r="Q200">
        <v>1</v>
      </c>
      <c r="W200">
        <v>0</v>
      </c>
      <c r="X200">
        <v>874612079</v>
      </c>
      <c r="Y200">
        <f>((AT200*1.25)*1.2)</f>
        <v>2.04</v>
      </c>
      <c r="AA200">
        <v>0</v>
      </c>
      <c r="AB200">
        <v>90.33</v>
      </c>
      <c r="AC200">
        <v>13.72</v>
      </c>
      <c r="AD200">
        <v>0</v>
      </c>
      <c r="AE200">
        <v>0</v>
      </c>
      <c r="AF200">
        <v>83.1</v>
      </c>
      <c r="AG200">
        <v>12.62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1.36</v>
      </c>
      <c r="AU200" t="s">
        <v>292</v>
      </c>
      <c r="AV200">
        <v>0</v>
      </c>
      <c r="AW200">
        <v>2</v>
      </c>
      <c r="AX200">
        <v>57249330</v>
      </c>
      <c r="AY200">
        <v>1</v>
      </c>
      <c r="AZ200">
        <v>0</v>
      </c>
      <c r="BA200">
        <v>264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ROUND(Y200*Source!I157*DO200,9)</f>
        <v>10.29792</v>
      </c>
      <c r="CX200">
        <f>ROUND(Y200*Source!I157,9)</f>
        <v>0.81599999999999995</v>
      </c>
      <c r="CY200">
        <f>AB200</f>
        <v>90.33</v>
      </c>
      <c r="CZ200">
        <f>AF200</f>
        <v>83.1</v>
      </c>
      <c r="DA200">
        <f>AJ200</f>
        <v>1</v>
      </c>
      <c r="DB200">
        <f>ROUND(((ROUND(AT200*CZ200,2)*1.25)*1.2),6)</f>
        <v>169.53</v>
      </c>
      <c r="DC200">
        <f>ROUND(((ROUND(AT200*AG200,2)*1.25)*1.2),6)</f>
        <v>25.74</v>
      </c>
      <c r="DD200" t="s">
        <v>3</v>
      </c>
      <c r="DE200" t="s">
        <v>3</v>
      </c>
      <c r="DF200">
        <f t="shared" si="76"/>
        <v>0</v>
      </c>
      <c r="DG200">
        <f t="shared" si="75"/>
        <v>67.81</v>
      </c>
      <c r="DH200">
        <f t="shared" si="71"/>
        <v>10.3</v>
      </c>
      <c r="DI200">
        <f t="shared" si="74"/>
        <v>0</v>
      </c>
      <c r="DJ200">
        <f>DG200</f>
        <v>67.81</v>
      </c>
      <c r="DK200">
        <v>0</v>
      </c>
      <c r="DL200" t="s">
        <v>500</v>
      </c>
      <c r="DM200">
        <v>0</v>
      </c>
      <c r="DN200" t="s">
        <v>459</v>
      </c>
      <c r="DO200">
        <v>12.62</v>
      </c>
    </row>
    <row r="201" spans="1:119" x14ac:dyDescent="0.2">
      <c r="A201">
        <f>ROW(Source!A157)</f>
        <v>157</v>
      </c>
      <c r="B201">
        <v>57248835</v>
      </c>
      <c r="C201">
        <v>57249320</v>
      </c>
      <c r="D201">
        <v>54768461</v>
      </c>
      <c r="E201">
        <v>1</v>
      </c>
      <c r="F201">
        <v>1</v>
      </c>
      <c r="G201">
        <v>1081</v>
      </c>
      <c r="H201">
        <v>2</v>
      </c>
      <c r="I201" t="s">
        <v>464</v>
      </c>
      <c r="J201" t="s">
        <v>465</v>
      </c>
      <c r="K201" t="s">
        <v>466</v>
      </c>
      <c r="L201">
        <v>1368</v>
      </c>
      <c r="N201">
        <v>1011</v>
      </c>
      <c r="O201" t="s">
        <v>463</v>
      </c>
      <c r="P201" t="s">
        <v>463</v>
      </c>
      <c r="Q201">
        <v>1</v>
      </c>
      <c r="W201">
        <v>0</v>
      </c>
      <c r="X201">
        <v>1043446422</v>
      </c>
      <c r="Y201">
        <f>((AT201*1.25)*1.2)</f>
        <v>0.81</v>
      </c>
      <c r="AA201">
        <v>0</v>
      </c>
      <c r="AB201">
        <v>1.21</v>
      </c>
      <c r="AC201">
        <v>0</v>
      </c>
      <c r="AD201">
        <v>0</v>
      </c>
      <c r="AE201">
        <v>0</v>
      </c>
      <c r="AF201">
        <v>1.1100000000000001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0.54</v>
      </c>
      <c r="AU201" t="s">
        <v>292</v>
      </c>
      <c r="AV201">
        <v>0</v>
      </c>
      <c r="AW201">
        <v>2</v>
      </c>
      <c r="AX201">
        <v>57249331</v>
      </c>
      <c r="AY201">
        <v>1</v>
      </c>
      <c r="AZ201">
        <v>0</v>
      </c>
      <c r="BA201">
        <v>265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ROUND(Y201*Source!I157*DO201,9)</f>
        <v>0</v>
      </c>
      <c r="CX201">
        <f>ROUND(Y201*Source!I157,9)</f>
        <v>0.32400000000000001</v>
      </c>
      <c r="CY201">
        <f>AB201</f>
        <v>1.21</v>
      </c>
      <c r="CZ201">
        <f>AF201</f>
        <v>1.1100000000000001</v>
      </c>
      <c r="DA201">
        <f>AJ201</f>
        <v>1</v>
      </c>
      <c r="DB201">
        <f>ROUND(((ROUND(AT201*CZ201,2)*1.25)*1.2),6)</f>
        <v>0.9</v>
      </c>
      <c r="DC201">
        <f>ROUND(((ROUND(AT201*AG201,2)*1.25)*1.2),6)</f>
        <v>0</v>
      </c>
      <c r="DD201" t="s">
        <v>3</v>
      </c>
      <c r="DE201" t="s">
        <v>3</v>
      </c>
      <c r="DF201">
        <f t="shared" si="76"/>
        <v>0</v>
      </c>
      <c r="DG201">
        <f t="shared" si="75"/>
        <v>0.36</v>
      </c>
      <c r="DH201">
        <f t="shared" si="71"/>
        <v>0</v>
      </c>
      <c r="DI201">
        <f t="shared" si="74"/>
        <v>0</v>
      </c>
      <c r="DJ201">
        <f>DG201</f>
        <v>0.36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ROW(Source!A157)</f>
        <v>157</v>
      </c>
      <c r="B202">
        <v>57248835</v>
      </c>
      <c r="C202">
        <v>57249320</v>
      </c>
      <c r="D202">
        <v>54768426</v>
      </c>
      <c r="E202">
        <v>1</v>
      </c>
      <c r="F202">
        <v>1</v>
      </c>
      <c r="G202">
        <v>1081</v>
      </c>
      <c r="H202">
        <v>2</v>
      </c>
      <c r="I202" t="s">
        <v>485</v>
      </c>
      <c r="J202" t="s">
        <v>486</v>
      </c>
      <c r="K202" t="s">
        <v>487</v>
      </c>
      <c r="L202">
        <v>1368</v>
      </c>
      <c r="N202">
        <v>1011</v>
      </c>
      <c r="O202" t="s">
        <v>463</v>
      </c>
      <c r="P202" t="s">
        <v>463</v>
      </c>
      <c r="Q202">
        <v>1</v>
      </c>
      <c r="W202">
        <v>0</v>
      </c>
      <c r="X202">
        <v>-643591644</v>
      </c>
      <c r="Y202">
        <f>((AT202*1.25)*1.2)</f>
        <v>0.36</v>
      </c>
      <c r="AA202">
        <v>0</v>
      </c>
      <c r="AB202">
        <v>0.51</v>
      </c>
      <c r="AC202">
        <v>0</v>
      </c>
      <c r="AD202">
        <v>0</v>
      </c>
      <c r="AE202">
        <v>0</v>
      </c>
      <c r="AF202">
        <v>0.47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0.24</v>
      </c>
      <c r="AU202" t="s">
        <v>292</v>
      </c>
      <c r="AV202">
        <v>0</v>
      </c>
      <c r="AW202">
        <v>2</v>
      </c>
      <c r="AX202">
        <v>57249332</v>
      </c>
      <c r="AY202">
        <v>1</v>
      </c>
      <c r="AZ202">
        <v>0</v>
      </c>
      <c r="BA202">
        <v>266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ROUND(Y202*Source!I157*DO202,9)</f>
        <v>0</v>
      </c>
      <c r="CX202">
        <f>ROUND(Y202*Source!I157,9)</f>
        <v>0.14399999999999999</v>
      </c>
      <c r="CY202">
        <f>AB202</f>
        <v>0.51</v>
      </c>
      <c r="CZ202">
        <f>AF202</f>
        <v>0.47</v>
      </c>
      <c r="DA202">
        <f>AJ202</f>
        <v>1</v>
      </c>
      <c r="DB202">
        <f>ROUND(((ROUND(AT202*CZ202,2)*1.25)*1.2),6)</f>
        <v>0.16500000000000001</v>
      </c>
      <c r="DC202">
        <f>ROUND(((ROUND(AT202*AG202,2)*1.25)*1.2),6)</f>
        <v>0</v>
      </c>
      <c r="DD202" t="s">
        <v>3</v>
      </c>
      <c r="DE202" t="s">
        <v>3</v>
      </c>
      <c r="DF202">
        <f t="shared" si="76"/>
        <v>0</v>
      </c>
      <c r="DG202">
        <f t="shared" si="75"/>
        <v>7.0000000000000007E-2</v>
      </c>
      <c r="DH202">
        <f t="shared" si="71"/>
        <v>0</v>
      </c>
      <c r="DI202">
        <f t="shared" si="74"/>
        <v>0</v>
      </c>
      <c r="DJ202">
        <f>DG202</f>
        <v>7.0000000000000007E-2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ROW(Source!A157)</f>
        <v>157</v>
      </c>
      <c r="B203">
        <v>57248835</v>
      </c>
      <c r="C203">
        <v>57249320</v>
      </c>
      <c r="D203">
        <v>54739820</v>
      </c>
      <c r="E203">
        <v>1</v>
      </c>
      <c r="F203">
        <v>1</v>
      </c>
      <c r="G203">
        <v>1081</v>
      </c>
      <c r="H203">
        <v>3</v>
      </c>
      <c r="I203" t="s">
        <v>519</v>
      </c>
      <c r="J203" t="s">
        <v>520</v>
      </c>
      <c r="K203" t="s">
        <v>521</v>
      </c>
      <c r="L203">
        <v>1296</v>
      </c>
      <c r="N203">
        <v>1002</v>
      </c>
      <c r="O203" t="s">
        <v>522</v>
      </c>
      <c r="P203" t="s">
        <v>522</v>
      </c>
      <c r="Q203">
        <v>1</v>
      </c>
      <c r="W203">
        <v>0</v>
      </c>
      <c r="X203">
        <v>-770347070</v>
      </c>
      <c r="Y203">
        <f>((AT203*1)*1)</f>
        <v>2.52</v>
      </c>
      <c r="AA203">
        <v>125.73</v>
      </c>
      <c r="AB203">
        <v>0</v>
      </c>
      <c r="AC203">
        <v>0</v>
      </c>
      <c r="AD203">
        <v>0</v>
      </c>
      <c r="AE203">
        <v>125.73</v>
      </c>
      <c r="AF203">
        <v>0</v>
      </c>
      <c r="AG203">
        <v>0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2.52</v>
      </c>
      <c r="AU203" t="s">
        <v>291</v>
      </c>
      <c r="AV203">
        <v>0</v>
      </c>
      <c r="AW203">
        <v>2</v>
      </c>
      <c r="AX203">
        <v>57249333</v>
      </c>
      <c r="AY203">
        <v>1</v>
      </c>
      <c r="AZ203">
        <v>0</v>
      </c>
      <c r="BA203">
        <v>267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v>0</v>
      </c>
      <c r="CX203">
        <f>ROUND(Y203*Source!I157,9)</f>
        <v>1.008</v>
      </c>
      <c r="CY203">
        <f>AA203</f>
        <v>125.73</v>
      </c>
      <c r="CZ203">
        <f>AE203</f>
        <v>125.73</v>
      </c>
      <c r="DA203">
        <f>AI203</f>
        <v>1</v>
      </c>
      <c r="DB203">
        <f>ROUND(((ROUND(AT203*CZ203,2)*1)*1),6)</f>
        <v>316.83999999999997</v>
      </c>
      <c r="DC203">
        <f>ROUND(((ROUND(AT203*AG203,2)*1)*1),6)</f>
        <v>0</v>
      </c>
      <c r="DD203" t="s">
        <v>3</v>
      </c>
      <c r="DE203" t="s">
        <v>3</v>
      </c>
      <c r="DF203">
        <f t="shared" si="76"/>
        <v>126.74</v>
      </c>
      <c r="DG203">
        <f t="shared" si="75"/>
        <v>0</v>
      </c>
      <c r="DH203">
        <f t="shared" si="71"/>
        <v>0</v>
      </c>
      <c r="DI203">
        <f t="shared" si="74"/>
        <v>0</v>
      </c>
      <c r="DJ203">
        <f>DF203</f>
        <v>126.74</v>
      </c>
      <c r="DK203">
        <v>0</v>
      </c>
      <c r="DL203" t="s">
        <v>3</v>
      </c>
      <c r="DM203">
        <v>0</v>
      </c>
      <c r="DN203" t="s">
        <v>3</v>
      </c>
      <c r="DO203">
        <v>0</v>
      </c>
    </row>
    <row r="204" spans="1:119" x14ac:dyDescent="0.2">
      <c r="A204">
        <f>ROW(Source!A157)</f>
        <v>157</v>
      </c>
      <c r="B204">
        <v>57248835</v>
      </c>
      <c r="C204">
        <v>57249320</v>
      </c>
      <c r="D204">
        <v>54747199</v>
      </c>
      <c r="E204">
        <v>1</v>
      </c>
      <c r="F204">
        <v>1</v>
      </c>
      <c r="G204">
        <v>1081</v>
      </c>
      <c r="H204">
        <v>3</v>
      </c>
      <c r="I204" t="s">
        <v>296</v>
      </c>
      <c r="J204" t="s">
        <v>299</v>
      </c>
      <c r="K204" t="s">
        <v>297</v>
      </c>
      <c r="L204">
        <v>1348</v>
      </c>
      <c r="N204">
        <v>1009</v>
      </c>
      <c r="O204" t="s">
        <v>298</v>
      </c>
      <c r="P204" t="s">
        <v>298</v>
      </c>
      <c r="Q204">
        <v>1000</v>
      </c>
      <c r="W204">
        <v>0</v>
      </c>
      <c r="X204">
        <v>-1373885699</v>
      </c>
      <c r="Y204">
        <f>AT204</f>
        <v>1.127</v>
      </c>
      <c r="AA204">
        <v>45481.31</v>
      </c>
      <c r="AB204">
        <v>0</v>
      </c>
      <c r="AC204">
        <v>0</v>
      </c>
      <c r="AD204">
        <v>0</v>
      </c>
      <c r="AE204">
        <v>45481.31</v>
      </c>
      <c r="AF204">
        <v>0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 t="s">
        <v>3</v>
      </c>
      <c r="AT204">
        <v>1.127</v>
      </c>
      <c r="AU204" t="s">
        <v>3</v>
      </c>
      <c r="AV204">
        <v>0</v>
      </c>
      <c r="AW204">
        <v>1</v>
      </c>
      <c r="AX204">
        <v>-1</v>
      </c>
      <c r="AY204">
        <v>0</v>
      </c>
      <c r="AZ204">
        <v>0</v>
      </c>
      <c r="BA204" t="s">
        <v>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v>0</v>
      </c>
      <c r="CX204">
        <f>ROUND(Y204*Source!I157,9)</f>
        <v>0.45079999999999998</v>
      </c>
      <c r="CY204">
        <f>AA204</f>
        <v>45481.31</v>
      </c>
      <c r="CZ204">
        <f>AE204</f>
        <v>45481.31</v>
      </c>
      <c r="DA204">
        <f>AI204</f>
        <v>1</v>
      </c>
      <c r="DB204">
        <f>ROUND(ROUND(AT204*CZ204,2),6)</f>
        <v>51257.440000000002</v>
      </c>
      <c r="DC204">
        <f>ROUND(ROUND(AT204*AG204,2),6)</f>
        <v>0</v>
      </c>
      <c r="DD204" t="s">
        <v>3</v>
      </c>
      <c r="DE204" t="s">
        <v>3</v>
      </c>
      <c r="DF204">
        <f t="shared" si="76"/>
        <v>20502.97</v>
      </c>
      <c r="DG204">
        <f t="shared" si="75"/>
        <v>0</v>
      </c>
      <c r="DH204">
        <f t="shared" si="71"/>
        <v>0</v>
      </c>
      <c r="DI204">
        <f t="shared" si="74"/>
        <v>0</v>
      </c>
      <c r="DJ204">
        <f>DF204</f>
        <v>20502.97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ROW(Source!A157)</f>
        <v>157</v>
      </c>
      <c r="B205">
        <v>57248835</v>
      </c>
      <c r="C205">
        <v>57249320</v>
      </c>
      <c r="D205">
        <v>54747392</v>
      </c>
      <c r="E205">
        <v>1</v>
      </c>
      <c r="F205">
        <v>1</v>
      </c>
      <c r="G205">
        <v>1081</v>
      </c>
      <c r="H205">
        <v>3</v>
      </c>
      <c r="I205" t="s">
        <v>482</v>
      </c>
      <c r="J205" t="s">
        <v>483</v>
      </c>
      <c r="K205" t="s">
        <v>484</v>
      </c>
      <c r="L205">
        <v>1354</v>
      </c>
      <c r="N205">
        <v>1010</v>
      </c>
      <c r="O205" t="s">
        <v>228</v>
      </c>
      <c r="P205" t="s">
        <v>228</v>
      </c>
      <c r="Q205">
        <v>1</v>
      </c>
      <c r="W205">
        <v>0</v>
      </c>
      <c r="X205">
        <v>-407007888</v>
      </c>
      <c r="Y205">
        <f>((AT205*1)*1)</f>
        <v>9.6000000000000002E-2</v>
      </c>
      <c r="AA205">
        <v>10.53</v>
      </c>
      <c r="AB205">
        <v>0</v>
      </c>
      <c r="AC205">
        <v>0</v>
      </c>
      <c r="AD205">
        <v>0</v>
      </c>
      <c r="AE205">
        <v>10.53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9.6000000000000002E-2</v>
      </c>
      <c r="AU205" t="s">
        <v>291</v>
      </c>
      <c r="AV205">
        <v>0</v>
      </c>
      <c r="AW205">
        <v>2</v>
      </c>
      <c r="AX205">
        <v>57249334</v>
      </c>
      <c r="AY205">
        <v>1</v>
      </c>
      <c r="AZ205">
        <v>0</v>
      </c>
      <c r="BA205">
        <v>268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ROUND(Y205*Source!I157,9)</f>
        <v>3.8399999999999997E-2</v>
      </c>
      <c r="CY205">
        <f>AA205</f>
        <v>10.53</v>
      </c>
      <c r="CZ205">
        <f>AE205</f>
        <v>10.53</v>
      </c>
      <c r="DA205">
        <f>AI205</f>
        <v>1</v>
      </c>
      <c r="DB205">
        <f>ROUND(((ROUND(AT205*CZ205,2)*1)*1),6)</f>
        <v>1.01</v>
      </c>
      <c r="DC205">
        <f>ROUND(((ROUND(AT205*AG205,2)*1)*1),6)</f>
        <v>0</v>
      </c>
      <c r="DD205" t="s">
        <v>3</v>
      </c>
      <c r="DE205" t="s">
        <v>3</v>
      </c>
      <c r="DF205">
        <f t="shared" si="76"/>
        <v>0.4</v>
      </c>
      <c r="DG205">
        <f t="shared" si="75"/>
        <v>0</v>
      </c>
      <c r="DH205">
        <f t="shared" si="71"/>
        <v>0</v>
      </c>
      <c r="DI205">
        <f t="shared" si="74"/>
        <v>0</v>
      </c>
      <c r="DJ205">
        <f>DF205</f>
        <v>0.4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ROW(Source!A157)</f>
        <v>157</v>
      </c>
      <c r="B206">
        <v>57248835</v>
      </c>
      <c r="C206">
        <v>57249320</v>
      </c>
      <c r="D206">
        <v>54747602</v>
      </c>
      <c r="E206">
        <v>1</v>
      </c>
      <c r="F206">
        <v>1</v>
      </c>
      <c r="G206">
        <v>1081</v>
      </c>
      <c r="H206">
        <v>3</v>
      </c>
      <c r="I206" t="s">
        <v>523</v>
      </c>
      <c r="J206" t="s">
        <v>524</v>
      </c>
      <c r="K206" t="s">
        <v>525</v>
      </c>
      <c r="L206">
        <v>1355</v>
      </c>
      <c r="N206">
        <v>1010</v>
      </c>
      <c r="O206" t="s">
        <v>67</v>
      </c>
      <c r="P206" t="s">
        <v>67</v>
      </c>
      <c r="Q206">
        <v>100</v>
      </c>
      <c r="W206">
        <v>0</v>
      </c>
      <c r="X206">
        <v>-106825780</v>
      </c>
      <c r="Y206">
        <f>((AT206*1)*1)</f>
        <v>0.61</v>
      </c>
      <c r="AA206">
        <v>278.73</v>
      </c>
      <c r="AB206">
        <v>0</v>
      </c>
      <c r="AC206">
        <v>0</v>
      </c>
      <c r="AD206">
        <v>0</v>
      </c>
      <c r="AE206">
        <v>278.73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0.61</v>
      </c>
      <c r="AU206" t="s">
        <v>291</v>
      </c>
      <c r="AV206">
        <v>0</v>
      </c>
      <c r="AW206">
        <v>2</v>
      </c>
      <c r="AX206">
        <v>57249335</v>
      </c>
      <c r="AY206">
        <v>1</v>
      </c>
      <c r="AZ206">
        <v>0</v>
      </c>
      <c r="BA206">
        <v>269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ROUND(Y206*Source!I157,9)</f>
        <v>0.24399999999999999</v>
      </c>
      <c r="CY206">
        <f>AA206</f>
        <v>278.73</v>
      </c>
      <c r="CZ206">
        <f>AE206</f>
        <v>278.73</v>
      </c>
      <c r="DA206">
        <f>AI206</f>
        <v>1</v>
      </c>
      <c r="DB206">
        <f>ROUND(((ROUND(AT206*CZ206,2)*1)*1),6)</f>
        <v>170.03</v>
      </c>
      <c r="DC206">
        <f>ROUND(((ROUND(AT206*AG206,2)*1)*1),6)</f>
        <v>0</v>
      </c>
      <c r="DD206" t="s">
        <v>3</v>
      </c>
      <c r="DE206" t="s">
        <v>3</v>
      </c>
      <c r="DF206">
        <f t="shared" si="76"/>
        <v>68.010000000000005</v>
      </c>
      <c r="DG206">
        <f t="shared" si="75"/>
        <v>0</v>
      </c>
      <c r="DH206">
        <f t="shared" si="71"/>
        <v>0</v>
      </c>
      <c r="DI206">
        <f t="shared" si="74"/>
        <v>0</v>
      </c>
      <c r="DJ206">
        <f>DF206</f>
        <v>68.010000000000005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ROW(Source!A158)</f>
        <v>158</v>
      </c>
      <c r="B207">
        <v>57248837</v>
      </c>
      <c r="C207">
        <v>57249320</v>
      </c>
      <c r="D207">
        <v>54702434</v>
      </c>
      <c r="E207">
        <v>1081</v>
      </c>
      <c r="F207">
        <v>1</v>
      </c>
      <c r="G207">
        <v>1081</v>
      </c>
      <c r="H207">
        <v>1</v>
      </c>
      <c r="I207" t="s">
        <v>457</v>
      </c>
      <c r="J207" t="s">
        <v>3</v>
      </c>
      <c r="K207" t="s">
        <v>458</v>
      </c>
      <c r="L207">
        <v>1191</v>
      </c>
      <c r="N207">
        <v>1013</v>
      </c>
      <c r="O207" t="s">
        <v>459</v>
      </c>
      <c r="P207" t="s">
        <v>459</v>
      </c>
      <c r="Q207">
        <v>1</v>
      </c>
      <c r="W207">
        <v>0</v>
      </c>
      <c r="X207">
        <v>476480486</v>
      </c>
      <c r="Y207">
        <f>((AT207*1.15)*1.2)</f>
        <v>25.364399999999996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5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18.38</v>
      </c>
      <c r="AU207" t="s">
        <v>293</v>
      </c>
      <c r="AV207">
        <v>1</v>
      </c>
      <c r="AW207">
        <v>2</v>
      </c>
      <c r="AX207">
        <v>57249329</v>
      </c>
      <c r="AY207">
        <v>1</v>
      </c>
      <c r="AZ207">
        <v>0</v>
      </c>
      <c r="BA207">
        <v>271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U207">
        <f>ROUND(AT207*Source!I158*AH207*AL207,2)</f>
        <v>0</v>
      </c>
      <c r="CV207">
        <f>ROUND(Y207*Source!I158,9)</f>
        <v>10.145759999999999</v>
      </c>
      <c r="CW207">
        <v>0</v>
      </c>
      <c r="CX207">
        <f>ROUND(Y207*Source!I158,9)</f>
        <v>10.145759999999999</v>
      </c>
      <c r="CY207">
        <f>AD207</f>
        <v>0</v>
      </c>
      <c r="CZ207">
        <f>AH207</f>
        <v>0</v>
      </c>
      <c r="DA207">
        <f>AL207</f>
        <v>1</v>
      </c>
      <c r="DB207">
        <f>ROUND(((ROUND(AT207*CZ207,2)*1.15)*1.2),6)</f>
        <v>0</v>
      </c>
      <c r="DC207">
        <f>ROUND(((ROUND(AT207*AG207,2)*1.15)*1.2),6)</f>
        <v>0</v>
      </c>
      <c r="DD207" t="s">
        <v>3</v>
      </c>
      <c r="DE207" t="s">
        <v>3</v>
      </c>
      <c r="DF207">
        <f t="shared" si="76"/>
        <v>0</v>
      </c>
      <c r="DG207">
        <f t="shared" si="75"/>
        <v>0</v>
      </c>
      <c r="DH207">
        <f t="shared" si="71"/>
        <v>0</v>
      </c>
      <c r="DI207">
        <f t="shared" si="74"/>
        <v>0</v>
      </c>
      <c r="DJ207">
        <f>DI207</f>
        <v>0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ROW(Source!A158)</f>
        <v>158</v>
      </c>
      <c r="B208">
        <v>57248837</v>
      </c>
      <c r="C208">
        <v>57249320</v>
      </c>
      <c r="D208">
        <v>54768339</v>
      </c>
      <c r="E208">
        <v>1</v>
      </c>
      <c r="F208">
        <v>1</v>
      </c>
      <c r="G208">
        <v>1081</v>
      </c>
      <c r="H208">
        <v>2</v>
      </c>
      <c r="I208" t="s">
        <v>497</v>
      </c>
      <c r="J208" t="s">
        <v>498</v>
      </c>
      <c r="K208" t="s">
        <v>499</v>
      </c>
      <c r="L208">
        <v>1368</v>
      </c>
      <c r="N208">
        <v>1011</v>
      </c>
      <c r="O208" t="s">
        <v>463</v>
      </c>
      <c r="P208" t="s">
        <v>463</v>
      </c>
      <c r="Q208">
        <v>1</v>
      </c>
      <c r="W208">
        <v>0</v>
      </c>
      <c r="X208">
        <v>874612079</v>
      </c>
      <c r="Y208">
        <f>((AT208*1.25)*1.2)</f>
        <v>2.04</v>
      </c>
      <c r="AA208">
        <v>0</v>
      </c>
      <c r="AB208">
        <v>1541.93</v>
      </c>
      <c r="AC208">
        <v>773.01</v>
      </c>
      <c r="AD208">
        <v>0</v>
      </c>
      <c r="AE208">
        <v>0</v>
      </c>
      <c r="AF208">
        <v>83.1</v>
      </c>
      <c r="AG208">
        <v>12.62</v>
      </c>
      <c r="AH208">
        <v>0</v>
      </c>
      <c r="AI208">
        <v>1</v>
      </c>
      <c r="AJ208">
        <v>17.07</v>
      </c>
      <c r="AK208">
        <v>56.35</v>
      </c>
      <c r="AL208">
        <v>1</v>
      </c>
      <c r="AM208">
        <v>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1.36</v>
      </c>
      <c r="AU208" t="s">
        <v>292</v>
      </c>
      <c r="AV208">
        <v>0</v>
      </c>
      <c r="AW208">
        <v>2</v>
      </c>
      <c r="AX208">
        <v>57249330</v>
      </c>
      <c r="AY208">
        <v>1</v>
      </c>
      <c r="AZ208">
        <v>0</v>
      </c>
      <c r="BA208">
        <v>272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f>ROUND(Y208*Source!I158*DO208,9)</f>
        <v>10.29792</v>
      </c>
      <c r="CX208">
        <f>ROUND(Y208*Source!I158,9)</f>
        <v>0.81599999999999995</v>
      </c>
      <c r="CY208">
        <f>AB208</f>
        <v>1541.93</v>
      </c>
      <c r="CZ208">
        <f>AF208</f>
        <v>83.1</v>
      </c>
      <c r="DA208">
        <f>AJ208</f>
        <v>17.07</v>
      </c>
      <c r="DB208">
        <f>ROUND(((ROUND(AT208*CZ208,2)*1.25)*1.2),6)</f>
        <v>169.53</v>
      </c>
      <c r="DC208">
        <f>ROUND(((ROUND(AT208*AG208,2)*1.25)*1.2),6)</f>
        <v>25.74</v>
      </c>
      <c r="DD208" t="s">
        <v>3</v>
      </c>
      <c r="DE208" t="s">
        <v>3</v>
      </c>
      <c r="DF208">
        <f t="shared" si="76"/>
        <v>0</v>
      </c>
      <c r="DG208">
        <f>ROUND(ROUND(AF208*AJ208,2)*CX208,2)</f>
        <v>1157.51</v>
      </c>
      <c r="DH208">
        <f>ROUND(ROUND(AG208*AK208,2)*CX208,2)</f>
        <v>580.29</v>
      </c>
      <c r="DI208">
        <f t="shared" si="74"/>
        <v>0</v>
      </c>
      <c r="DJ208">
        <f>DG208</f>
        <v>1157.51</v>
      </c>
      <c r="DK208">
        <v>0</v>
      </c>
      <c r="DL208" t="s">
        <v>500</v>
      </c>
      <c r="DM208">
        <v>0</v>
      </c>
      <c r="DN208" t="s">
        <v>459</v>
      </c>
      <c r="DO208">
        <v>12.62</v>
      </c>
    </row>
    <row r="209" spans="1:119" x14ac:dyDescent="0.2">
      <c r="A209">
        <f>ROW(Source!A158)</f>
        <v>158</v>
      </c>
      <c r="B209">
        <v>57248837</v>
      </c>
      <c r="C209">
        <v>57249320</v>
      </c>
      <c r="D209">
        <v>54768461</v>
      </c>
      <c r="E209">
        <v>1</v>
      </c>
      <c r="F209">
        <v>1</v>
      </c>
      <c r="G209">
        <v>1081</v>
      </c>
      <c r="H209">
        <v>2</v>
      </c>
      <c r="I209" t="s">
        <v>464</v>
      </c>
      <c r="J209" t="s">
        <v>465</v>
      </c>
      <c r="K209" t="s">
        <v>466</v>
      </c>
      <c r="L209">
        <v>1368</v>
      </c>
      <c r="N209">
        <v>1011</v>
      </c>
      <c r="O209" t="s">
        <v>463</v>
      </c>
      <c r="P209" t="s">
        <v>463</v>
      </c>
      <c r="Q209">
        <v>1</v>
      </c>
      <c r="W209">
        <v>0</v>
      </c>
      <c r="X209">
        <v>1043446422</v>
      </c>
      <c r="Y209">
        <f>((AT209*1.25)*1.2)</f>
        <v>0.81</v>
      </c>
      <c r="AA209">
        <v>0</v>
      </c>
      <c r="AB209">
        <v>11.49</v>
      </c>
      <c r="AC209">
        <v>0</v>
      </c>
      <c r="AD209">
        <v>0</v>
      </c>
      <c r="AE209">
        <v>0</v>
      </c>
      <c r="AF209">
        <v>1.1100000000000001</v>
      </c>
      <c r="AG209">
        <v>0</v>
      </c>
      <c r="AH209">
        <v>0</v>
      </c>
      <c r="AI209">
        <v>1</v>
      </c>
      <c r="AJ209">
        <v>9.52</v>
      </c>
      <c r="AK209">
        <v>1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0.54</v>
      </c>
      <c r="AU209" t="s">
        <v>292</v>
      </c>
      <c r="AV209">
        <v>0</v>
      </c>
      <c r="AW209">
        <v>2</v>
      </c>
      <c r="AX209">
        <v>57249331</v>
      </c>
      <c r="AY209">
        <v>1</v>
      </c>
      <c r="AZ209">
        <v>0</v>
      </c>
      <c r="BA209">
        <v>273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ROUND(Y209*Source!I158*DO209,9)</f>
        <v>0</v>
      </c>
      <c r="CX209">
        <f>ROUND(Y209*Source!I158,9)</f>
        <v>0.32400000000000001</v>
      </c>
      <c r="CY209">
        <f>AB209</f>
        <v>11.49</v>
      </c>
      <c r="CZ209">
        <f>AF209</f>
        <v>1.1100000000000001</v>
      </c>
      <c r="DA209">
        <f>AJ209</f>
        <v>9.52</v>
      </c>
      <c r="DB209">
        <f>ROUND(((ROUND(AT209*CZ209,2)*1.25)*1.2),6)</f>
        <v>0.9</v>
      </c>
      <c r="DC209">
        <f>ROUND(((ROUND(AT209*AG209,2)*1.25)*1.2),6)</f>
        <v>0</v>
      </c>
      <c r="DD209" t="s">
        <v>3</v>
      </c>
      <c r="DE209" t="s">
        <v>3</v>
      </c>
      <c r="DF209">
        <f t="shared" si="76"/>
        <v>0</v>
      </c>
      <c r="DG209">
        <f>ROUND(ROUND(AF209*AJ209,2)*CX209,2)</f>
        <v>3.42</v>
      </c>
      <c r="DH209">
        <f t="shared" ref="DH209:DH226" si="77">ROUND(ROUND(AG209,2)*CX209,2)</f>
        <v>0</v>
      </c>
      <c r="DI209">
        <f t="shared" si="74"/>
        <v>0</v>
      </c>
      <c r="DJ209">
        <f>DG209</f>
        <v>3.42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ROW(Source!A158)</f>
        <v>158</v>
      </c>
      <c r="B210">
        <v>57248837</v>
      </c>
      <c r="C210">
        <v>57249320</v>
      </c>
      <c r="D210">
        <v>54768426</v>
      </c>
      <c r="E210">
        <v>1</v>
      </c>
      <c r="F210">
        <v>1</v>
      </c>
      <c r="G210">
        <v>1081</v>
      </c>
      <c r="H210">
        <v>2</v>
      </c>
      <c r="I210" t="s">
        <v>485</v>
      </c>
      <c r="J210" t="s">
        <v>486</v>
      </c>
      <c r="K210" t="s">
        <v>487</v>
      </c>
      <c r="L210">
        <v>1368</v>
      </c>
      <c r="N210">
        <v>1011</v>
      </c>
      <c r="O210" t="s">
        <v>463</v>
      </c>
      <c r="P210" t="s">
        <v>463</v>
      </c>
      <c r="Q210">
        <v>1</v>
      </c>
      <c r="W210">
        <v>0</v>
      </c>
      <c r="X210">
        <v>-643591644</v>
      </c>
      <c r="Y210">
        <f>((AT210*1.25)*1.2)</f>
        <v>0.36</v>
      </c>
      <c r="AA210">
        <v>0</v>
      </c>
      <c r="AB210">
        <v>4.9400000000000004</v>
      </c>
      <c r="AC210">
        <v>0</v>
      </c>
      <c r="AD210">
        <v>0</v>
      </c>
      <c r="AE210">
        <v>0</v>
      </c>
      <c r="AF210">
        <v>0.47</v>
      </c>
      <c r="AG210">
        <v>0</v>
      </c>
      <c r="AH210">
        <v>0</v>
      </c>
      <c r="AI210">
        <v>1</v>
      </c>
      <c r="AJ210">
        <v>9.66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0.24</v>
      </c>
      <c r="AU210" t="s">
        <v>292</v>
      </c>
      <c r="AV210">
        <v>0</v>
      </c>
      <c r="AW210">
        <v>2</v>
      </c>
      <c r="AX210">
        <v>57249332</v>
      </c>
      <c r="AY210">
        <v>1</v>
      </c>
      <c r="AZ210">
        <v>0</v>
      </c>
      <c r="BA210">
        <v>274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ROUND(Y210*Source!I158*DO210,9)</f>
        <v>0</v>
      </c>
      <c r="CX210">
        <f>ROUND(Y210*Source!I158,9)</f>
        <v>0.14399999999999999</v>
      </c>
      <c r="CY210">
        <f>AB210</f>
        <v>4.9400000000000004</v>
      </c>
      <c r="CZ210">
        <f>AF210</f>
        <v>0.47</v>
      </c>
      <c r="DA210">
        <f>AJ210</f>
        <v>9.66</v>
      </c>
      <c r="DB210">
        <f>ROUND(((ROUND(AT210*CZ210,2)*1.25)*1.2),6)</f>
        <v>0.16500000000000001</v>
      </c>
      <c r="DC210">
        <f>ROUND(((ROUND(AT210*AG210,2)*1.25)*1.2),6)</f>
        <v>0</v>
      </c>
      <c r="DD210" t="s">
        <v>3</v>
      </c>
      <c r="DE210" t="s">
        <v>3</v>
      </c>
      <c r="DF210">
        <f t="shared" si="76"/>
        <v>0</v>
      </c>
      <c r="DG210">
        <f>ROUND(ROUND(AF210*AJ210,2)*CX210,2)</f>
        <v>0.65</v>
      </c>
      <c r="DH210">
        <f t="shared" si="77"/>
        <v>0</v>
      </c>
      <c r="DI210">
        <f t="shared" si="74"/>
        <v>0</v>
      </c>
      <c r="DJ210">
        <f>DG210</f>
        <v>0.65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ROW(Source!A158)</f>
        <v>158</v>
      </c>
      <c r="B211">
        <v>57248837</v>
      </c>
      <c r="C211">
        <v>57249320</v>
      </c>
      <c r="D211">
        <v>54739820</v>
      </c>
      <c r="E211">
        <v>1</v>
      </c>
      <c r="F211">
        <v>1</v>
      </c>
      <c r="G211">
        <v>1081</v>
      </c>
      <c r="H211">
        <v>3</v>
      </c>
      <c r="I211" t="s">
        <v>519</v>
      </c>
      <c r="J211" t="s">
        <v>520</v>
      </c>
      <c r="K211" t="s">
        <v>521</v>
      </c>
      <c r="L211">
        <v>1296</v>
      </c>
      <c r="N211">
        <v>1002</v>
      </c>
      <c r="O211" t="s">
        <v>522</v>
      </c>
      <c r="P211" t="s">
        <v>522</v>
      </c>
      <c r="Q211">
        <v>1</v>
      </c>
      <c r="W211">
        <v>0</v>
      </c>
      <c r="X211">
        <v>-770347070</v>
      </c>
      <c r="Y211">
        <f>((AT211*1)*1)</f>
        <v>2.52</v>
      </c>
      <c r="AA211">
        <v>350.79</v>
      </c>
      <c r="AB211">
        <v>0</v>
      </c>
      <c r="AC211">
        <v>0</v>
      </c>
      <c r="AD211">
        <v>0</v>
      </c>
      <c r="AE211">
        <v>125.73</v>
      </c>
      <c r="AF211">
        <v>0</v>
      </c>
      <c r="AG211">
        <v>0</v>
      </c>
      <c r="AH211">
        <v>0</v>
      </c>
      <c r="AI211">
        <v>2.79</v>
      </c>
      <c r="AJ211">
        <v>1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2.52</v>
      </c>
      <c r="AU211" t="s">
        <v>291</v>
      </c>
      <c r="AV211">
        <v>0</v>
      </c>
      <c r="AW211">
        <v>2</v>
      </c>
      <c r="AX211">
        <v>57249333</v>
      </c>
      <c r="AY211">
        <v>1</v>
      </c>
      <c r="AZ211">
        <v>0</v>
      </c>
      <c r="BA211">
        <v>275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ROUND(Y211*Source!I158,9)</f>
        <v>1.008</v>
      </c>
      <c r="CY211">
        <f>AA211</f>
        <v>350.79</v>
      </c>
      <c r="CZ211">
        <f>AE211</f>
        <v>125.73</v>
      </c>
      <c r="DA211">
        <f>AI211</f>
        <v>2.79</v>
      </c>
      <c r="DB211">
        <f>ROUND(((ROUND(AT211*CZ211,2)*1)*1),6)</f>
        <v>316.83999999999997</v>
      </c>
      <c r="DC211">
        <f>ROUND(((ROUND(AT211*AG211,2)*1)*1),6)</f>
        <v>0</v>
      </c>
      <c r="DD211" t="s">
        <v>3</v>
      </c>
      <c r="DE211" t="s">
        <v>3</v>
      </c>
      <c r="DF211">
        <f>ROUND(ROUND(AE211*AI211,2)*CX211,2)</f>
        <v>353.6</v>
      </c>
      <c r="DG211">
        <f t="shared" ref="DG211:DG226" si="78">ROUND(ROUND(AF211,2)*CX211,2)</f>
        <v>0</v>
      </c>
      <c r="DH211">
        <f t="shared" si="77"/>
        <v>0</v>
      </c>
      <c r="DI211">
        <f t="shared" si="74"/>
        <v>0</v>
      </c>
      <c r="DJ211">
        <f>DF211</f>
        <v>353.6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ROW(Source!A158)</f>
        <v>158</v>
      </c>
      <c r="B212">
        <v>57248837</v>
      </c>
      <c r="C212">
        <v>57249320</v>
      </c>
      <c r="D212">
        <v>54747199</v>
      </c>
      <c r="E212">
        <v>1</v>
      </c>
      <c r="F212">
        <v>1</v>
      </c>
      <c r="G212">
        <v>1081</v>
      </c>
      <c r="H212">
        <v>3</v>
      </c>
      <c r="I212" t="s">
        <v>296</v>
      </c>
      <c r="J212" t="s">
        <v>299</v>
      </c>
      <c r="K212" t="s">
        <v>297</v>
      </c>
      <c r="L212">
        <v>1348</v>
      </c>
      <c r="N212">
        <v>1009</v>
      </c>
      <c r="O212" t="s">
        <v>298</v>
      </c>
      <c r="P212" t="s">
        <v>298</v>
      </c>
      <c r="Q212">
        <v>1000</v>
      </c>
      <c r="W212">
        <v>0</v>
      </c>
      <c r="X212">
        <v>-1373885699</v>
      </c>
      <c r="Y212">
        <f>AT212</f>
        <v>1.127</v>
      </c>
      <c r="AA212">
        <v>115522.53</v>
      </c>
      <c r="AB212">
        <v>0</v>
      </c>
      <c r="AC212">
        <v>0</v>
      </c>
      <c r="AD212">
        <v>0</v>
      </c>
      <c r="AE212">
        <v>45481.31</v>
      </c>
      <c r="AF212">
        <v>0</v>
      </c>
      <c r="AG212">
        <v>0</v>
      </c>
      <c r="AH212">
        <v>0</v>
      </c>
      <c r="AI212">
        <v>2.54</v>
      </c>
      <c r="AJ212">
        <v>1</v>
      </c>
      <c r="AK212">
        <v>1</v>
      </c>
      <c r="AL212">
        <v>1</v>
      </c>
      <c r="AM212">
        <v>0</v>
      </c>
      <c r="AN212">
        <v>0</v>
      </c>
      <c r="AO212">
        <v>0</v>
      </c>
      <c r="AP212">
        <v>1</v>
      </c>
      <c r="AQ212">
        <v>0</v>
      </c>
      <c r="AR212">
        <v>0</v>
      </c>
      <c r="AS212" t="s">
        <v>3</v>
      </c>
      <c r="AT212">
        <v>1.127</v>
      </c>
      <c r="AU212" t="s">
        <v>3</v>
      </c>
      <c r="AV212">
        <v>0</v>
      </c>
      <c r="AW212">
        <v>1</v>
      </c>
      <c r="AX212">
        <v>-1</v>
      </c>
      <c r="AY212">
        <v>0</v>
      </c>
      <c r="AZ212">
        <v>0</v>
      </c>
      <c r="BA212" t="s">
        <v>3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ROUND(Y212*Source!I158,9)</f>
        <v>0.45079999999999998</v>
      </c>
      <c r="CY212">
        <f>AA212</f>
        <v>115522.53</v>
      </c>
      <c r="CZ212">
        <f>AE212</f>
        <v>45481.31</v>
      </c>
      <c r="DA212">
        <f>AI212</f>
        <v>2.54</v>
      </c>
      <c r="DB212">
        <f>ROUND(ROUND(AT212*CZ212,2),6)</f>
        <v>51257.440000000002</v>
      </c>
      <c r="DC212">
        <f>ROUND(ROUND(AT212*AG212,2),6)</f>
        <v>0</v>
      </c>
      <c r="DD212" t="s">
        <v>3</v>
      </c>
      <c r="DE212" t="s">
        <v>3</v>
      </c>
      <c r="DF212">
        <f>ROUND(ROUND(AE212*AI212,2)*CX212,2)</f>
        <v>52077.56</v>
      </c>
      <c r="DG212">
        <f t="shared" si="78"/>
        <v>0</v>
      </c>
      <c r="DH212">
        <f t="shared" si="77"/>
        <v>0</v>
      </c>
      <c r="DI212">
        <f t="shared" si="74"/>
        <v>0</v>
      </c>
      <c r="DJ212">
        <f>DF212</f>
        <v>52077.56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ROW(Source!A158)</f>
        <v>158</v>
      </c>
      <c r="B213">
        <v>57248837</v>
      </c>
      <c r="C213">
        <v>57249320</v>
      </c>
      <c r="D213">
        <v>54747392</v>
      </c>
      <c r="E213">
        <v>1</v>
      </c>
      <c r="F213">
        <v>1</v>
      </c>
      <c r="G213">
        <v>1081</v>
      </c>
      <c r="H213">
        <v>3</v>
      </c>
      <c r="I213" t="s">
        <v>482</v>
      </c>
      <c r="J213" t="s">
        <v>483</v>
      </c>
      <c r="K213" t="s">
        <v>484</v>
      </c>
      <c r="L213">
        <v>1354</v>
      </c>
      <c r="N213">
        <v>1010</v>
      </c>
      <c r="O213" t="s">
        <v>228</v>
      </c>
      <c r="P213" t="s">
        <v>228</v>
      </c>
      <c r="Q213">
        <v>1</v>
      </c>
      <c r="W213">
        <v>0</v>
      </c>
      <c r="X213">
        <v>-407007888</v>
      </c>
      <c r="Y213">
        <f>((AT213*1)*1)</f>
        <v>9.6000000000000002E-2</v>
      </c>
      <c r="AA213">
        <v>103.72</v>
      </c>
      <c r="AB213">
        <v>0</v>
      </c>
      <c r="AC213">
        <v>0</v>
      </c>
      <c r="AD213">
        <v>0</v>
      </c>
      <c r="AE213">
        <v>10.53</v>
      </c>
      <c r="AF213">
        <v>0</v>
      </c>
      <c r="AG213">
        <v>0</v>
      </c>
      <c r="AH213">
        <v>0</v>
      </c>
      <c r="AI213">
        <v>9.85</v>
      </c>
      <c r="AJ213">
        <v>1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9.6000000000000002E-2</v>
      </c>
      <c r="AU213" t="s">
        <v>291</v>
      </c>
      <c r="AV213">
        <v>0</v>
      </c>
      <c r="AW213">
        <v>2</v>
      </c>
      <c r="AX213">
        <v>57249334</v>
      </c>
      <c r="AY213">
        <v>1</v>
      </c>
      <c r="AZ213">
        <v>0</v>
      </c>
      <c r="BA213">
        <v>276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ROUND(Y213*Source!I158,9)</f>
        <v>3.8399999999999997E-2</v>
      </c>
      <c r="CY213">
        <f>AA213</f>
        <v>103.72</v>
      </c>
      <c r="CZ213">
        <f>AE213</f>
        <v>10.53</v>
      </c>
      <c r="DA213">
        <f>AI213</f>
        <v>9.85</v>
      </c>
      <c r="DB213">
        <f>ROUND(((ROUND(AT213*CZ213,2)*1)*1),6)</f>
        <v>1.01</v>
      </c>
      <c r="DC213">
        <f>ROUND(((ROUND(AT213*AG213,2)*1)*1),6)</f>
        <v>0</v>
      </c>
      <c r="DD213" t="s">
        <v>3</v>
      </c>
      <c r="DE213" t="s">
        <v>3</v>
      </c>
      <c r="DF213">
        <f>ROUND(ROUND(AE213*AI213,2)*CX213,2)</f>
        <v>3.98</v>
      </c>
      <c r="DG213">
        <f t="shared" si="78"/>
        <v>0</v>
      </c>
      <c r="DH213">
        <f t="shared" si="77"/>
        <v>0</v>
      </c>
      <c r="DI213">
        <f t="shared" si="74"/>
        <v>0</v>
      </c>
      <c r="DJ213">
        <f>DF213</f>
        <v>3.98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ROW(Source!A158)</f>
        <v>158</v>
      </c>
      <c r="B214">
        <v>57248837</v>
      </c>
      <c r="C214">
        <v>57249320</v>
      </c>
      <c r="D214">
        <v>54747602</v>
      </c>
      <c r="E214">
        <v>1</v>
      </c>
      <c r="F214">
        <v>1</v>
      </c>
      <c r="G214">
        <v>1081</v>
      </c>
      <c r="H214">
        <v>3</v>
      </c>
      <c r="I214" t="s">
        <v>523</v>
      </c>
      <c r="J214" t="s">
        <v>524</v>
      </c>
      <c r="K214" t="s">
        <v>525</v>
      </c>
      <c r="L214">
        <v>1355</v>
      </c>
      <c r="N214">
        <v>1010</v>
      </c>
      <c r="O214" t="s">
        <v>67</v>
      </c>
      <c r="P214" t="s">
        <v>67</v>
      </c>
      <c r="Q214">
        <v>100</v>
      </c>
      <c r="W214">
        <v>0</v>
      </c>
      <c r="X214">
        <v>-106825780</v>
      </c>
      <c r="Y214">
        <f>((AT214*1)*1)</f>
        <v>0.61</v>
      </c>
      <c r="AA214">
        <v>3654.15</v>
      </c>
      <c r="AB214">
        <v>0</v>
      </c>
      <c r="AC214">
        <v>0</v>
      </c>
      <c r="AD214">
        <v>0</v>
      </c>
      <c r="AE214">
        <v>278.73</v>
      </c>
      <c r="AF214">
        <v>0</v>
      </c>
      <c r="AG214">
        <v>0</v>
      </c>
      <c r="AH214">
        <v>0</v>
      </c>
      <c r="AI214">
        <v>13.11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0.61</v>
      </c>
      <c r="AU214" t="s">
        <v>291</v>
      </c>
      <c r="AV214">
        <v>0</v>
      </c>
      <c r="AW214">
        <v>2</v>
      </c>
      <c r="AX214">
        <v>57249335</v>
      </c>
      <c r="AY214">
        <v>1</v>
      </c>
      <c r="AZ214">
        <v>0</v>
      </c>
      <c r="BA214">
        <v>277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ROUND(Y214*Source!I158,9)</f>
        <v>0.24399999999999999</v>
      </c>
      <c r="CY214">
        <f>AA214</f>
        <v>3654.15</v>
      </c>
      <c r="CZ214">
        <f>AE214</f>
        <v>278.73</v>
      </c>
      <c r="DA214">
        <f>AI214</f>
        <v>13.11</v>
      </c>
      <c r="DB214">
        <f>ROUND(((ROUND(AT214*CZ214,2)*1)*1),6)</f>
        <v>170.03</v>
      </c>
      <c r="DC214">
        <f>ROUND(((ROUND(AT214*AG214,2)*1)*1),6)</f>
        <v>0</v>
      </c>
      <c r="DD214" t="s">
        <v>3</v>
      </c>
      <c r="DE214" t="s">
        <v>3</v>
      </c>
      <c r="DF214">
        <f>ROUND(ROUND(AE214*AI214,2)*CX214,2)</f>
        <v>891.61</v>
      </c>
      <c r="DG214">
        <f t="shared" si="78"/>
        <v>0</v>
      </c>
      <c r="DH214">
        <f t="shared" si="77"/>
        <v>0</v>
      </c>
      <c r="DI214">
        <f t="shared" si="74"/>
        <v>0</v>
      </c>
      <c r="DJ214">
        <f>DF214</f>
        <v>891.61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ROW(Source!A161)</f>
        <v>161</v>
      </c>
      <c r="B215">
        <v>57248835</v>
      </c>
      <c r="C215">
        <v>57249338</v>
      </c>
      <c r="D215">
        <v>54702434</v>
      </c>
      <c r="E215">
        <v>1081</v>
      </c>
      <c r="F215">
        <v>1</v>
      </c>
      <c r="G215">
        <v>1081</v>
      </c>
      <c r="H215">
        <v>1</v>
      </c>
      <c r="I215" t="s">
        <v>457</v>
      </c>
      <c r="J215" t="s">
        <v>3</v>
      </c>
      <c r="K215" t="s">
        <v>458</v>
      </c>
      <c r="L215">
        <v>1191</v>
      </c>
      <c r="N215">
        <v>1013</v>
      </c>
      <c r="O215" t="s">
        <v>459</v>
      </c>
      <c r="P215" t="s">
        <v>459</v>
      </c>
      <c r="Q215">
        <v>1</v>
      </c>
      <c r="W215">
        <v>0</v>
      </c>
      <c r="X215">
        <v>476480486</v>
      </c>
      <c r="Y215">
        <f>(AT215*1.2)</f>
        <v>8.4000000000000005E-2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-2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7.0000000000000007E-2</v>
      </c>
      <c r="AU215" t="s">
        <v>120</v>
      </c>
      <c r="AV215">
        <v>1</v>
      </c>
      <c r="AW215">
        <v>2</v>
      </c>
      <c r="AX215">
        <v>57249341</v>
      </c>
      <c r="AY215">
        <v>1</v>
      </c>
      <c r="AZ215">
        <v>0</v>
      </c>
      <c r="BA215">
        <v>279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ROUND(AT215*Source!I161*AH215*AL215,2)</f>
        <v>0</v>
      </c>
      <c r="CV215">
        <f>ROUND(Y215*Source!I161,9)</f>
        <v>0.67200000000000004</v>
      </c>
      <c r="CW215">
        <v>0</v>
      </c>
      <c r="CX215">
        <f>ROUND(Y215*Source!I161,9)</f>
        <v>0.67200000000000004</v>
      </c>
      <c r="CY215">
        <f>AD215</f>
        <v>0</v>
      </c>
      <c r="CZ215">
        <f>AH215</f>
        <v>0</v>
      </c>
      <c r="DA215">
        <f>AL215</f>
        <v>1</v>
      </c>
      <c r="DB215">
        <f>ROUND((ROUND(AT215*CZ215,2)*1.2),6)</f>
        <v>0</v>
      </c>
      <c r="DC215">
        <f>ROUND((ROUND(AT215*AG215,2)*1.2),6)</f>
        <v>0</v>
      </c>
      <c r="DD215" t="s">
        <v>3</v>
      </c>
      <c r="DE215" t="s">
        <v>3</v>
      </c>
      <c r="DF215">
        <f>ROUND(ROUND(AE215,2)*CX215,2)</f>
        <v>0</v>
      </c>
      <c r="DG215">
        <f t="shared" si="78"/>
        <v>0</v>
      </c>
      <c r="DH215">
        <f t="shared" si="77"/>
        <v>0</v>
      </c>
      <c r="DI215">
        <f t="shared" si="74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ROW(Source!A161)</f>
        <v>161</v>
      </c>
      <c r="B216">
        <v>57248835</v>
      </c>
      <c r="C216">
        <v>57249338</v>
      </c>
      <c r="D216">
        <v>54758562</v>
      </c>
      <c r="E216">
        <v>1</v>
      </c>
      <c r="F216">
        <v>1</v>
      </c>
      <c r="G216">
        <v>1081</v>
      </c>
      <c r="H216">
        <v>3</v>
      </c>
      <c r="I216" t="s">
        <v>302</v>
      </c>
      <c r="J216" t="s">
        <v>304</v>
      </c>
      <c r="K216" t="s">
        <v>303</v>
      </c>
      <c r="L216">
        <v>1354</v>
      </c>
      <c r="N216">
        <v>1010</v>
      </c>
      <c r="O216" t="s">
        <v>228</v>
      </c>
      <c r="P216" t="s">
        <v>228</v>
      </c>
      <c r="Q216">
        <v>1</v>
      </c>
      <c r="W216">
        <v>0</v>
      </c>
      <c r="X216">
        <v>-1253698249</v>
      </c>
      <c r="Y216">
        <f>(AT216*1)</f>
        <v>1</v>
      </c>
      <c r="AA216">
        <v>2740.08</v>
      </c>
      <c r="AB216">
        <v>0</v>
      </c>
      <c r="AC216">
        <v>0</v>
      </c>
      <c r="AD216">
        <v>0</v>
      </c>
      <c r="AE216">
        <v>2740.08</v>
      </c>
      <c r="AF216">
        <v>0</v>
      </c>
      <c r="AG216">
        <v>0</v>
      </c>
      <c r="AH216">
        <v>0</v>
      </c>
      <c r="AI216">
        <v>1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1</v>
      </c>
      <c r="AU216" t="s">
        <v>119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ROUND(Y216*Source!I161,9)</f>
        <v>8</v>
      </c>
      <c r="CY216">
        <f>AA216</f>
        <v>2740.08</v>
      </c>
      <c r="CZ216">
        <f>AE216</f>
        <v>2740.08</v>
      </c>
      <c r="DA216">
        <f>AI216</f>
        <v>1</v>
      </c>
      <c r="DB216">
        <f>ROUND((ROUND(AT216*CZ216,2)*1),6)</f>
        <v>2740.08</v>
      </c>
      <c r="DC216">
        <f>ROUND((ROUND(AT216*AG216,2)*1),6)</f>
        <v>0</v>
      </c>
      <c r="DD216" t="s">
        <v>3</v>
      </c>
      <c r="DE216" t="s">
        <v>3</v>
      </c>
      <c r="DF216">
        <f>ROUND(ROUND(AE216,2)*CX216,2)</f>
        <v>21920.639999999999</v>
      </c>
      <c r="DG216">
        <f t="shared" si="78"/>
        <v>0</v>
      </c>
      <c r="DH216">
        <f t="shared" si="77"/>
        <v>0</v>
      </c>
      <c r="DI216">
        <f t="shared" si="74"/>
        <v>0</v>
      </c>
      <c r="DJ216">
        <f>DF216</f>
        <v>21920.639999999999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ROW(Source!A162)</f>
        <v>162</v>
      </c>
      <c r="B217">
        <v>57248837</v>
      </c>
      <c r="C217">
        <v>57249338</v>
      </c>
      <c r="D217">
        <v>54702434</v>
      </c>
      <c r="E217">
        <v>1081</v>
      </c>
      <c r="F217">
        <v>1</v>
      </c>
      <c r="G217">
        <v>1081</v>
      </c>
      <c r="H217">
        <v>1</v>
      </c>
      <c r="I217" t="s">
        <v>457</v>
      </c>
      <c r="J217" t="s">
        <v>3</v>
      </c>
      <c r="K217" t="s">
        <v>458</v>
      </c>
      <c r="L217">
        <v>1191</v>
      </c>
      <c r="N217">
        <v>1013</v>
      </c>
      <c r="O217" t="s">
        <v>459</v>
      </c>
      <c r="P217" t="s">
        <v>459</v>
      </c>
      <c r="Q217">
        <v>1</v>
      </c>
      <c r="W217">
        <v>0</v>
      </c>
      <c r="X217">
        <v>476480486</v>
      </c>
      <c r="Y217">
        <f>(AT217*1.2)</f>
        <v>8.4000000000000005E-2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5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7.0000000000000007E-2</v>
      </c>
      <c r="AU217" t="s">
        <v>120</v>
      </c>
      <c r="AV217">
        <v>1</v>
      </c>
      <c r="AW217">
        <v>2</v>
      </c>
      <c r="AX217">
        <v>57249341</v>
      </c>
      <c r="AY217">
        <v>1</v>
      </c>
      <c r="AZ217">
        <v>0</v>
      </c>
      <c r="BA217">
        <v>281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ROUND(AT217*Source!I162*AH217*AL217,2)</f>
        <v>0</v>
      </c>
      <c r="CV217">
        <f>ROUND(Y217*Source!I162,9)</f>
        <v>0.67200000000000004</v>
      </c>
      <c r="CW217">
        <v>0</v>
      </c>
      <c r="CX217">
        <f>ROUND(Y217*Source!I162,9)</f>
        <v>0.67200000000000004</v>
      </c>
      <c r="CY217">
        <f>AD217</f>
        <v>0</v>
      </c>
      <c r="CZ217">
        <f>AH217</f>
        <v>0</v>
      </c>
      <c r="DA217">
        <f>AL217</f>
        <v>1</v>
      </c>
      <c r="DB217">
        <f>ROUND((ROUND(AT217*CZ217,2)*1.2),6)</f>
        <v>0</v>
      </c>
      <c r="DC217">
        <f>ROUND((ROUND(AT217*AG217,2)*1.2),6)</f>
        <v>0</v>
      </c>
      <c r="DD217" t="s">
        <v>3</v>
      </c>
      <c r="DE217" t="s">
        <v>3</v>
      </c>
      <c r="DF217">
        <f>ROUND(ROUND(AE217,2)*CX217,2)</f>
        <v>0</v>
      </c>
      <c r="DG217">
        <f t="shared" si="78"/>
        <v>0</v>
      </c>
      <c r="DH217">
        <f t="shared" si="77"/>
        <v>0</v>
      </c>
      <c r="DI217">
        <f t="shared" si="74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ROW(Source!A162)</f>
        <v>162</v>
      </c>
      <c r="B218">
        <v>57248837</v>
      </c>
      <c r="C218">
        <v>57249338</v>
      </c>
      <c r="D218">
        <v>54758562</v>
      </c>
      <c r="E218">
        <v>1</v>
      </c>
      <c r="F218">
        <v>1</v>
      </c>
      <c r="G218">
        <v>1081</v>
      </c>
      <c r="H218">
        <v>3</v>
      </c>
      <c r="I218" t="s">
        <v>302</v>
      </c>
      <c r="J218" t="s">
        <v>304</v>
      </c>
      <c r="K218" t="s">
        <v>303</v>
      </c>
      <c r="L218">
        <v>1354</v>
      </c>
      <c r="N218">
        <v>1010</v>
      </c>
      <c r="O218" t="s">
        <v>228</v>
      </c>
      <c r="P218" t="s">
        <v>228</v>
      </c>
      <c r="Q218">
        <v>1</v>
      </c>
      <c r="W218">
        <v>0</v>
      </c>
      <c r="X218">
        <v>-1253698249</v>
      </c>
      <c r="Y218">
        <f>(AT218*1)</f>
        <v>1</v>
      </c>
      <c r="AA218">
        <v>16330.88</v>
      </c>
      <c r="AB218">
        <v>0</v>
      </c>
      <c r="AC218">
        <v>0</v>
      </c>
      <c r="AD218">
        <v>0</v>
      </c>
      <c r="AE218">
        <v>2740.08</v>
      </c>
      <c r="AF218">
        <v>0</v>
      </c>
      <c r="AG218">
        <v>0</v>
      </c>
      <c r="AH218">
        <v>0</v>
      </c>
      <c r="AI218">
        <v>5.96</v>
      </c>
      <c r="AJ218">
        <v>1</v>
      </c>
      <c r="AK218">
        <v>1</v>
      </c>
      <c r="AL218">
        <v>1</v>
      </c>
      <c r="AM218">
        <v>0</v>
      </c>
      <c r="AN218">
        <v>0</v>
      </c>
      <c r="AO218">
        <v>0</v>
      </c>
      <c r="AP218">
        <v>1</v>
      </c>
      <c r="AQ218">
        <v>0</v>
      </c>
      <c r="AR218">
        <v>0</v>
      </c>
      <c r="AS218" t="s">
        <v>3</v>
      </c>
      <c r="AT218">
        <v>1</v>
      </c>
      <c r="AU218" t="s">
        <v>119</v>
      </c>
      <c r="AV218">
        <v>0</v>
      </c>
      <c r="AW218">
        <v>1</v>
      </c>
      <c r="AX218">
        <v>-1</v>
      </c>
      <c r="AY218">
        <v>0</v>
      </c>
      <c r="AZ218">
        <v>0</v>
      </c>
      <c r="BA218" t="s">
        <v>3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v>0</v>
      </c>
      <c r="CX218">
        <f>ROUND(Y218*Source!I162,9)</f>
        <v>8</v>
      </c>
      <c r="CY218">
        <f>AA218</f>
        <v>16330.88</v>
      </c>
      <c r="CZ218">
        <f>AE218</f>
        <v>2740.08</v>
      </c>
      <c r="DA218">
        <f>AI218</f>
        <v>5.96</v>
      </c>
      <c r="DB218">
        <f>ROUND((ROUND(AT218*CZ218,2)*1),6)</f>
        <v>2740.08</v>
      </c>
      <c r="DC218">
        <f>ROUND((ROUND(AT218*AG218,2)*1),6)</f>
        <v>0</v>
      </c>
      <c r="DD218" t="s">
        <v>3</v>
      </c>
      <c r="DE218" t="s">
        <v>3</v>
      </c>
      <c r="DF218">
        <f>ROUND(ROUND(AE218*AI218,2)*CX218,2)</f>
        <v>130647.03999999999</v>
      </c>
      <c r="DG218">
        <f t="shared" si="78"/>
        <v>0</v>
      </c>
      <c r="DH218">
        <f t="shared" si="77"/>
        <v>0</v>
      </c>
      <c r="DI218">
        <f t="shared" si="74"/>
        <v>0</v>
      </c>
      <c r="DJ218">
        <f>DF218</f>
        <v>130647.03999999999</v>
      </c>
      <c r="DK218">
        <v>0</v>
      </c>
      <c r="DL218" t="s">
        <v>3</v>
      </c>
      <c r="DM218">
        <v>0</v>
      </c>
      <c r="DN218" t="s">
        <v>3</v>
      </c>
      <c r="DO218">
        <v>0</v>
      </c>
    </row>
    <row r="219" spans="1:119" x14ac:dyDescent="0.2">
      <c r="A219">
        <f>ROW(Source!A165)</f>
        <v>165</v>
      </c>
      <c r="B219">
        <v>57248835</v>
      </c>
      <c r="C219">
        <v>57249344</v>
      </c>
      <c r="D219">
        <v>54702434</v>
      </c>
      <c r="E219">
        <v>1081</v>
      </c>
      <c r="F219">
        <v>1</v>
      </c>
      <c r="G219">
        <v>1081</v>
      </c>
      <c r="H219">
        <v>1</v>
      </c>
      <c r="I219" t="s">
        <v>457</v>
      </c>
      <c r="J219" t="s">
        <v>3</v>
      </c>
      <c r="K219" t="s">
        <v>458</v>
      </c>
      <c r="L219">
        <v>1191</v>
      </c>
      <c r="N219">
        <v>1013</v>
      </c>
      <c r="O219" t="s">
        <v>459</v>
      </c>
      <c r="P219" t="s">
        <v>459</v>
      </c>
      <c r="Q219">
        <v>1</v>
      </c>
      <c r="W219">
        <v>0</v>
      </c>
      <c r="X219">
        <v>476480486</v>
      </c>
      <c r="Y219">
        <f>((AT219*1.15)*1.2)</f>
        <v>15.966599999999998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11.57</v>
      </c>
      <c r="AU219" t="s">
        <v>293</v>
      </c>
      <c r="AV219">
        <v>1</v>
      </c>
      <c r="AW219">
        <v>2</v>
      </c>
      <c r="AX219">
        <v>57249352</v>
      </c>
      <c r="AY219">
        <v>1</v>
      </c>
      <c r="AZ219">
        <v>0</v>
      </c>
      <c r="BA219">
        <v>283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U219">
        <f>ROUND(AT219*Source!I165*AH219*AL219,2)</f>
        <v>0</v>
      </c>
      <c r="CV219">
        <f>ROUND(Y219*Source!I165,9)</f>
        <v>0.63866400000000001</v>
      </c>
      <c r="CW219">
        <v>0</v>
      </c>
      <c r="CX219">
        <f>ROUND(Y219*Source!I165,9)</f>
        <v>0.63866400000000001</v>
      </c>
      <c r="CY219">
        <f>AD219</f>
        <v>0</v>
      </c>
      <c r="CZ219">
        <f>AH219</f>
        <v>0</v>
      </c>
      <c r="DA219">
        <f>AL219</f>
        <v>1</v>
      </c>
      <c r="DB219">
        <f>ROUND(((ROUND(AT219*CZ219,2)*1.15)*1.2),6)</f>
        <v>0</v>
      </c>
      <c r="DC219">
        <f>ROUND(((ROUND(AT219*AG219,2)*1.15)*1.2),6)</f>
        <v>0</v>
      </c>
      <c r="DD219" t="s">
        <v>3</v>
      </c>
      <c r="DE219" t="s">
        <v>3</v>
      </c>
      <c r="DF219">
        <f t="shared" ref="DF219:DF229" si="79">ROUND(ROUND(AE219,2)*CX219,2)</f>
        <v>0</v>
      </c>
      <c r="DG219">
        <f t="shared" si="78"/>
        <v>0</v>
      </c>
      <c r="DH219">
        <f t="shared" si="77"/>
        <v>0</v>
      </c>
      <c r="DI219">
        <f t="shared" si="74"/>
        <v>0</v>
      </c>
      <c r="DJ219">
        <f>DI219</f>
        <v>0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ROW(Source!A165)</f>
        <v>165</v>
      </c>
      <c r="B220">
        <v>57248835</v>
      </c>
      <c r="C220">
        <v>57249344</v>
      </c>
      <c r="D220">
        <v>54768339</v>
      </c>
      <c r="E220">
        <v>1</v>
      </c>
      <c r="F220">
        <v>1</v>
      </c>
      <c r="G220">
        <v>1081</v>
      </c>
      <c r="H220">
        <v>2</v>
      </c>
      <c r="I220" t="s">
        <v>497</v>
      </c>
      <c r="J220" t="s">
        <v>498</v>
      </c>
      <c r="K220" t="s">
        <v>499</v>
      </c>
      <c r="L220">
        <v>1368</v>
      </c>
      <c r="N220">
        <v>1011</v>
      </c>
      <c r="O220" t="s">
        <v>463</v>
      </c>
      <c r="P220" t="s">
        <v>463</v>
      </c>
      <c r="Q220">
        <v>1</v>
      </c>
      <c r="W220">
        <v>0</v>
      </c>
      <c r="X220">
        <v>874612079</v>
      </c>
      <c r="Y220">
        <f>((AT220*1.25)*1.2)</f>
        <v>0.26999999999999996</v>
      </c>
      <c r="AA220">
        <v>0</v>
      </c>
      <c r="AB220">
        <v>90.33</v>
      </c>
      <c r="AC220">
        <v>13.72</v>
      </c>
      <c r="AD220">
        <v>0</v>
      </c>
      <c r="AE220">
        <v>0</v>
      </c>
      <c r="AF220">
        <v>83.1</v>
      </c>
      <c r="AG220">
        <v>12.62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0.18</v>
      </c>
      <c r="AU220" t="s">
        <v>292</v>
      </c>
      <c r="AV220">
        <v>0</v>
      </c>
      <c r="AW220">
        <v>2</v>
      </c>
      <c r="AX220">
        <v>57249353</v>
      </c>
      <c r="AY220">
        <v>1</v>
      </c>
      <c r="AZ220">
        <v>0</v>
      </c>
      <c r="BA220">
        <v>284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f>ROUND(Y220*Source!I165*DO220,9)</f>
        <v>0.136296</v>
      </c>
      <c r="CX220">
        <f>ROUND(Y220*Source!I165,9)</f>
        <v>1.0800000000000001E-2</v>
      </c>
      <c r="CY220">
        <f>AB220</f>
        <v>90.33</v>
      </c>
      <c r="CZ220">
        <f>AF220</f>
        <v>83.1</v>
      </c>
      <c r="DA220">
        <f>AJ220</f>
        <v>1</v>
      </c>
      <c r="DB220">
        <f>ROUND(((ROUND(AT220*CZ220,2)*1.25)*1.2),6)</f>
        <v>22.44</v>
      </c>
      <c r="DC220">
        <f>ROUND(((ROUND(AT220*AG220,2)*1.25)*1.2),6)</f>
        <v>3.4049999999999998</v>
      </c>
      <c r="DD220" t="s">
        <v>3</v>
      </c>
      <c r="DE220" t="s">
        <v>3</v>
      </c>
      <c r="DF220">
        <f t="shared" si="79"/>
        <v>0</v>
      </c>
      <c r="DG220">
        <f t="shared" si="78"/>
        <v>0.9</v>
      </c>
      <c r="DH220">
        <f t="shared" si="77"/>
        <v>0.14000000000000001</v>
      </c>
      <c r="DI220">
        <f t="shared" si="74"/>
        <v>0</v>
      </c>
      <c r="DJ220">
        <f>DG220</f>
        <v>0.9</v>
      </c>
      <c r="DK220">
        <v>0</v>
      </c>
      <c r="DL220" t="s">
        <v>500</v>
      </c>
      <c r="DM220">
        <v>0</v>
      </c>
      <c r="DN220" t="s">
        <v>459</v>
      </c>
      <c r="DO220">
        <v>12.62</v>
      </c>
    </row>
    <row r="221" spans="1:119" x14ac:dyDescent="0.2">
      <c r="A221">
        <f>ROW(Source!A165)</f>
        <v>165</v>
      </c>
      <c r="B221">
        <v>57248835</v>
      </c>
      <c r="C221">
        <v>57249344</v>
      </c>
      <c r="D221">
        <v>54768460</v>
      </c>
      <c r="E221">
        <v>1</v>
      </c>
      <c r="F221">
        <v>1</v>
      </c>
      <c r="G221">
        <v>1081</v>
      </c>
      <c r="H221">
        <v>2</v>
      </c>
      <c r="I221" t="s">
        <v>460</v>
      </c>
      <c r="J221" t="s">
        <v>461</v>
      </c>
      <c r="K221" t="s">
        <v>462</v>
      </c>
      <c r="L221">
        <v>1368</v>
      </c>
      <c r="N221">
        <v>1011</v>
      </c>
      <c r="O221" t="s">
        <v>463</v>
      </c>
      <c r="P221" t="s">
        <v>463</v>
      </c>
      <c r="Q221">
        <v>1</v>
      </c>
      <c r="W221">
        <v>0</v>
      </c>
      <c r="X221">
        <v>-2083101341</v>
      </c>
      <c r="Y221">
        <f>((AT221*1.25)*1.2)</f>
        <v>2.0699999999999998</v>
      </c>
      <c r="AA221">
        <v>0</v>
      </c>
      <c r="AB221">
        <v>0.87</v>
      </c>
      <c r="AC221">
        <v>0</v>
      </c>
      <c r="AD221">
        <v>0</v>
      </c>
      <c r="AE221">
        <v>0</v>
      </c>
      <c r="AF221">
        <v>0.8</v>
      </c>
      <c r="AG221">
        <v>0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1.38</v>
      </c>
      <c r="AU221" t="s">
        <v>292</v>
      </c>
      <c r="AV221">
        <v>0</v>
      </c>
      <c r="AW221">
        <v>2</v>
      </c>
      <c r="AX221">
        <v>57249354</v>
      </c>
      <c r="AY221">
        <v>1</v>
      </c>
      <c r="AZ221">
        <v>0</v>
      </c>
      <c r="BA221">
        <v>285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ROUND(Y221*Source!I165*DO221,9)</f>
        <v>0</v>
      </c>
      <c r="CX221">
        <f>ROUND(Y221*Source!I165,9)</f>
        <v>8.2799999999999999E-2</v>
      </c>
      <c r="CY221">
        <f>AB221</f>
        <v>0.87</v>
      </c>
      <c r="CZ221">
        <f>AF221</f>
        <v>0.8</v>
      </c>
      <c r="DA221">
        <f>AJ221</f>
        <v>1</v>
      </c>
      <c r="DB221">
        <f>ROUND(((ROUND(AT221*CZ221,2)*1.25)*1.2),6)</f>
        <v>1.65</v>
      </c>
      <c r="DC221">
        <f>ROUND(((ROUND(AT221*AG221,2)*1.25)*1.2),6)</f>
        <v>0</v>
      </c>
      <c r="DD221" t="s">
        <v>3</v>
      </c>
      <c r="DE221" t="s">
        <v>3</v>
      </c>
      <c r="DF221">
        <f t="shared" si="79"/>
        <v>0</v>
      </c>
      <c r="DG221">
        <f t="shared" si="78"/>
        <v>7.0000000000000007E-2</v>
      </c>
      <c r="DH221">
        <f t="shared" si="77"/>
        <v>0</v>
      </c>
      <c r="DI221">
        <f t="shared" si="74"/>
        <v>0</v>
      </c>
      <c r="DJ221">
        <f>DG221</f>
        <v>7.0000000000000007E-2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ROW(Source!A165)</f>
        <v>165</v>
      </c>
      <c r="B222">
        <v>57248835</v>
      </c>
      <c r="C222">
        <v>57249344</v>
      </c>
      <c r="D222">
        <v>54768426</v>
      </c>
      <c r="E222">
        <v>1</v>
      </c>
      <c r="F222">
        <v>1</v>
      </c>
      <c r="G222">
        <v>1081</v>
      </c>
      <c r="H222">
        <v>2</v>
      </c>
      <c r="I222" t="s">
        <v>485</v>
      </c>
      <c r="J222" t="s">
        <v>486</v>
      </c>
      <c r="K222" t="s">
        <v>487</v>
      </c>
      <c r="L222">
        <v>1368</v>
      </c>
      <c r="N222">
        <v>1011</v>
      </c>
      <c r="O222" t="s">
        <v>463</v>
      </c>
      <c r="P222" t="s">
        <v>463</v>
      </c>
      <c r="Q222">
        <v>1</v>
      </c>
      <c r="W222">
        <v>0</v>
      </c>
      <c r="X222">
        <v>-643591644</v>
      </c>
      <c r="Y222">
        <f>((AT222*1.25)*1.2)</f>
        <v>8.4</v>
      </c>
      <c r="AA222">
        <v>0</v>
      </c>
      <c r="AB222">
        <v>0.51</v>
      </c>
      <c r="AC222">
        <v>0</v>
      </c>
      <c r="AD222">
        <v>0</v>
      </c>
      <c r="AE222">
        <v>0</v>
      </c>
      <c r="AF222">
        <v>0.47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5.6</v>
      </c>
      <c r="AU222" t="s">
        <v>292</v>
      </c>
      <c r="AV222">
        <v>0</v>
      </c>
      <c r="AW222">
        <v>2</v>
      </c>
      <c r="AX222">
        <v>57249355</v>
      </c>
      <c r="AY222">
        <v>1</v>
      </c>
      <c r="AZ222">
        <v>0</v>
      </c>
      <c r="BA222">
        <v>286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ROUND(Y222*Source!I165*DO222,9)</f>
        <v>0</v>
      </c>
      <c r="CX222">
        <f>ROUND(Y222*Source!I165,9)</f>
        <v>0.33600000000000002</v>
      </c>
      <c r="CY222">
        <f>AB222</f>
        <v>0.51</v>
      </c>
      <c r="CZ222">
        <f>AF222</f>
        <v>0.47</v>
      </c>
      <c r="DA222">
        <f>AJ222</f>
        <v>1</v>
      </c>
      <c r="DB222">
        <f>ROUND(((ROUND(AT222*CZ222,2)*1.25)*1.2),6)</f>
        <v>3.9449999999999998</v>
      </c>
      <c r="DC222">
        <f>ROUND(((ROUND(AT222*AG222,2)*1.25)*1.2),6)</f>
        <v>0</v>
      </c>
      <c r="DD222" t="s">
        <v>3</v>
      </c>
      <c r="DE222" t="s">
        <v>3</v>
      </c>
      <c r="DF222">
        <f t="shared" si="79"/>
        <v>0</v>
      </c>
      <c r="DG222">
        <f t="shared" si="78"/>
        <v>0.16</v>
      </c>
      <c r="DH222">
        <f t="shared" si="77"/>
        <v>0</v>
      </c>
      <c r="DI222">
        <f t="shared" si="74"/>
        <v>0</v>
      </c>
      <c r="DJ222">
        <f>DG222</f>
        <v>0.16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ROW(Source!A165)</f>
        <v>165</v>
      </c>
      <c r="B223">
        <v>57248835</v>
      </c>
      <c r="C223">
        <v>57249344</v>
      </c>
      <c r="D223">
        <v>54739203</v>
      </c>
      <c r="E223">
        <v>1</v>
      </c>
      <c r="F223">
        <v>1</v>
      </c>
      <c r="G223">
        <v>1081</v>
      </c>
      <c r="H223">
        <v>3</v>
      </c>
      <c r="I223" t="s">
        <v>526</v>
      </c>
      <c r="J223" t="s">
        <v>527</v>
      </c>
      <c r="K223" t="s">
        <v>528</v>
      </c>
      <c r="L223">
        <v>1346</v>
      </c>
      <c r="N223">
        <v>1009</v>
      </c>
      <c r="O223" t="s">
        <v>320</v>
      </c>
      <c r="P223" t="s">
        <v>320</v>
      </c>
      <c r="Q223">
        <v>1</v>
      </c>
      <c r="W223">
        <v>0</v>
      </c>
      <c r="X223">
        <v>383020592</v>
      </c>
      <c r="Y223">
        <f>((AT223*1)*1)</f>
        <v>2.72</v>
      </c>
      <c r="AA223">
        <v>20.62</v>
      </c>
      <c r="AB223">
        <v>0</v>
      </c>
      <c r="AC223">
        <v>0</v>
      </c>
      <c r="AD223">
        <v>0</v>
      </c>
      <c r="AE223">
        <v>20.62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2.72</v>
      </c>
      <c r="AU223" t="s">
        <v>291</v>
      </c>
      <c r="AV223">
        <v>0</v>
      </c>
      <c r="AW223">
        <v>2</v>
      </c>
      <c r="AX223">
        <v>57249356</v>
      </c>
      <c r="AY223">
        <v>1</v>
      </c>
      <c r="AZ223">
        <v>0</v>
      </c>
      <c r="BA223">
        <v>287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ROUND(Y223*Source!I165,9)</f>
        <v>0.10879999999999999</v>
      </c>
      <c r="CY223">
        <f>AA223</f>
        <v>20.62</v>
      </c>
      <c r="CZ223">
        <f>AE223</f>
        <v>20.62</v>
      </c>
      <c r="DA223">
        <f>AI223</f>
        <v>1</v>
      </c>
      <c r="DB223">
        <f>ROUND(((ROUND(AT223*CZ223,2)*1)*1),6)</f>
        <v>56.09</v>
      </c>
      <c r="DC223">
        <f>ROUND(((ROUND(AT223*AG223,2)*1)*1),6)</f>
        <v>0</v>
      </c>
      <c r="DD223" t="s">
        <v>3</v>
      </c>
      <c r="DE223" t="s">
        <v>3</v>
      </c>
      <c r="DF223">
        <f t="shared" si="79"/>
        <v>2.2400000000000002</v>
      </c>
      <c r="DG223">
        <f t="shared" si="78"/>
        <v>0</v>
      </c>
      <c r="DH223">
        <f t="shared" si="77"/>
        <v>0</v>
      </c>
      <c r="DI223">
        <f t="shared" si="74"/>
        <v>0</v>
      </c>
      <c r="DJ223">
        <f>DF223</f>
        <v>2.2400000000000002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ROW(Source!A165)</f>
        <v>165</v>
      </c>
      <c r="B224">
        <v>57248835</v>
      </c>
      <c r="C224">
        <v>57249344</v>
      </c>
      <c r="D224">
        <v>54747383</v>
      </c>
      <c r="E224">
        <v>1</v>
      </c>
      <c r="F224">
        <v>1</v>
      </c>
      <c r="G224">
        <v>1081</v>
      </c>
      <c r="H224">
        <v>3</v>
      </c>
      <c r="I224" t="s">
        <v>491</v>
      </c>
      <c r="J224" t="s">
        <v>492</v>
      </c>
      <c r="K224" t="s">
        <v>493</v>
      </c>
      <c r="L224">
        <v>1354</v>
      </c>
      <c r="N224">
        <v>1010</v>
      </c>
      <c r="O224" t="s">
        <v>228</v>
      </c>
      <c r="P224" t="s">
        <v>228</v>
      </c>
      <c r="Q224">
        <v>1</v>
      </c>
      <c r="W224">
        <v>0</v>
      </c>
      <c r="X224">
        <v>-32785108</v>
      </c>
      <c r="Y224">
        <f>((AT224*1)*1)</f>
        <v>5</v>
      </c>
      <c r="AA224">
        <v>15.25</v>
      </c>
      <c r="AB224">
        <v>0</v>
      </c>
      <c r="AC224">
        <v>0</v>
      </c>
      <c r="AD224">
        <v>0</v>
      </c>
      <c r="AE224">
        <v>15.25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5</v>
      </c>
      <c r="AU224" t="s">
        <v>291</v>
      </c>
      <c r="AV224">
        <v>0</v>
      </c>
      <c r="AW224">
        <v>2</v>
      </c>
      <c r="AX224">
        <v>57249357</v>
      </c>
      <c r="AY224">
        <v>1</v>
      </c>
      <c r="AZ224">
        <v>0</v>
      </c>
      <c r="BA224">
        <v>288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ROUND(Y224*Source!I165,9)</f>
        <v>0.2</v>
      </c>
      <c r="CY224">
        <f>AA224</f>
        <v>15.25</v>
      </c>
      <c r="CZ224">
        <f>AE224</f>
        <v>15.25</v>
      </c>
      <c r="DA224">
        <f>AI224</f>
        <v>1</v>
      </c>
      <c r="DB224">
        <f>ROUND(((ROUND(AT224*CZ224,2)*1)*1),6)</f>
        <v>76.25</v>
      </c>
      <c r="DC224">
        <f>ROUND(((ROUND(AT224*AG224,2)*1)*1),6)</f>
        <v>0</v>
      </c>
      <c r="DD224" t="s">
        <v>3</v>
      </c>
      <c r="DE224" t="s">
        <v>3</v>
      </c>
      <c r="DF224">
        <f t="shared" si="79"/>
        <v>3.05</v>
      </c>
      <c r="DG224">
        <f t="shared" si="78"/>
        <v>0</v>
      </c>
      <c r="DH224">
        <f t="shared" si="77"/>
        <v>0</v>
      </c>
      <c r="DI224">
        <f t="shared" si="74"/>
        <v>0</v>
      </c>
      <c r="DJ224">
        <f>DF224</f>
        <v>3.05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ROW(Source!A165)</f>
        <v>165</v>
      </c>
      <c r="B225">
        <v>57248835</v>
      </c>
      <c r="C225">
        <v>57249344</v>
      </c>
      <c r="D225">
        <v>54749187</v>
      </c>
      <c r="E225">
        <v>1</v>
      </c>
      <c r="F225">
        <v>1</v>
      </c>
      <c r="G225">
        <v>1081</v>
      </c>
      <c r="H225">
        <v>3</v>
      </c>
      <c r="I225" t="s">
        <v>308</v>
      </c>
      <c r="J225" t="s">
        <v>310</v>
      </c>
      <c r="K225" t="s">
        <v>309</v>
      </c>
      <c r="L225">
        <v>1354</v>
      </c>
      <c r="N225">
        <v>1010</v>
      </c>
      <c r="O225" t="s">
        <v>228</v>
      </c>
      <c r="P225" t="s">
        <v>228</v>
      </c>
      <c r="Q225">
        <v>1</v>
      </c>
      <c r="W225">
        <v>0</v>
      </c>
      <c r="X225">
        <v>1463737686</v>
      </c>
      <c r="Y225">
        <f>((AT225*1)*1)</f>
        <v>100</v>
      </c>
      <c r="AA225">
        <v>269.43</v>
      </c>
      <c r="AB225">
        <v>0</v>
      </c>
      <c r="AC225">
        <v>0</v>
      </c>
      <c r="AD225">
        <v>0</v>
      </c>
      <c r="AE225">
        <v>269.43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100</v>
      </c>
      <c r="AU225" t="s">
        <v>291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ROUND(Y225*Source!I165,9)</f>
        <v>4</v>
      </c>
      <c r="CY225">
        <f>AA225</f>
        <v>269.43</v>
      </c>
      <c r="CZ225">
        <f>AE225</f>
        <v>269.43</v>
      </c>
      <c r="DA225">
        <f>AI225</f>
        <v>1</v>
      </c>
      <c r="DB225">
        <f>ROUND(((ROUND(AT225*CZ225,2)*1)*1),6)</f>
        <v>26943</v>
      </c>
      <c r="DC225">
        <f>ROUND(((ROUND(AT225*AG225,2)*1)*1),6)</f>
        <v>0</v>
      </c>
      <c r="DD225" t="s">
        <v>3</v>
      </c>
      <c r="DE225" t="s">
        <v>3</v>
      </c>
      <c r="DF225">
        <f t="shared" si="79"/>
        <v>1077.72</v>
      </c>
      <c r="DG225">
        <f t="shared" si="78"/>
        <v>0</v>
      </c>
      <c r="DH225">
        <f t="shared" si="77"/>
        <v>0</v>
      </c>
      <c r="DI225">
        <f t="shared" si="74"/>
        <v>0</v>
      </c>
      <c r="DJ225">
        <f>DF225</f>
        <v>1077.72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ROW(Source!A166)</f>
        <v>166</v>
      </c>
      <c r="B226">
        <v>57248837</v>
      </c>
      <c r="C226">
        <v>57249344</v>
      </c>
      <c r="D226">
        <v>54702434</v>
      </c>
      <c r="E226">
        <v>1081</v>
      </c>
      <c r="F226">
        <v>1</v>
      </c>
      <c r="G226">
        <v>1081</v>
      </c>
      <c r="H226">
        <v>1</v>
      </c>
      <c r="I226" t="s">
        <v>457</v>
      </c>
      <c r="J226" t="s">
        <v>3</v>
      </c>
      <c r="K226" t="s">
        <v>458</v>
      </c>
      <c r="L226">
        <v>1191</v>
      </c>
      <c r="N226">
        <v>1013</v>
      </c>
      <c r="O226" t="s">
        <v>459</v>
      </c>
      <c r="P226" t="s">
        <v>459</v>
      </c>
      <c r="Q226">
        <v>1</v>
      </c>
      <c r="W226">
        <v>0</v>
      </c>
      <c r="X226">
        <v>476480486</v>
      </c>
      <c r="Y226">
        <f>((AT226*1.15)*1.2)</f>
        <v>15.966599999999998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5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11.57</v>
      </c>
      <c r="AU226" t="s">
        <v>293</v>
      </c>
      <c r="AV226">
        <v>1</v>
      </c>
      <c r="AW226">
        <v>2</v>
      </c>
      <c r="AX226">
        <v>57249352</v>
      </c>
      <c r="AY226">
        <v>1</v>
      </c>
      <c r="AZ226">
        <v>0</v>
      </c>
      <c r="BA226">
        <v>290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U226">
        <f>ROUND(AT226*Source!I166*AH226*AL226,2)</f>
        <v>0</v>
      </c>
      <c r="CV226">
        <f>ROUND(Y226*Source!I166,9)</f>
        <v>0.63866400000000001</v>
      </c>
      <c r="CW226">
        <v>0</v>
      </c>
      <c r="CX226">
        <f>ROUND(Y226*Source!I166,9)</f>
        <v>0.63866400000000001</v>
      </c>
      <c r="CY226">
        <f>AD226</f>
        <v>0</v>
      </c>
      <c r="CZ226">
        <f>AH226</f>
        <v>0</v>
      </c>
      <c r="DA226">
        <f>AL226</f>
        <v>1</v>
      </c>
      <c r="DB226">
        <f>ROUND(((ROUND(AT226*CZ226,2)*1.15)*1.2),6)</f>
        <v>0</v>
      </c>
      <c r="DC226">
        <f>ROUND(((ROUND(AT226*AG226,2)*1.15)*1.2),6)</f>
        <v>0</v>
      </c>
      <c r="DD226" t="s">
        <v>3</v>
      </c>
      <c r="DE226" t="s">
        <v>3</v>
      </c>
      <c r="DF226">
        <f t="shared" si="79"/>
        <v>0</v>
      </c>
      <c r="DG226">
        <f t="shared" si="78"/>
        <v>0</v>
      </c>
      <c r="DH226">
        <f t="shared" si="77"/>
        <v>0</v>
      </c>
      <c r="DI226">
        <f t="shared" si="74"/>
        <v>0</v>
      </c>
      <c r="DJ226">
        <f>DI226</f>
        <v>0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ROW(Source!A166)</f>
        <v>166</v>
      </c>
      <c r="B227">
        <v>57248837</v>
      </c>
      <c r="C227">
        <v>57249344</v>
      </c>
      <c r="D227">
        <v>54768339</v>
      </c>
      <c r="E227">
        <v>1</v>
      </c>
      <c r="F227">
        <v>1</v>
      </c>
      <c r="G227">
        <v>1081</v>
      </c>
      <c r="H227">
        <v>2</v>
      </c>
      <c r="I227" t="s">
        <v>497</v>
      </c>
      <c r="J227" t="s">
        <v>498</v>
      </c>
      <c r="K227" t="s">
        <v>499</v>
      </c>
      <c r="L227">
        <v>1368</v>
      </c>
      <c r="N227">
        <v>1011</v>
      </c>
      <c r="O227" t="s">
        <v>463</v>
      </c>
      <c r="P227" t="s">
        <v>463</v>
      </c>
      <c r="Q227">
        <v>1</v>
      </c>
      <c r="W227">
        <v>0</v>
      </c>
      <c r="X227">
        <v>874612079</v>
      </c>
      <c r="Y227">
        <f>((AT227*1.25)*1.2)</f>
        <v>0.26999999999999996</v>
      </c>
      <c r="AA227">
        <v>0</v>
      </c>
      <c r="AB227">
        <v>1541.93</v>
      </c>
      <c r="AC227">
        <v>773.01</v>
      </c>
      <c r="AD227">
        <v>0</v>
      </c>
      <c r="AE227">
        <v>0</v>
      </c>
      <c r="AF227">
        <v>83.1</v>
      </c>
      <c r="AG227">
        <v>12.62</v>
      </c>
      <c r="AH227">
        <v>0</v>
      </c>
      <c r="AI227">
        <v>1</v>
      </c>
      <c r="AJ227">
        <v>17.07</v>
      </c>
      <c r="AK227">
        <v>56.35</v>
      </c>
      <c r="AL227">
        <v>1</v>
      </c>
      <c r="AM227">
        <v>2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0.18</v>
      </c>
      <c r="AU227" t="s">
        <v>292</v>
      </c>
      <c r="AV227">
        <v>0</v>
      </c>
      <c r="AW227">
        <v>2</v>
      </c>
      <c r="AX227">
        <v>57249353</v>
      </c>
      <c r="AY227">
        <v>1</v>
      </c>
      <c r="AZ227">
        <v>0</v>
      </c>
      <c r="BA227">
        <v>291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f>ROUND(Y227*Source!I166*DO227,9)</f>
        <v>0.136296</v>
      </c>
      <c r="CX227">
        <f>ROUND(Y227*Source!I166,9)</f>
        <v>1.0800000000000001E-2</v>
      </c>
      <c r="CY227">
        <f>AB227</f>
        <v>1541.93</v>
      </c>
      <c r="CZ227">
        <f>AF227</f>
        <v>83.1</v>
      </c>
      <c r="DA227">
        <f>AJ227</f>
        <v>17.07</v>
      </c>
      <c r="DB227">
        <f>ROUND(((ROUND(AT227*CZ227,2)*1.25)*1.2),6)</f>
        <v>22.44</v>
      </c>
      <c r="DC227">
        <f>ROUND(((ROUND(AT227*AG227,2)*1.25)*1.2),6)</f>
        <v>3.4049999999999998</v>
      </c>
      <c r="DD227" t="s">
        <v>3</v>
      </c>
      <c r="DE227" t="s">
        <v>3</v>
      </c>
      <c r="DF227">
        <f t="shared" si="79"/>
        <v>0</v>
      </c>
      <c r="DG227">
        <f>ROUND(ROUND(AF227*AJ227,2)*CX227,2)</f>
        <v>15.32</v>
      </c>
      <c r="DH227">
        <f>ROUND(ROUND(AG227*AK227,2)*CX227,2)</f>
        <v>7.68</v>
      </c>
      <c r="DI227">
        <f t="shared" si="74"/>
        <v>0</v>
      </c>
      <c r="DJ227">
        <f>DG227</f>
        <v>15.32</v>
      </c>
      <c r="DK227">
        <v>0</v>
      </c>
      <c r="DL227" t="s">
        <v>500</v>
      </c>
      <c r="DM227">
        <v>0</v>
      </c>
      <c r="DN227" t="s">
        <v>459</v>
      </c>
      <c r="DO227">
        <v>12.62</v>
      </c>
    </row>
    <row r="228" spans="1:119" x14ac:dyDescent="0.2">
      <c r="A228">
        <f>ROW(Source!A166)</f>
        <v>166</v>
      </c>
      <c r="B228">
        <v>57248837</v>
      </c>
      <c r="C228">
        <v>57249344</v>
      </c>
      <c r="D228">
        <v>54768460</v>
      </c>
      <c r="E228">
        <v>1</v>
      </c>
      <c r="F228">
        <v>1</v>
      </c>
      <c r="G228">
        <v>1081</v>
      </c>
      <c r="H228">
        <v>2</v>
      </c>
      <c r="I228" t="s">
        <v>460</v>
      </c>
      <c r="J228" t="s">
        <v>461</v>
      </c>
      <c r="K228" t="s">
        <v>462</v>
      </c>
      <c r="L228">
        <v>1368</v>
      </c>
      <c r="N228">
        <v>1011</v>
      </c>
      <c r="O228" t="s">
        <v>463</v>
      </c>
      <c r="P228" t="s">
        <v>463</v>
      </c>
      <c r="Q228">
        <v>1</v>
      </c>
      <c r="W228">
        <v>0</v>
      </c>
      <c r="X228">
        <v>-2083101341</v>
      </c>
      <c r="Y228">
        <f>((AT228*1.25)*1.2)</f>
        <v>2.0699999999999998</v>
      </c>
      <c r="AA228">
        <v>0</v>
      </c>
      <c r="AB228">
        <v>8.23</v>
      </c>
      <c r="AC228">
        <v>0</v>
      </c>
      <c r="AD228">
        <v>0</v>
      </c>
      <c r="AE228">
        <v>0</v>
      </c>
      <c r="AF228">
        <v>0.8</v>
      </c>
      <c r="AG228">
        <v>0</v>
      </c>
      <c r="AH228">
        <v>0</v>
      </c>
      <c r="AI228">
        <v>1</v>
      </c>
      <c r="AJ228">
        <v>9.4600000000000009</v>
      </c>
      <c r="AK228">
        <v>1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1.38</v>
      </c>
      <c r="AU228" t="s">
        <v>292</v>
      </c>
      <c r="AV228">
        <v>0</v>
      </c>
      <c r="AW228">
        <v>2</v>
      </c>
      <c r="AX228">
        <v>57249354</v>
      </c>
      <c r="AY228">
        <v>1</v>
      </c>
      <c r="AZ228">
        <v>0</v>
      </c>
      <c r="BA228">
        <v>292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ROUND(Y228*Source!I166*DO228,9)</f>
        <v>0</v>
      </c>
      <c r="CX228">
        <f>ROUND(Y228*Source!I166,9)</f>
        <v>8.2799999999999999E-2</v>
      </c>
      <c r="CY228">
        <f>AB228</f>
        <v>8.23</v>
      </c>
      <c r="CZ228">
        <f>AF228</f>
        <v>0.8</v>
      </c>
      <c r="DA228">
        <f>AJ228</f>
        <v>9.4600000000000009</v>
      </c>
      <c r="DB228">
        <f>ROUND(((ROUND(AT228*CZ228,2)*1.25)*1.2),6)</f>
        <v>1.65</v>
      </c>
      <c r="DC228">
        <f>ROUND(((ROUND(AT228*AG228,2)*1.25)*1.2),6)</f>
        <v>0</v>
      </c>
      <c r="DD228" t="s">
        <v>3</v>
      </c>
      <c r="DE228" t="s">
        <v>3</v>
      </c>
      <c r="DF228">
        <f t="shared" si="79"/>
        <v>0</v>
      </c>
      <c r="DG228">
        <f>ROUND(ROUND(AF228*AJ228,2)*CX228,2)</f>
        <v>0.63</v>
      </c>
      <c r="DH228">
        <f t="shared" ref="DH228:DH239" si="80">ROUND(ROUND(AG228,2)*CX228,2)</f>
        <v>0</v>
      </c>
      <c r="DI228">
        <f t="shared" si="74"/>
        <v>0</v>
      </c>
      <c r="DJ228">
        <f>DG228</f>
        <v>0.63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ROW(Source!A166)</f>
        <v>166</v>
      </c>
      <c r="B229">
        <v>57248837</v>
      </c>
      <c r="C229">
        <v>57249344</v>
      </c>
      <c r="D229">
        <v>54768426</v>
      </c>
      <c r="E229">
        <v>1</v>
      </c>
      <c r="F229">
        <v>1</v>
      </c>
      <c r="G229">
        <v>1081</v>
      </c>
      <c r="H229">
        <v>2</v>
      </c>
      <c r="I229" t="s">
        <v>485</v>
      </c>
      <c r="J229" t="s">
        <v>486</v>
      </c>
      <c r="K229" t="s">
        <v>487</v>
      </c>
      <c r="L229">
        <v>1368</v>
      </c>
      <c r="N229">
        <v>1011</v>
      </c>
      <c r="O229" t="s">
        <v>463</v>
      </c>
      <c r="P229" t="s">
        <v>463</v>
      </c>
      <c r="Q229">
        <v>1</v>
      </c>
      <c r="W229">
        <v>0</v>
      </c>
      <c r="X229">
        <v>-643591644</v>
      </c>
      <c r="Y229">
        <f>((AT229*1.25)*1.2)</f>
        <v>8.4</v>
      </c>
      <c r="AA229">
        <v>0</v>
      </c>
      <c r="AB229">
        <v>4.9400000000000004</v>
      </c>
      <c r="AC229">
        <v>0</v>
      </c>
      <c r="AD229">
        <v>0</v>
      </c>
      <c r="AE229">
        <v>0</v>
      </c>
      <c r="AF229">
        <v>0.47</v>
      </c>
      <c r="AG229">
        <v>0</v>
      </c>
      <c r="AH229">
        <v>0</v>
      </c>
      <c r="AI229">
        <v>1</v>
      </c>
      <c r="AJ229">
        <v>9.66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5.6</v>
      </c>
      <c r="AU229" t="s">
        <v>292</v>
      </c>
      <c r="AV229">
        <v>0</v>
      </c>
      <c r="AW229">
        <v>2</v>
      </c>
      <c r="AX229">
        <v>57249355</v>
      </c>
      <c r="AY229">
        <v>1</v>
      </c>
      <c r="AZ229">
        <v>0</v>
      </c>
      <c r="BA229">
        <v>293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ROUND(Y229*Source!I166*DO229,9)</f>
        <v>0</v>
      </c>
      <c r="CX229">
        <f>ROUND(Y229*Source!I166,9)</f>
        <v>0.33600000000000002</v>
      </c>
      <c r="CY229">
        <f>AB229</f>
        <v>4.9400000000000004</v>
      </c>
      <c r="CZ229">
        <f>AF229</f>
        <v>0.47</v>
      </c>
      <c r="DA229">
        <f>AJ229</f>
        <v>9.66</v>
      </c>
      <c r="DB229">
        <f>ROUND(((ROUND(AT229*CZ229,2)*1.25)*1.2),6)</f>
        <v>3.9449999999999998</v>
      </c>
      <c r="DC229">
        <f>ROUND(((ROUND(AT229*AG229,2)*1.25)*1.2),6)</f>
        <v>0</v>
      </c>
      <c r="DD229" t="s">
        <v>3</v>
      </c>
      <c r="DE229" t="s">
        <v>3</v>
      </c>
      <c r="DF229">
        <f t="shared" si="79"/>
        <v>0</v>
      </c>
      <c r="DG229">
        <f>ROUND(ROUND(AF229*AJ229,2)*CX229,2)</f>
        <v>1.53</v>
      </c>
      <c r="DH229">
        <f t="shared" si="80"/>
        <v>0</v>
      </c>
      <c r="DI229">
        <f t="shared" si="74"/>
        <v>0</v>
      </c>
      <c r="DJ229">
        <f>DG229</f>
        <v>1.53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ROW(Source!A166)</f>
        <v>166</v>
      </c>
      <c r="B230">
        <v>57248837</v>
      </c>
      <c r="C230">
        <v>57249344</v>
      </c>
      <c r="D230">
        <v>54739203</v>
      </c>
      <c r="E230">
        <v>1</v>
      </c>
      <c r="F230">
        <v>1</v>
      </c>
      <c r="G230">
        <v>1081</v>
      </c>
      <c r="H230">
        <v>3</v>
      </c>
      <c r="I230" t="s">
        <v>526</v>
      </c>
      <c r="J230" t="s">
        <v>527</v>
      </c>
      <c r="K230" t="s">
        <v>528</v>
      </c>
      <c r="L230">
        <v>1346</v>
      </c>
      <c r="N230">
        <v>1009</v>
      </c>
      <c r="O230" t="s">
        <v>320</v>
      </c>
      <c r="P230" t="s">
        <v>320</v>
      </c>
      <c r="Q230">
        <v>1</v>
      </c>
      <c r="W230">
        <v>0</v>
      </c>
      <c r="X230">
        <v>383020592</v>
      </c>
      <c r="Y230">
        <f>((AT230*1)*1)</f>
        <v>2.72</v>
      </c>
      <c r="AA230">
        <v>101.86</v>
      </c>
      <c r="AB230">
        <v>0</v>
      </c>
      <c r="AC230">
        <v>0</v>
      </c>
      <c r="AD230">
        <v>0</v>
      </c>
      <c r="AE230">
        <v>20.62</v>
      </c>
      <c r="AF230">
        <v>0</v>
      </c>
      <c r="AG230">
        <v>0</v>
      </c>
      <c r="AH230">
        <v>0</v>
      </c>
      <c r="AI230">
        <v>4.9400000000000004</v>
      </c>
      <c r="AJ230">
        <v>1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2.72</v>
      </c>
      <c r="AU230" t="s">
        <v>291</v>
      </c>
      <c r="AV230">
        <v>0</v>
      </c>
      <c r="AW230">
        <v>2</v>
      </c>
      <c r="AX230">
        <v>57249356</v>
      </c>
      <c r="AY230">
        <v>1</v>
      </c>
      <c r="AZ230">
        <v>0</v>
      </c>
      <c r="BA230">
        <v>294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v>0</v>
      </c>
      <c r="CX230">
        <f>ROUND(Y230*Source!I166,9)</f>
        <v>0.10879999999999999</v>
      </c>
      <c r="CY230">
        <f>AA230</f>
        <v>101.86</v>
      </c>
      <c r="CZ230">
        <f>AE230</f>
        <v>20.62</v>
      </c>
      <c r="DA230">
        <f>AI230</f>
        <v>4.9400000000000004</v>
      </c>
      <c r="DB230">
        <f>ROUND(((ROUND(AT230*CZ230,2)*1)*1),6)</f>
        <v>56.09</v>
      </c>
      <c r="DC230">
        <f>ROUND(((ROUND(AT230*AG230,2)*1)*1),6)</f>
        <v>0</v>
      </c>
      <c r="DD230" t="s">
        <v>3</v>
      </c>
      <c r="DE230" t="s">
        <v>3</v>
      </c>
      <c r="DF230">
        <f>ROUND(ROUND(AE230*AI230,2)*CX230,2)</f>
        <v>11.08</v>
      </c>
      <c r="DG230">
        <f t="shared" ref="DG230:DG239" si="81">ROUND(ROUND(AF230,2)*CX230,2)</f>
        <v>0</v>
      </c>
      <c r="DH230">
        <f t="shared" si="80"/>
        <v>0</v>
      </c>
      <c r="DI230">
        <f t="shared" si="74"/>
        <v>0</v>
      </c>
      <c r="DJ230">
        <f>DF230</f>
        <v>11.08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ROW(Source!A166)</f>
        <v>166</v>
      </c>
      <c r="B231">
        <v>57248837</v>
      </c>
      <c r="C231">
        <v>57249344</v>
      </c>
      <c r="D231">
        <v>54747383</v>
      </c>
      <c r="E231">
        <v>1</v>
      </c>
      <c r="F231">
        <v>1</v>
      </c>
      <c r="G231">
        <v>1081</v>
      </c>
      <c r="H231">
        <v>3</v>
      </c>
      <c r="I231" t="s">
        <v>491</v>
      </c>
      <c r="J231" t="s">
        <v>492</v>
      </c>
      <c r="K231" t="s">
        <v>493</v>
      </c>
      <c r="L231">
        <v>1354</v>
      </c>
      <c r="N231">
        <v>1010</v>
      </c>
      <c r="O231" t="s">
        <v>228</v>
      </c>
      <c r="P231" t="s">
        <v>228</v>
      </c>
      <c r="Q231">
        <v>1</v>
      </c>
      <c r="W231">
        <v>0</v>
      </c>
      <c r="X231">
        <v>-32785108</v>
      </c>
      <c r="Y231">
        <f>((AT231*1)*1)</f>
        <v>5</v>
      </c>
      <c r="AA231">
        <v>36.14</v>
      </c>
      <c r="AB231">
        <v>0</v>
      </c>
      <c r="AC231">
        <v>0</v>
      </c>
      <c r="AD231">
        <v>0</v>
      </c>
      <c r="AE231">
        <v>15.25</v>
      </c>
      <c r="AF231">
        <v>0</v>
      </c>
      <c r="AG231">
        <v>0</v>
      </c>
      <c r="AH231">
        <v>0</v>
      </c>
      <c r="AI231">
        <v>2.37</v>
      </c>
      <c r="AJ231">
        <v>1</v>
      </c>
      <c r="AK231">
        <v>1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5</v>
      </c>
      <c r="AU231" t="s">
        <v>291</v>
      </c>
      <c r="AV231">
        <v>0</v>
      </c>
      <c r="AW231">
        <v>2</v>
      </c>
      <c r="AX231">
        <v>57249357</v>
      </c>
      <c r="AY231">
        <v>1</v>
      </c>
      <c r="AZ231">
        <v>0</v>
      </c>
      <c r="BA231">
        <v>295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v>0</v>
      </c>
      <c r="CX231">
        <f>ROUND(Y231*Source!I166,9)</f>
        <v>0.2</v>
      </c>
      <c r="CY231">
        <f>AA231</f>
        <v>36.14</v>
      </c>
      <c r="CZ231">
        <f>AE231</f>
        <v>15.25</v>
      </c>
      <c r="DA231">
        <f>AI231</f>
        <v>2.37</v>
      </c>
      <c r="DB231">
        <f>ROUND(((ROUND(AT231*CZ231,2)*1)*1),6)</f>
        <v>76.25</v>
      </c>
      <c r="DC231">
        <f>ROUND(((ROUND(AT231*AG231,2)*1)*1),6)</f>
        <v>0</v>
      </c>
      <c r="DD231" t="s">
        <v>3</v>
      </c>
      <c r="DE231" t="s">
        <v>3</v>
      </c>
      <c r="DF231">
        <f>ROUND(ROUND(AE231*AI231,2)*CX231,2)</f>
        <v>7.23</v>
      </c>
      <c r="DG231">
        <f t="shared" si="81"/>
        <v>0</v>
      </c>
      <c r="DH231">
        <f t="shared" si="80"/>
        <v>0</v>
      </c>
      <c r="DI231">
        <f t="shared" si="74"/>
        <v>0</v>
      </c>
      <c r="DJ231">
        <f>DF231</f>
        <v>7.23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ROW(Source!A166)</f>
        <v>166</v>
      </c>
      <c r="B232">
        <v>57248837</v>
      </c>
      <c r="C232">
        <v>57249344</v>
      </c>
      <c r="D232">
        <v>54749187</v>
      </c>
      <c r="E232">
        <v>1</v>
      </c>
      <c r="F232">
        <v>1</v>
      </c>
      <c r="G232">
        <v>1081</v>
      </c>
      <c r="H232">
        <v>3</v>
      </c>
      <c r="I232" t="s">
        <v>308</v>
      </c>
      <c r="J232" t="s">
        <v>310</v>
      </c>
      <c r="K232" t="s">
        <v>309</v>
      </c>
      <c r="L232">
        <v>1354</v>
      </c>
      <c r="N232">
        <v>1010</v>
      </c>
      <c r="O232" t="s">
        <v>228</v>
      </c>
      <c r="P232" t="s">
        <v>228</v>
      </c>
      <c r="Q232">
        <v>1</v>
      </c>
      <c r="W232">
        <v>0</v>
      </c>
      <c r="X232">
        <v>1463737686</v>
      </c>
      <c r="Y232">
        <f>((AT232*1)*1)</f>
        <v>100</v>
      </c>
      <c r="AA232">
        <v>2505.6999999999998</v>
      </c>
      <c r="AB232">
        <v>0</v>
      </c>
      <c r="AC232">
        <v>0</v>
      </c>
      <c r="AD232">
        <v>0</v>
      </c>
      <c r="AE232">
        <v>269.43</v>
      </c>
      <c r="AF232">
        <v>0</v>
      </c>
      <c r="AG232">
        <v>0</v>
      </c>
      <c r="AH232">
        <v>0</v>
      </c>
      <c r="AI232">
        <v>9.3000000000000007</v>
      </c>
      <c r="AJ232">
        <v>1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1</v>
      </c>
      <c r="AQ232">
        <v>0</v>
      </c>
      <c r="AR232">
        <v>0</v>
      </c>
      <c r="AS232" t="s">
        <v>3</v>
      </c>
      <c r="AT232">
        <v>100</v>
      </c>
      <c r="AU232" t="s">
        <v>291</v>
      </c>
      <c r="AV232">
        <v>0</v>
      </c>
      <c r="AW232">
        <v>1</v>
      </c>
      <c r="AX232">
        <v>-1</v>
      </c>
      <c r="AY232">
        <v>0</v>
      </c>
      <c r="AZ232">
        <v>0</v>
      </c>
      <c r="BA232" t="s">
        <v>3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v>0</v>
      </c>
      <c r="CX232">
        <f>ROUND(Y232*Source!I166,9)</f>
        <v>4</v>
      </c>
      <c r="CY232">
        <f>AA232</f>
        <v>2505.6999999999998</v>
      </c>
      <c r="CZ232">
        <f>AE232</f>
        <v>269.43</v>
      </c>
      <c r="DA232">
        <f>AI232</f>
        <v>9.3000000000000007</v>
      </c>
      <c r="DB232">
        <f>ROUND(((ROUND(AT232*CZ232,2)*1)*1),6)</f>
        <v>26943</v>
      </c>
      <c r="DC232">
        <f>ROUND(((ROUND(AT232*AG232,2)*1)*1),6)</f>
        <v>0</v>
      </c>
      <c r="DD232" t="s">
        <v>3</v>
      </c>
      <c r="DE232" t="s">
        <v>3</v>
      </c>
      <c r="DF232">
        <f>ROUND(ROUND(AE232*AI232,2)*CX232,2)</f>
        <v>10022.799999999999</v>
      </c>
      <c r="DG232">
        <f t="shared" si="81"/>
        <v>0</v>
      </c>
      <c r="DH232">
        <f t="shared" si="80"/>
        <v>0</v>
      </c>
      <c r="DI232">
        <f t="shared" si="74"/>
        <v>0</v>
      </c>
      <c r="DJ232">
        <f>DF232</f>
        <v>10022.799999999999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ROW(Source!A171)</f>
        <v>171</v>
      </c>
      <c r="B233">
        <v>57248835</v>
      </c>
      <c r="C233">
        <v>57249361</v>
      </c>
      <c r="D233">
        <v>54702434</v>
      </c>
      <c r="E233">
        <v>1081</v>
      </c>
      <c r="F233">
        <v>1</v>
      </c>
      <c r="G233">
        <v>1081</v>
      </c>
      <c r="H233">
        <v>1</v>
      </c>
      <c r="I233" t="s">
        <v>457</v>
      </c>
      <c r="J233" t="s">
        <v>3</v>
      </c>
      <c r="K233" t="s">
        <v>458</v>
      </c>
      <c r="L233">
        <v>1191</v>
      </c>
      <c r="N233">
        <v>1013</v>
      </c>
      <c r="O233" t="s">
        <v>459</v>
      </c>
      <c r="P233" t="s">
        <v>459</v>
      </c>
      <c r="Q233">
        <v>1</v>
      </c>
      <c r="W233">
        <v>0</v>
      </c>
      <c r="X233">
        <v>476480486</v>
      </c>
      <c r="Y233">
        <f>((AT233*1.15)*1.2)</f>
        <v>1.4213999999999998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1.03</v>
      </c>
      <c r="AU233" t="s">
        <v>293</v>
      </c>
      <c r="AV233">
        <v>1</v>
      </c>
      <c r="AW233">
        <v>2</v>
      </c>
      <c r="AX233">
        <v>57249369</v>
      </c>
      <c r="AY233">
        <v>1</v>
      </c>
      <c r="AZ233">
        <v>0</v>
      </c>
      <c r="BA233">
        <v>297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U233">
        <f>ROUND(AT233*Source!I171*AH233*AL233,2)</f>
        <v>0</v>
      </c>
      <c r="CV233">
        <f>ROUND(Y233*Source!I171,9)</f>
        <v>5.6856</v>
      </c>
      <c r="CW233">
        <v>0</v>
      </c>
      <c r="CX233">
        <f>ROUND(Y233*Source!I171,9)</f>
        <v>5.6856</v>
      </c>
      <c r="CY233">
        <f>AD233</f>
        <v>0</v>
      </c>
      <c r="CZ233">
        <f>AH233</f>
        <v>0</v>
      </c>
      <c r="DA233">
        <f>AL233</f>
        <v>1</v>
      </c>
      <c r="DB233">
        <f>ROUND(((ROUND(AT233*CZ233,2)*1.15)*1.2),6)</f>
        <v>0</v>
      </c>
      <c r="DC233">
        <f>ROUND(((ROUND(AT233*AG233,2)*1.15)*1.2),6)</f>
        <v>0</v>
      </c>
      <c r="DD233" t="s">
        <v>3</v>
      </c>
      <c r="DE233" t="s">
        <v>3</v>
      </c>
      <c r="DF233">
        <f t="shared" ref="DF233:DF241" si="82">ROUND(ROUND(AE233,2)*CX233,2)</f>
        <v>0</v>
      </c>
      <c r="DG233">
        <f t="shared" si="81"/>
        <v>0</v>
      </c>
      <c r="DH233">
        <f t="shared" si="80"/>
        <v>0</v>
      </c>
      <c r="DI233">
        <f t="shared" si="74"/>
        <v>0</v>
      </c>
      <c r="DJ233">
        <f>DI233</f>
        <v>0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ROW(Source!A171)</f>
        <v>171</v>
      </c>
      <c r="B234">
        <v>57248835</v>
      </c>
      <c r="C234">
        <v>57249361</v>
      </c>
      <c r="D234">
        <v>54768339</v>
      </c>
      <c r="E234">
        <v>1</v>
      </c>
      <c r="F234">
        <v>1</v>
      </c>
      <c r="G234">
        <v>1081</v>
      </c>
      <c r="H234">
        <v>2</v>
      </c>
      <c r="I234" t="s">
        <v>497</v>
      </c>
      <c r="J234" t="s">
        <v>498</v>
      </c>
      <c r="K234" t="s">
        <v>499</v>
      </c>
      <c r="L234">
        <v>1368</v>
      </c>
      <c r="N234">
        <v>1011</v>
      </c>
      <c r="O234" t="s">
        <v>463</v>
      </c>
      <c r="P234" t="s">
        <v>463</v>
      </c>
      <c r="Q234">
        <v>1</v>
      </c>
      <c r="W234">
        <v>0</v>
      </c>
      <c r="X234">
        <v>874612079</v>
      </c>
      <c r="Y234">
        <f>((AT234*1.25)*1.2)</f>
        <v>1.4999999999999999E-2</v>
      </c>
      <c r="AA234">
        <v>0</v>
      </c>
      <c r="AB234">
        <v>88.67</v>
      </c>
      <c r="AC234">
        <v>13.47</v>
      </c>
      <c r="AD234">
        <v>0</v>
      </c>
      <c r="AE234">
        <v>0</v>
      </c>
      <c r="AF234">
        <v>83.1</v>
      </c>
      <c r="AG234">
        <v>12.62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0.01</v>
      </c>
      <c r="AU234" t="s">
        <v>292</v>
      </c>
      <c r="AV234">
        <v>0</v>
      </c>
      <c r="AW234">
        <v>2</v>
      </c>
      <c r="AX234">
        <v>57249370</v>
      </c>
      <c r="AY234">
        <v>1</v>
      </c>
      <c r="AZ234">
        <v>0</v>
      </c>
      <c r="BA234">
        <v>298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f>ROUND(Y234*Source!I171*DO234,9)</f>
        <v>0.75719999999999998</v>
      </c>
      <c r="CX234">
        <f>ROUND(Y234*Source!I171,9)</f>
        <v>0.06</v>
      </c>
      <c r="CY234">
        <f>AB234</f>
        <v>88.67</v>
      </c>
      <c r="CZ234">
        <f>AF234</f>
        <v>83.1</v>
      </c>
      <c r="DA234">
        <f>AJ234</f>
        <v>1</v>
      </c>
      <c r="DB234">
        <f>ROUND(((ROUND(AT234*CZ234,2)*1.25)*1.2),6)</f>
        <v>1.2450000000000001</v>
      </c>
      <c r="DC234">
        <f>ROUND(((ROUND(AT234*AG234,2)*1.25)*1.2),6)</f>
        <v>0.19500000000000001</v>
      </c>
      <c r="DD234" t="s">
        <v>3</v>
      </c>
      <c r="DE234" t="s">
        <v>3</v>
      </c>
      <c r="DF234">
        <f t="shared" si="82"/>
        <v>0</v>
      </c>
      <c r="DG234">
        <f t="shared" si="81"/>
        <v>4.99</v>
      </c>
      <c r="DH234">
        <f t="shared" si="80"/>
        <v>0.76</v>
      </c>
      <c r="DI234">
        <f t="shared" si="74"/>
        <v>0</v>
      </c>
      <c r="DJ234">
        <f>DG234</f>
        <v>4.99</v>
      </c>
      <c r="DK234">
        <v>0</v>
      </c>
      <c r="DL234" t="s">
        <v>500</v>
      </c>
      <c r="DM234">
        <v>0</v>
      </c>
      <c r="DN234" t="s">
        <v>459</v>
      </c>
      <c r="DO234">
        <v>12.62</v>
      </c>
    </row>
    <row r="235" spans="1:119" x14ac:dyDescent="0.2">
      <c r="A235">
        <f>ROW(Source!A171)</f>
        <v>171</v>
      </c>
      <c r="B235">
        <v>57248835</v>
      </c>
      <c r="C235">
        <v>57249361</v>
      </c>
      <c r="D235">
        <v>54767653</v>
      </c>
      <c r="E235">
        <v>1</v>
      </c>
      <c r="F235">
        <v>1</v>
      </c>
      <c r="G235">
        <v>1081</v>
      </c>
      <c r="H235">
        <v>2</v>
      </c>
      <c r="I235" t="s">
        <v>529</v>
      </c>
      <c r="J235" t="s">
        <v>530</v>
      </c>
      <c r="K235" t="s">
        <v>531</v>
      </c>
      <c r="L235">
        <v>1368</v>
      </c>
      <c r="N235">
        <v>1011</v>
      </c>
      <c r="O235" t="s">
        <v>463</v>
      </c>
      <c r="P235" t="s">
        <v>463</v>
      </c>
      <c r="Q235">
        <v>1</v>
      </c>
      <c r="W235">
        <v>0</v>
      </c>
      <c r="X235">
        <v>-597652516</v>
      </c>
      <c r="Y235">
        <f>((AT235*1.25)*1.2)</f>
        <v>0.39</v>
      </c>
      <c r="AA235">
        <v>0</v>
      </c>
      <c r="AB235">
        <v>0.34</v>
      </c>
      <c r="AC235">
        <v>0</v>
      </c>
      <c r="AD235">
        <v>0</v>
      </c>
      <c r="AE235">
        <v>0</v>
      </c>
      <c r="AF235">
        <v>0.32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0.26</v>
      </c>
      <c r="AU235" t="s">
        <v>292</v>
      </c>
      <c r="AV235">
        <v>0</v>
      </c>
      <c r="AW235">
        <v>2</v>
      </c>
      <c r="AX235">
        <v>57249371</v>
      </c>
      <c r="AY235">
        <v>1</v>
      </c>
      <c r="AZ235">
        <v>0</v>
      </c>
      <c r="BA235">
        <v>299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f>ROUND(Y235*Source!I171*DO235,9)</f>
        <v>0</v>
      </c>
      <c r="CX235">
        <f>ROUND(Y235*Source!I171,9)</f>
        <v>1.56</v>
      </c>
      <c r="CY235">
        <f>AB235</f>
        <v>0.34</v>
      </c>
      <c r="CZ235">
        <f>AF235</f>
        <v>0.32</v>
      </c>
      <c r="DA235">
        <f>AJ235</f>
        <v>1</v>
      </c>
      <c r="DB235">
        <f>ROUND(((ROUND(AT235*CZ235,2)*1.25)*1.2),6)</f>
        <v>0.12</v>
      </c>
      <c r="DC235">
        <f>ROUND(((ROUND(AT235*AG235,2)*1.25)*1.2),6)</f>
        <v>0</v>
      </c>
      <c r="DD235" t="s">
        <v>3</v>
      </c>
      <c r="DE235" t="s">
        <v>3</v>
      </c>
      <c r="DF235">
        <f t="shared" si="82"/>
        <v>0</v>
      </c>
      <c r="DG235">
        <f t="shared" si="81"/>
        <v>0.5</v>
      </c>
      <c r="DH235">
        <f t="shared" si="80"/>
        <v>0</v>
      </c>
      <c r="DI235">
        <f t="shared" si="74"/>
        <v>0</v>
      </c>
      <c r="DJ235">
        <f>DG235</f>
        <v>0.5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ROW(Source!A171)</f>
        <v>171</v>
      </c>
      <c r="B236">
        <v>57248835</v>
      </c>
      <c r="C236">
        <v>57249361</v>
      </c>
      <c r="D236">
        <v>54739177</v>
      </c>
      <c r="E236">
        <v>1</v>
      </c>
      <c r="F236">
        <v>1</v>
      </c>
      <c r="G236">
        <v>1081</v>
      </c>
      <c r="H236">
        <v>3</v>
      </c>
      <c r="I236" t="s">
        <v>532</v>
      </c>
      <c r="J236" t="s">
        <v>533</v>
      </c>
      <c r="K236" t="s">
        <v>534</v>
      </c>
      <c r="L236">
        <v>1346</v>
      </c>
      <c r="N236">
        <v>1009</v>
      </c>
      <c r="O236" t="s">
        <v>320</v>
      </c>
      <c r="P236" t="s">
        <v>320</v>
      </c>
      <c r="Q236">
        <v>1</v>
      </c>
      <c r="W236">
        <v>0</v>
      </c>
      <c r="X236">
        <v>1389232946</v>
      </c>
      <c r="Y236">
        <f>((AT236*1)*1)</f>
        <v>0.25</v>
      </c>
      <c r="AA236">
        <v>15.02</v>
      </c>
      <c r="AB236">
        <v>0</v>
      </c>
      <c r="AC236">
        <v>0</v>
      </c>
      <c r="AD236">
        <v>0</v>
      </c>
      <c r="AE236">
        <v>15.02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0.25</v>
      </c>
      <c r="AU236" t="s">
        <v>291</v>
      </c>
      <c r="AV236">
        <v>0</v>
      </c>
      <c r="AW236">
        <v>2</v>
      </c>
      <c r="AX236">
        <v>57249372</v>
      </c>
      <c r="AY236">
        <v>1</v>
      </c>
      <c r="AZ236">
        <v>0</v>
      </c>
      <c r="BA236">
        <v>300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ROUND(Y236*Source!I171,9)</f>
        <v>1</v>
      </c>
      <c r="CY236">
        <f>AA236</f>
        <v>15.02</v>
      </c>
      <c r="CZ236">
        <f>AE236</f>
        <v>15.02</v>
      </c>
      <c r="DA236">
        <f>AI236</f>
        <v>1</v>
      </c>
      <c r="DB236">
        <f>ROUND(((ROUND(AT236*CZ236,2)*1)*1),6)</f>
        <v>3.76</v>
      </c>
      <c r="DC236">
        <f>ROUND(((ROUND(AT236*AG236,2)*1)*1),6)</f>
        <v>0</v>
      </c>
      <c r="DD236" t="s">
        <v>3</v>
      </c>
      <c r="DE236" t="s">
        <v>3</v>
      </c>
      <c r="DF236">
        <f t="shared" si="82"/>
        <v>15.02</v>
      </c>
      <c r="DG236">
        <f t="shared" si="81"/>
        <v>0</v>
      </c>
      <c r="DH236">
        <f t="shared" si="80"/>
        <v>0</v>
      </c>
      <c r="DI236">
        <f t="shared" si="74"/>
        <v>0</v>
      </c>
      <c r="DJ236">
        <f>DF236</f>
        <v>15.02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ROW(Source!A171)</f>
        <v>171</v>
      </c>
      <c r="B237">
        <v>57248835</v>
      </c>
      <c r="C237">
        <v>57249361</v>
      </c>
      <c r="D237">
        <v>54744241</v>
      </c>
      <c r="E237">
        <v>1</v>
      </c>
      <c r="F237">
        <v>1</v>
      </c>
      <c r="G237">
        <v>1081</v>
      </c>
      <c r="H237">
        <v>3</v>
      </c>
      <c r="I237" t="s">
        <v>318</v>
      </c>
      <c r="J237" t="s">
        <v>321</v>
      </c>
      <c r="K237" t="s">
        <v>319</v>
      </c>
      <c r="L237">
        <v>1346</v>
      </c>
      <c r="N237">
        <v>1009</v>
      </c>
      <c r="O237" t="s">
        <v>320</v>
      </c>
      <c r="P237" t="s">
        <v>320</v>
      </c>
      <c r="Q237">
        <v>1</v>
      </c>
      <c r="W237">
        <v>0</v>
      </c>
      <c r="X237">
        <v>-2097101800</v>
      </c>
      <c r="Y237">
        <f>AT237</f>
        <v>0.2</v>
      </c>
      <c r="AA237">
        <v>31.08</v>
      </c>
      <c r="AB237">
        <v>0</v>
      </c>
      <c r="AC237">
        <v>0</v>
      </c>
      <c r="AD237">
        <v>0</v>
      </c>
      <c r="AE237">
        <v>31.08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0.2</v>
      </c>
      <c r="AU237" t="s">
        <v>3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ROUND(Y237*Source!I171,9)</f>
        <v>0.8</v>
      </c>
      <c r="CY237">
        <f>AA237</f>
        <v>31.08</v>
      </c>
      <c r="CZ237">
        <f>AE237</f>
        <v>31.08</v>
      </c>
      <c r="DA237">
        <f>AI237</f>
        <v>1</v>
      </c>
      <c r="DB237">
        <f>ROUND(ROUND(AT237*CZ237,2),6)</f>
        <v>6.22</v>
      </c>
      <c r="DC237">
        <f>ROUND(ROUND(AT237*AG237,2),6)</f>
        <v>0</v>
      </c>
      <c r="DD237" t="s">
        <v>3</v>
      </c>
      <c r="DE237" t="s">
        <v>3</v>
      </c>
      <c r="DF237">
        <f t="shared" si="82"/>
        <v>24.86</v>
      </c>
      <c r="DG237">
        <f t="shared" si="81"/>
        <v>0</v>
      </c>
      <c r="DH237">
        <f t="shared" si="80"/>
        <v>0</v>
      </c>
      <c r="DI237">
        <f t="shared" si="74"/>
        <v>0</v>
      </c>
      <c r="DJ237">
        <f>DF237</f>
        <v>24.86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ROW(Source!A171)</f>
        <v>171</v>
      </c>
      <c r="B238">
        <v>57248835</v>
      </c>
      <c r="C238">
        <v>57249361</v>
      </c>
      <c r="D238">
        <v>0</v>
      </c>
      <c r="E238">
        <v>0</v>
      </c>
      <c r="F238">
        <v>1</v>
      </c>
      <c r="G238">
        <v>1081</v>
      </c>
      <c r="H238">
        <v>3</v>
      </c>
      <c r="I238" t="s">
        <v>323</v>
      </c>
      <c r="J238" t="s">
        <v>323</v>
      </c>
      <c r="K238" t="s">
        <v>324</v>
      </c>
      <c r="L238">
        <v>1371</v>
      </c>
      <c r="N238">
        <v>1013</v>
      </c>
      <c r="O238" t="s">
        <v>192</v>
      </c>
      <c r="P238" t="s">
        <v>192</v>
      </c>
      <c r="Q238">
        <v>1</v>
      </c>
      <c r="W238">
        <v>0</v>
      </c>
      <c r="X238">
        <v>-242689423</v>
      </c>
      <c r="Y238">
        <f>AT238</f>
        <v>1</v>
      </c>
      <c r="AA238">
        <v>1783.28</v>
      </c>
      <c r="AB238">
        <v>0</v>
      </c>
      <c r="AC238">
        <v>0</v>
      </c>
      <c r="AD238">
        <v>0</v>
      </c>
      <c r="AE238">
        <v>1783.28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1</v>
      </c>
      <c r="AU238" t="s">
        <v>3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ROUND(Y238*Source!I171,9)</f>
        <v>4</v>
      </c>
      <c r="CY238">
        <f>AA238</f>
        <v>1783.28</v>
      </c>
      <c r="CZ238">
        <f>AE238</f>
        <v>1783.28</v>
      </c>
      <c r="DA238">
        <f>AI238</f>
        <v>1</v>
      </c>
      <c r="DB238">
        <f>ROUND(ROUND(AT238*CZ238,2),6)</f>
        <v>1783.28</v>
      </c>
      <c r="DC238">
        <f>ROUND(ROUND(AT238*AG238,2),6)</f>
        <v>0</v>
      </c>
      <c r="DD238" t="s">
        <v>3</v>
      </c>
      <c r="DE238" t="s">
        <v>3</v>
      </c>
      <c r="DF238">
        <f t="shared" si="82"/>
        <v>7133.12</v>
      </c>
      <c r="DG238">
        <f t="shared" si="81"/>
        <v>0</v>
      </c>
      <c r="DH238">
        <f t="shared" si="80"/>
        <v>0</v>
      </c>
      <c r="DI238">
        <f t="shared" si="74"/>
        <v>0</v>
      </c>
      <c r="DJ238">
        <f>DF238</f>
        <v>7133.12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ROW(Source!A172)</f>
        <v>172</v>
      </c>
      <c r="B239">
        <v>57248837</v>
      </c>
      <c r="C239">
        <v>57249361</v>
      </c>
      <c r="D239">
        <v>54702434</v>
      </c>
      <c r="E239">
        <v>1081</v>
      </c>
      <c r="F239">
        <v>1</v>
      </c>
      <c r="G239">
        <v>1081</v>
      </c>
      <c r="H239">
        <v>1</v>
      </c>
      <c r="I239" t="s">
        <v>457</v>
      </c>
      <c r="J239" t="s">
        <v>3</v>
      </c>
      <c r="K239" t="s">
        <v>458</v>
      </c>
      <c r="L239">
        <v>1191</v>
      </c>
      <c r="N239">
        <v>1013</v>
      </c>
      <c r="O239" t="s">
        <v>459</v>
      </c>
      <c r="P239" t="s">
        <v>459</v>
      </c>
      <c r="Q239">
        <v>1</v>
      </c>
      <c r="W239">
        <v>0</v>
      </c>
      <c r="X239">
        <v>476480486</v>
      </c>
      <c r="Y239">
        <f>((AT239*1.15)*1.2)</f>
        <v>1.4213999999999998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5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1.03</v>
      </c>
      <c r="AU239" t="s">
        <v>293</v>
      </c>
      <c r="AV239">
        <v>1</v>
      </c>
      <c r="AW239">
        <v>2</v>
      </c>
      <c r="AX239">
        <v>57249369</v>
      </c>
      <c r="AY239">
        <v>1</v>
      </c>
      <c r="AZ239">
        <v>0</v>
      </c>
      <c r="BA239">
        <v>303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U239">
        <f>ROUND(AT239*Source!I172*AH239*AL239,2)</f>
        <v>0</v>
      </c>
      <c r="CV239">
        <f>ROUND(Y239*Source!I172,9)</f>
        <v>5.6856</v>
      </c>
      <c r="CW239">
        <v>0</v>
      </c>
      <c r="CX239">
        <f>ROUND(Y239*Source!I172,9)</f>
        <v>5.6856</v>
      </c>
      <c r="CY239">
        <f>AD239</f>
        <v>0</v>
      </c>
      <c r="CZ239">
        <f>AH239</f>
        <v>0</v>
      </c>
      <c r="DA239">
        <f>AL239</f>
        <v>1</v>
      </c>
      <c r="DB239">
        <f>ROUND(((ROUND(AT239*CZ239,2)*1.15)*1.2),6)</f>
        <v>0</v>
      </c>
      <c r="DC239">
        <f>ROUND(((ROUND(AT239*AG239,2)*1.15)*1.2),6)</f>
        <v>0</v>
      </c>
      <c r="DD239" t="s">
        <v>3</v>
      </c>
      <c r="DE239" t="s">
        <v>3</v>
      </c>
      <c r="DF239">
        <f t="shared" si="82"/>
        <v>0</v>
      </c>
      <c r="DG239">
        <f t="shared" si="81"/>
        <v>0</v>
      </c>
      <c r="DH239">
        <f t="shared" si="80"/>
        <v>0</v>
      </c>
      <c r="DI239">
        <f t="shared" si="74"/>
        <v>0</v>
      </c>
      <c r="DJ239">
        <f>DI239</f>
        <v>0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ROW(Source!A172)</f>
        <v>172</v>
      </c>
      <c r="B240">
        <v>57248837</v>
      </c>
      <c r="C240">
        <v>57249361</v>
      </c>
      <c r="D240">
        <v>54768339</v>
      </c>
      <c r="E240">
        <v>1</v>
      </c>
      <c r="F240">
        <v>1</v>
      </c>
      <c r="G240">
        <v>1081</v>
      </c>
      <c r="H240">
        <v>2</v>
      </c>
      <c r="I240" t="s">
        <v>497</v>
      </c>
      <c r="J240" t="s">
        <v>498</v>
      </c>
      <c r="K240" t="s">
        <v>499</v>
      </c>
      <c r="L240">
        <v>1368</v>
      </c>
      <c r="N240">
        <v>1011</v>
      </c>
      <c r="O240" t="s">
        <v>463</v>
      </c>
      <c r="P240" t="s">
        <v>463</v>
      </c>
      <c r="Q240">
        <v>1</v>
      </c>
      <c r="W240">
        <v>0</v>
      </c>
      <c r="X240">
        <v>874612079</v>
      </c>
      <c r="Y240">
        <f>((AT240*1.25)*1.2)</f>
        <v>1.4999999999999999E-2</v>
      </c>
      <c r="AA240">
        <v>0</v>
      </c>
      <c r="AB240">
        <v>1513.56</v>
      </c>
      <c r="AC240">
        <v>758.78</v>
      </c>
      <c r="AD240">
        <v>0</v>
      </c>
      <c r="AE240">
        <v>0</v>
      </c>
      <c r="AF240">
        <v>83.1</v>
      </c>
      <c r="AG240">
        <v>12.62</v>
      </c>
      <c r="AH240">
        <v>0</v>
      </c>
      <c r="AI240">
        <v>1</v>
      </c>
      <c r="AJ240">
        <v>17.07</v>
      </c>
      <c r="AK240">
        <v>56.35</v>
      </c>
      <c r="AL240">
        <v>1</v>
      </c>
      <c r="AM240">
        <v>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0.01</v>
      </c>
      <c r="AU240" t="s">
        <v>292</v>
      </c>
      <c r="AV240">
        <v>0</v>
      </c>
      <c r="AW240">
        <v>2</v>
      </c>
      <c r="AX240">
        <v>57249370</v>
      </c>
      <c r="AY240">
        <v>1</v>
      </c>
      <c r="AZ240">
        <v>0</v>
      </c>
      <c r="BA240">
        <v>304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ROUND(Y240*Source!I172*DO240,9)</f>
        <v>0.75719999999999998</v>
      </c>
      <c r="CX240">
        <f>ROUND(Y240*Source!I172,9)</f>
        <v>0.06</v>
      </c>
      <c r="CY240">
        <f>AB240</f>
        <v>1513.56</v>
      </c>
      <c r="CZ240">
        <f>AF240</f>
        <v>83.1</v>
      </c>
      <c r="DA240">
        <f>AJ240</f>
        <v>17.07</v>
      </c>
      <c r="DB240">
        <f>ROUND(((ROUND(AT240*CZ240,2)*1.25)*1.2),6)</f>
        <v>1.2450000000000001</v>
      </c>
      <c r="DC240">
        <f>ROUND(((ROUND(AT240*AG240,2)*1.25)*1.2),6)</f>
        <v>0.19500000000000001</v>
      </c>
      <c r="DD240" t="s">
        <v>3</v>
      </c>
      <c r="DE240" t="s">
        <v>3</v>
      </c>
      <c r="DF240">
        <f t="shared" si="82"/>
        <v>0</v>
      </c>
      <c r="DG240">
        <f>ROUND(ROUND(AF240*AJ240,2)*CX240,2)</f>
        <v>85.11</v>
      </c>
      <c r="DH240">
        <f>ROUND(ROUND(AG240*AK240,2)*CX240,2)</f>
        <v>42.67</v>
      </c>
      <c r="DI240">
        <f t="shared" si="74"/>
        <v>0</v>
      </c>
      <c r="DJ240">
        <f>DG240</f>
        <v>85.11</v>
      </c>
      <c r="DK240">
        <v>0</v>
      </c>
      <c r="DL240" t="s">
        <v>500</v>
      </c>
      <c r="DM240">
        <v>0</v>
      </c>
      <c r="DN240" t="s">
        <v>459</v>
      </c>
      <c r="DO240">
        <v>12.62</v>
      </c>
    </row>
    <row r="241" spans="1:119" x14ac:dyDescent="0.2">
      <c r="A241">
        <f>ROW(Source!A172)</f>
        <v>172</v>
      </c>
      <c r="B241">
        <v>57248837</v>
      </c>
      <c r="C241">
        <v>57249361</v>
      </c>
      <c r="D241">
        <v>54767653</v>
      </c>
      <c r="E241">
        <v>1</v>
      </c>
      <c r="F241">
        <v>1</v>
      </c>
      <c r="G241">
        <v>1081</v>
      </c>
      <c r="H241">
        <v>2</v>
      </c>
      <c r="I241" t="s">
        <v>529</v>
      </c>
      <c r="J241" t="s">
        <v>530</v>
      </c>
      <c r="K241" t="s">
        <v>531</v>
      </c>
      <c r="L241">
        <v>1368</v>
      </c>
      <c r="N241">
        <v>1011</v>
      </c>
      <c r="O241" t="s">
        <v>463</v>
      </c>
      <c r="P241" t="s">
        <v>463</v>
      </c>
      <c r="Q241">
        <v>1</v>
      </c>
      <c r="W241">
        <v>0</v>
      </c>
      <c r="X241">
        <v>-597652516</v>
      </c>
      <c r="Y241">
        <f>((AT241*1.25)*1.2)</f>
        <v>0.39</v>
      </c>
      <c r="AA241">
        <v>0</v>
      </c>
      <c r="AB241">
        <v>3.14</v>
      </c>
      <c r="AC241">
        <v>0</v>
      </c>
      <c r="AD241">
        <v>0</v>
      </c>
      <c r="AE241">
        <v>0</v>
      </c>
      <c r="AF241">
        <v>0.32</v>
      </c>
      <c r="AG241">
        <v>0</v>
      </c>
      <c r="AH241">
        <v>0</v>
      </c>
      <c r="AI241">
        <v>1</v>
      </c>
      <c r="AJ241">
        <v>9.19</v>
      </c>
      <c r="AK241">
        <v>1</v>
      </c>
      <c r="AL241">
        <v>1</v>
      </c>
      <c r="AM241">
        <v>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0.26</v>
      </c>
      <c r="AU241" t="s">
        <v>292</v>
      </c>
      <c r="AV241">
        <v>0</v>
      </c>
      <c r="AW241">
        <v>2</v>
      </c>
      <c r="AX241">
        <v>57249371</v>
      </c>
      <c r="AY241">
        <v>1</v>
      </c>
      <c r="AZ241">
        <v>0</v>
      </c>
      <c r="BA241">
        <v>305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ROUND(Y241*Source!I172*DO241,9)</f>
        <v>0</v>
      </c>
      <c r="CX241">
        <f>ROUND(Y241*Source!I172,9)</f>
        <v>1.56</v>
      </c>
      <c r="CY241">
        <f>AB241</f>
        <v>3.14</v>
      </c>
      <c r="CZ241">
        <f>AF241</f>
        <v>0.32</v>
      </c>
      <c r="DA241">
        <f>AJ241</f>
        <v>9.19</v>
      </c>
      <c r="DB241">
        <f>ROUND(((ROUND(AT241*CZ241,2)*1.25)*1.2),6)</f>
        <v>0.12</v>
      </c>
      <c r="DC241">
        <f>ROUND(((ROUND(AT241*AG241,2)*1.25)*1.2),6)</f>
        <v>0</v>
      </c>
      <c r="DD241" t="s">
        <v>3</v>
      </c>
      <c r="DE241" t="s">
        <v>3</v>
      </c>
      <c r="DF241">
        <f t="shared" si="82"/>
        <v>0</v>
      </c>
      <c r="DG241">
        <f>ROUND(ROUND(AF241*AJ241,2)*CX241,2)</f>
        <v>4.59</v>
      </c>
      <c r="DH241">
        <f t="shared" ref="DH241:DH251" si="83">ROUND(ROUND(AG241,2)*CX241,2)</f>
        <v>0</v>
      </c>
      <c r="DI241">
        <f t="shared" si="74"/>
        <v>0</v>
      </c>
      <c r="DJ241">
        <f>DG241</f>
        <v>4.59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ROW(Source!A172)</f>
        <v>172</v>
      </c>
      <c r="B242">
        <v>57248837</v>
      </c>
      <c r="C242">
        <v>57249361</v>
      </c>
      <c r="D242">
        <v>54739177</v>
      </c>
      <c r="E242">
        <v>1</v>
      </c>
      <c r="F242">
        <v>1</v>
      </c>
      <c r="G242">
        <v>1081</v>
      </c>
      <c r="H242">
        <v>3</v>
      </c>
      <c r="I242" t="s">
        <v>532</v>
      </c>
      <c r="J242" t="s">
        <v>533</v>
      </c>
      <c r="K242" t="s">
        <v>534</v>
      </c>
      <c r="L242">
        <v>1346</v>
      </c>
      <c r="N242">
        <v>1009</v>
      </c>
      <c r="O242" t="s">
        <v>320</v>
      </c>
      <c r="P242" t="s">
        <v>320</v>
      </c>
      <c r="Q242">
        <v>1</v>
      </c>
      <c r="W242">
        <v>0</v>
      </c>
      <c r="X242">
        <v>1389232946</v>
      </c>
      <c r="Y242">
        <f>((AT242*1)*1)</f>
        <v>0.25</v>
      </c>
      <c r="AA242">
        <v>98.38</v>
      </c>
      <c r="AB242">
        <v>0</v>
      </c>
      <c r="AC242">
        <v>0</v>
      </c>
      <c r="AD242">
        <v>0</v>
      </c>
      <c r="AE242">
        <v>15.02</v>
      </c>
      <c r="AF242">
        <v>0</v>
      </c>
      <c r="AG242">
        <v>0</v>
      </c>
      <c r="AH242">
        <v>0</v>
      </c>
      <c r="AI242">
        <v>6.55</v>
      </c>
      <c r="AJ242">
        <v>1</v>
      </c>
      <c r="AK242">
        <v>1</v>
      </c>
      <c r="AL242">
        <v>1</v>
      </c>
      <c r="AM242">
        <v>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0.25</v>
      </c>
      <c r="AU242" t="s">
        <v>291</v>
      </c>
      <c r="AV242">
        <v>0</v>
      </c>
      <c r="AW242">
        <v>2</v>
      </c>
      <c r="AX242">
        <v>57249372</v>
      </c>
      <c r="AY242">
        <v>1</v>
      </c>
      <c r="AZ242">
        <v>0</v>
      </c>
      <c r="BA242">
        <v>306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ROUND(Y242*Source!I172,9)</f>
        <v>1</v>
      </c>
      <c r="CY242">
        <f>AA242</f>
        <v>98.38</v>
      </c>
      <c r="CZ242">
        <f>AE242</f>
        <v>15.02</v>
      </c>
      <c r="DA242">
        <f>AI242</f>
        <v>6.55</v>
      </c>
      <c r="DB242">
        <f>ROUND(((ROUND(AT242*CZ242,2)*1)*1),6)</f>
        <v>3.76</v>
      </c>
      <c r="DC242">
        <f>ROUND(((ROUND(AT242*AG242,2)*1)*1),6)</f>
        <v>0</v>
      </c>
      <c r="DD242" t="s">
        <v>3</v>
      </c>
      <c r="DE242" t="s">
        <v>3</v>
      </c>
      <c r="DF242">
        <f>ROUND(ROUND(AE242*AI242,2)*CX242,2)</f>
        <v>98.38</v>
      </c>
      <c r="DG242">
        <f t="shared" ref="DG242:DG251" si="84">ROUND(ROUND(AF242,2)*CX242,2)</f>
        <v>0</v>
      </c>
      <c r="DH242">
        <f t="shared" si="83"/>
        <v>0</v>
      </c>
      <c r="DI242">
        <f t="shared" si="74"/>
        <v>0</v>
      </c>
      <c r="DJ242">
        <f>DF242</f>
        <v>98.38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ROW(Source!A172)</f>
        <v>172</v>
      </c>
      <c r="B243">
        <v>57248837</v>
      </c>
      <c r="C243">
        <v>57249361</v>
      </c>
      <c r="D243">
        <v>54744241</v>
      </c>
      <c r="E243">
        <v>1</v>
      </c>
      <c r="F243">
        <v>1</v>
      </c>
      <c r="G243">
        <v>1081</v>
      </c>
      <c r="H243">
        <v>3</v>
      </c>
      <c r="I243" t="s">
        <v>318</v>
      </c>
      <c r="J243" t="s">
        <v>321</v>
      </c>
      <c r="K243" t="s">
        <v>319</v>
      </c>
      <c r="L243">
        <v>1346</v>
      </c>
      <c r="N243">
        <v>1009</v>
      </c>
      <c r="O243" t="s">
        <v>320</v>
      </c>
      <c r="P243" t="s">
        <v>320</v>
      </c>
      <c r="Q243">
        <v>1</v>
      </c>
      <c r="W243">
        <v>0</v>
      </c>
      <c r="X243">
        <v>-2097101800</v>
      </c>
      <c r="Y243">
        <f>AT243</f>
        <v>0.2</v>
      </c>
      <c r="AA243">
        <v>111.58</v>
      </c>
      <c r="AB243">
        <v>0</v>
      </c>
      <c r="AC243">
        <v>0</v>
      </c>
      <c r="AD243">
        <v>0</v>
      </c>
      <c r="AE243">
        <v>31.08</v>
      </c>
      <c r="AF243">
        <v>0</v>
      </c>
      <c r="AG243">
        <v>0</v>
      </c>
      <c r="AH243">
        <v>0</v>
      </c>
      <c r="AI243">
        <v>3.59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0.2</v>
      </c>
      <c r="AU243" t="s">
        <v>3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ROUND(Y243*Source!I172,9)</f>
        <v>0.8</v>
      </c>
      <c r="CY243">
        <f>AA243</f>
        <v>111.58</v>
      </c>
      <c r="CZ243">
        <f>AE243</f>
        <v>31.08</v>
      </c>
      <c r="DA243">
        <f>AI243</f>
        <v>3.59</v>
      </c>
      <c r="DB243">
        <f>ROUND(ROUND(AT243*CZ243,2),6)</f>
        <v>6.22</v>
      </c>
      <c r="DC243">
        <f>ROUND(ROUND(AT243*AG243,2),6)</f>
        <v>0</v>
      </c>
      <c r="DD243" t="s">
        <v>3</v>
      </c>
      <c r="DE243" t="s">
        <v>3</v>
      </c>
      <c r="DF243">
        <f>ROUND(ROUND(AE243*AI243,2)*CX243,2)</f>
        <v>89.26</v>
      </c>
      <c r="DG243">
        <f t="shared" si="84"/>
        <v>0</v>
      </c>
      <c r="DH243">
        <f t="shared" si="83"/>
        <v>0</v>
      </c>
      <c r="DI243">
        <f t="shared" si="74"/>
        <v>0</v>
      </c>
      <c r="DJ243">
        <f>DF243</f>
        <v>89.26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ROW(Source!A172)</f>
        <v>172</v>
      </c>
      <c r="B244">
        <v>57248837</v>
      </c>
      <c r="C244">
        <v>57249361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323</v>
      </c>
      <c r="J244" t="s">
        <v>323</v>
      </c>
      <c r="K244" t="s">
        <v>324</v>
      </c>
      <c r="L244">
        <v>1371</v>
      </c>
      <c r="N244">
        <v>1013</v>
      </c>
      <c r="O244" t="s">
        <v>192</v>
      </c>
      <c r="P244" t="s">
        <v>192</v>
      </c>
      <c r="Q244">
        <v>1</v>
      </c>
      <c r="W244">
        <v>0</v>
      </c>
      <c r="X244">
        <v>-242689423</v>
      </c>
      <c r="Y244">
        <f>AT244</f>
        <v>1</v>
      </c>
      <c r="AA244">
        <v>13499.43</v>
      </c>
      <c r="AB244">
        <v>0</v>
      </c>
      <c r="AC244">
        <v>0</v>
      </c>
      <c r="AD244">
        <v>0</v>
      </c>
      <c r="AE244">
        <v>1783.28</v>
      </c>
      <c r="AF244">
        <v>0</v>
      </c>
      <c r="AG244">
        <v>0</v>
      </c>
      <c r="AH244">
        <v>0</v>
      </c>
      <c r="AI244">
        <v>7.57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1</v>
      </c>
      <c r="AU244" t="s">
        <v>3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ROUND(Y244*Source!I172,9)</f>
        <v>4</v>
      </c>
      <c r="CY244">
        <f>AA244</f>
        <v>13499.43</v>
      </c>
      <c r="CZ244">
        <f>AE244</f>
        <v>1783.28</v>
      </c>
      <c r="DA244">
        <f>AI244</f>
        <v>7.57</v>
      </c>
      <c r="DB244">
        <f>ROUND(ROUND(AT244*CZ244,2),6)</f>
        <v>1783.28</v>
      </c>
      <c r="DC244">
        <f>ROUND(ROUND(AT244*AG244,2),6)</f>
        <v>0</v>
      </c>
      <c r="DD244" t="s">
        <v>3</v>
      </c>
      <c r="DE244" t="s">
        <v>3</v>
      </c>
      <c r="DF244">
        <f>ROUND(ROUND(AE244*AI244,2)*CX244,2)</f>
        <v>53997.72</v>
      </c>
      <c r="DG244">
        <f t="shared" si="84"/>
        <v>0</v>
      </c>
      <c r="DH244">
        <f t="shared" si="83"/>
        <v>0</v>
      </c>
      <c r="DI244">
        <f t="shared" si="74"/>
        <v>0</v>
      </c>
      <c r="DJ244">
        <f>DF244</f>
        <v>53997.72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ROW(Source!A177)</f>
        <v>177</v>
      </c>
      <c r="B245">
        <v>57248835</v>
      </c>
      <c r="C245">
        <v>57249381</v>
      </c>
      <c r="D245">
        <v>54702434</v>
      </c>
      <c r="E245">
        <v>1081</v>
      </c>
      <c r="F245">
        <v>1</v>
      </c>
      <c r="G245">
        <v>1081</v>
      </c>
      <c r="H245">
        <v>1</v>
      </c>
      <c r="I245" t="s">
        <v>457</v>
      </c>
      <c r="J245" t="s">
        <v>3</v>
      </c>
      <c r="K245" t="s">
        <v>458</v>
      </c>
      <c r="L245">
        <v>1191</v>
      </c>
      <c r="N245">
        <v>1013</v>
      </c>
      <c r="O245" t="s">
        <v>459</v>
      </c>
      <c r="P245" t="s">
        <v>459</v>
      </c>
      <c r="Q245">
        <v>1</v>
      </c>
      <c r="W245">
        <v>0</v>
      </c>
      <c r="X245">
        <v>476480486</v>
      </c>
      <c r="Y245">
        <f>((AT245*1.15)*1.2)</f>
        <v>34.223999999999997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24.8</v>
      </c>
      <c r="AU245" t="s">
        <v>293</v>
      </c>
      <c r="AV245">
        <v>1</v>
      </c>
      <c r="AW245">
        <v>2</v>
      </c>
      <c r="AX245">
        <v>57249389</v>
      </c>
      <c r="AY245">
        <v>1</v>
      </c>
      <c r="AZ245">
        <v>0</v>
      </c>
      <c r="BA245">
        <v>309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U245">
        <f>ROUND(AT245*Source!I177*AH245*AL245,2)</f>
        <v>0</v>
      </c>
      <c r="CV245">
        <f>ROUND(Y245*Source!I177,9)</f>
        <v>1.36896</v>
      </c>
      <c r="CW245">
        <v>0</v>
      </c>
      <c r="CX245">
        <f>ROUND(Y245*Source!I177,9)</f>
        <v>1.36896</v>
      </c>
      <c r="CY245">
        <f>AD245</f>
        <v>0</v>
      </c>
      <c r="CZ245">
        <f>AH245</f>
        <v>0</v>
      </c>
      <c r="DA245">
        <f>AL245</f>
        <v>1</v>
      </c>
      <c r="DB245">
        <f>ROUND(((ROUND(AT245*CZ245,2)*1.15)*1.2),6)</f>
        <v>0</v>
      </c>
      <c r="DC245">
        <f>ROUND(((ROUND(AT245*AG245,2)*1.15)*1.2),6)</f>
        <v>0</v>
      </c>
      <c r="DD245" t="s">
        <v>3</v>
      </c>
      <c r="DE245" t="s">
        <v>3</v>
      </c>
      <c r="DF245">
        <f t="shared" ref="DF245:DF253" si="85">ROUND(ROUND(AE245,2)*CX245,2)</f>
        <v>0</v>
      </c>
      <c r="DG245">
        <f t="shared" si="84"/>
        <v>0</v>
      </c>
      <c r="DH245">
        <f t="shared" si="83"/>
        <v>0</v>
      </c>
      <c r="DI245">
        <f t="shared" si="74"/>
        <v>0</v>
      </c>
      <c r="DJ245">
        <f>DI245</f>
        <v>0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ROW(Source!A177)</f>
        <v>177</v>
      </c>
      <c r="B246">
        <v>57248835</v>
      </c>
      <c r="C246">
        <v>57249381</v>
      </c>
      <c r="D246">
        <v>54768339</v>
      </c>
      <c r="E246">
        <v>1</v>
      </c>
      <c r="F246">
        <v>1</v>
      </c>
      <c r="G246">
        <v>1081</v>
      </c>
      <c r="H246">
        <v>2</v>
      </c>
      <c r="I246" t="s">
        <v>497</v>
      </c>
      <c r="J246" t="s">
        <v>498</v>
      </c>
      <c r="K246" t="s">
        <v>499</v>
      </c>
      <c r="L246">
        <v>1368</v>
      </c>
      <c r="N246">
        <v>1011</v>
      </c>
      <c r="O246" t="s">
        <v>463</v>
      </c>
      <c r="P246" t="s">
        <v>463</v>
      </c>
      <c r="Q246">
        <v>1</v>
      </c>
      <c r="W246">
        <v>0</v>
      </c>
      <c r="X246">
        <v>874612079</v>
      </c>
      <c r="Y246">
        <f>((AT246*1.25)*1.2)</f>
        <v>0.03</v>
      </c>
      <c r="AA246">
        <v>0</v>
      </c>
      <c r="AB246">
        <v>88.67</v>
      </c>
      <c r="AC246">
        <v>13.47</v>
      </c>
      <c r="AD246">
        <v>0</v>
      </c>
      <c r="AE246">
        <v>0</v>
      </c>
      <c r="AF246">
        <v>83.1</v>
      </c>
      <c r="AG246">
        <v>12.62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0.02</v>
      </c>
      <c r="AU246" t="s">
        <v>292</v>
      </c>
      <c r="AV246">
        <v>0</v>
      </c>
      <c r="AW246">
        <v>2</v>
      </c>
      <c r="AX246">
        <v>57249390</v>
      </c>
      <c r="AY246">
        <v>1</v>
      </c>
      <c r="AZ246">
        <v>0</v>
      </c>
      <c r="BA246">
        <v>310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f>ROUND(Y246*Source!I177*DO246,9)</f>
        <v>1.5143999999999999E-2</v>
      </c>
      <c r="CX246">
        <f>ROUND(Y246*Source!I177,9)</f>
        <v>1.1999999999999999E-3</v>
      </c>
      <c r="CY246">
        <f>AB246</f>
        <v>88.67</v>
      </c>
      <c r="CZ246">
        <f>AF246</f>
        <v>83.1</v>
      </c>
      <c r="DA246">
        <f>AJ246</f>
        <v>1</v>
      </c>
      <c r="DB246">
        <f>ROUND(((ROUND(AT246*CZ246,2)*1.25)*1.2),6)</f>
        <v>2.4900000000000002</v>
      </c>
      <c r="DC246">
        <f>ROUND(((ROUND(AT246*AG246,2)*1.25)*1.2),6)</f>
        <v>0.375</v>
      </c>
      <c r="DD246" t="s">
        <v>3</v>
      </c>
      <c r="DE246" t="s">
        <v>3</v>
      </c>
      <c r="DF246">
        <f t="shared" si="85"/>
        <v>0</v>
      </c>
      <c r="DG246">
        <f t="shared" si="84"/>
        <v>0.1</v>
      </c>
      <c r="DH246">
        <f t="shared" si="83"/>
        <v>0.02</v>
      </c>
      <c r="DI246">
        <f t="shared" si="74"/>
        <v>0</v>
      </c>
      <c r="DJ246">
        <f>DG246</f>
        <v>0.1</v>
      </c>
      <c r="DK246">
        <v>0</v>
      </c>
      <c r="DL246" t="s">
        <v>500</v>
      </c>
      <c r="DM246">
        <v>0</v>
      </c>
      <c r="DN246" t="s">
        <v>459</v>
      </c>
      <c r="DO246">
        <v>12.62</v>
      </c>
    </row>
    <row r="247" spans="1:119" x14ac:dyDescent="0.2">
      <c r="A247">
        <f>ROW(Source!A177)</f>
        <v>177</v>
      </c>
      <c r="B247">
        <v>57248835</v>
      </c>
      <c r="C247">
        <v>57249381</v>
      </c>
      <c r="D247">
        <v>54768393</v>
      </c>
      <c r="E247">
        <v>1</v>
      </c>
      <c r="F247">
        <v>1</v>
      </c>
      <c r="G247">
        <v>1081</v>
      </c>
      <c r="H247">
        <v>2</v>
      </c>
      <c r="I247" t="s">
        <v>510</v>
      </c>
      <c r="J247" t="s">
        <v>511</v>
      </c>
      <c r="K247" t="s">
        <v>512</v>
      </c>
      <c r="L247">
        <v>1368</v>
      </c>
      <c r="N247">
        <v>1011</v>
      </c>
      <c r="O247" t="s">
        <v>463</v>
      </c>
      <c r="P247" t="s">
        <v>463</v>
      </c>
      <c r="Q247">
        <v>1</v>
      </c>
      <c r="W247">
        <v>0</v>
      </c>
      <c r="X247">
        <v>-1895752648</v>
      </c>
      <c r="Y247">
        <f>((AT247*1.25)*1.2)</f>
        <v>12</v>
      </c>
      <c r="AA247">
        <v>0</v>
      </c>
      <c r="AB247">
        <v>0.82</v>
      </c>
      <c r="AC247">
        <v>0</v>
      </c>
      <c r="AD247">
        <v>0</v>
      </c>
      <c r="AE247">
        <v>0</v>
      </c>
      <c r="AF247">
        <v>0.77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8</v>
      </c>
      <c r="AU247" t="s">
        <v>292</v>
      </c>
      <c r="AV247">
        <v>0</v>
      </c>
      <c r="AW247">
        <v>2</v>
      </c>
      <c r="AX247">
        <v>57249391</v>
      </c>
      <c r="AY247">
        <v>1</v>
      </c>
      <c r="AZ247">
        <v>0</v>
      </c>
      <c r="BA247">
        <v>311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f>ROUND(Y247*Source!I177*DO247,9)</f>
        <v>0</v>
      </c>
      <c r="CX247">
        <f>ROUND(Y247*Source!I177,9)</f>
        <v>0.48</v>
      </c>
      <c r="CY247">
        <f>AB247</f>
        <v>0.82</v>
      </c>
      <c r="CZ247">
        <f>AF247</f>
        <v>0.77</v>
      </c>
      <c r="DA247">
        <f>AJ247</f>
        <v>1</v>
      </c>
      <c r="DB247">
        <f>ROUND(((ROUND(AT247*CZ247,2)*1.25)*1.2),6)</f>
        <v>9.24</v>
      </c>
      <c r="DC247">
        <f>ROUND(((ROUND(AT247*AG247,2)*1.25)*1.2),6)</f>
        <v>0</v>
      </c>
      <c r="DD247" t="s">
        <v>3</v>
      </c>
      <c r="DE247" t="s">
        <v>3</v>
      </c>
      <c r="DF247">
        <f t="shared" si="85"/>
        <v>0</v>
      </c>
      <c r="DG247">
        <f t="shared" si="84"/>
        <v>0.37</v>
      </c>
      <c r="DH247">
        <f t="shared" si="83"/>
        <v>0</v>
      </c>
      <c r="DI247">
        <f t="shared" si="74"/>
        <v>0</v>
      </c>
      <c r="DJ247">
        <f>DG247</f>
        <v>0.37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ROW(Source!A177)</f>
        <v>177</v>
      </c>
      <c r="B248">
        <v>57248835</v>
      </c>
      <c r="C248">
        <v>57249381</v>
      </c>
      <c r="D248">
        <v>54738788</v>
      </c>
      <c r="E248">
        <v>1</v>
      </c>
      <c r="F248">
        <v>1</v>
      </c>
      <c r="G248">
        <v>1081</v>
      </c>
      <c r="H248">
        <v>3</v>
      </c>
      <c r="I248" t="s">
        <v>535</v>
      </c>
      <c r="J248" t="s">
        <v>536</v>
      </c>
      <c r="K248" t="s">
        <v>537</v>
      </c>
      <c r="L248">
        <v>1296</v>
      </c>
      <c r="N248">
        <v>1002</v>
      </c>
      <c r="O248" t="s">
        <v>522</v>
      </c>
      <c r="P248" t="s">
        <v>522</v>
      </c>
      <c r="Q248">
        <v>1</v>
      </c>
      <c r="W248">
        <v>0</v>
      </c>
      <c r="X248">
        <v>1977302506</v>
      </c>
      <c r="Y248">
        <f>((AT248*1)*1)</f>
        <v>2.1267</v>
      </c>
      <c r="AA248">
        <v>84.21</v>
      </c>
      <c r="AB248">
        <v>0</v>
      </c>
      <c r="AC248">
        <v>0</v>
      </c>
      <c r="AD248">
        <v>0</v>
      </c>
      <c r="AE248">
        <v>84.21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2.1267</v>
      </c>
      <c r="AU248" t="s">
        <v>291</v>
      </c>
      <c r="AV248">
        <v>0</v>
      </c>
      <c r="AW248">
        <v>2</v>
      </c>
      <c r="AX248">
        <v>57249392</v>
      </c>
      <c r="AY248">
        <v>1</v>
      </c>
      <c r="AZ248">
        <v>0</v>
      </c>
      <c r="BA248">
        <v>312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ROUND(Y248*Source!I177,9)</f>
        <v>8.5068000000000005E-2</v>
      </c>
      <c r="CY248">
        <f>AA248</f>
        <v>84.21</v>
      </c>
      <c r="CZ248">
        <f>AE248</f>
        <v>84.21</v>
      </c>
      <c r="DA248">
        <f>AI248</f>
        <v>1</v>
      </c>
      <c r="DB248">
        <f>ROUND(((ROUND(AT248*CZ248,2)*1)*1),6)</f>
        <v>179.09</v>
      </c>
      <c r="DC248">
        <f>ROUND(((ROUND(AT248*AG248,2)*1)*1),6)</f>
        <v>0</v>
      </c>
      <c r="DD248" t="s">
        <v>3</v>
      </c>
      <c r="DE248" t="s">
        <v>3</v>
      </c>
      <c r="DF248">
        <f t="shared" si="85"/>
        <v>7.16</v>
      </c>
      <c r="DG248">
        <f t="shared" si="84"/>
        <v>0</v>
      </c>
      <c r="DH248">
        <f t="shared" si="83"/>
        <v>0</v>
      </c>
      <c r="DI248">
        <f t="shared" si="74"/>
        <v>0</v>
      </c>
      <c r="DJ248">
        <f>DF248</f>
        <v>7.16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ROW(Source!A177)</f>
        <v>177</v>
      </c>
      <c r="B249">
        <v>57248835</v>
      </c>
      <c r="C249">
        <v>57249381</v>
      </c>
      <c r="D249">
        <v>54739952</v>
      </c>
      <c r="E249">
        <v>1</v>
      </c>
      <c r="F249">
        <v>1</v>
      </c>
      <c r="G249">
        <v>1081</v>
      </c>
      <c r="H249">
        <v>3</v>
      </c>
      <c r="I249" t="s">
        <v>538</v>
      </c>
      <c r="J249" t="s">
        <v>539</v>
      </c>
      <c r="K249" t="s">
        <v>540</v>
      </c>
      <c r="L249">
        <v>1355</v>
      </c>
      <c r="N249">
        <v>1010</v>
      </c>
      <c r="O249" t="s">
        <v>67</v>
      </c>
      <c r="P249" t="s">
        <v>67</v>
      </c>
      <c r="Q249">
        <v>100</v>
      </c>
      <c r="W249">
        <v>0</v>
      </c>
      <c r="X249">
        <v>-1633148487</v>
      </c>
      <c r="Y249">
        <f>((AT249*1)*1)</f>
        <v>4.04</v>
      </c>
      <c r="AA249">
        <v>43.8</v>
      </c>
      <c r="AB249">
        <v>0</v>
      </c>
      <c r="AC249">
        <v>0</v>
      </c>
      <c r="AD249">
        <v>0</v>
      </c>
      <c r="AE249">
        <v>43.8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4.04</v>
      </c>
      <c r="AU249" t="s">
        <v>291</v>
      </c>
      <c r="AV249">
        <v>0</v>
      </c>
      <c r="AW249">
        <v>2</v>
      </c>
      <c r="AX249">
        <v>57249393</v>
      </c>
      <c r="AY249">
        <v>1</v>
      </c>
      <c r="AZ249">
        <v>0</v>
      </c>
      <c r="BA249">
        <v>313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ROUND(Y249*Source!I177,9)</f>
        <v>0.16159999999999999</v>
      </c>
      <c r="CY249">
        <f>AA249</f>
        <v>43.8</v>
      </c>
      <c r="CZ249">
        <f>AE249</f>
        <v>43.8</v>
      </c>
      <c r="DA249">
        <f>AI249</f>
        <v>1</v>
      </c>
      <c r="DB249">
        <f>ROUND(((ROUND(AT249*CZ249,2)*1)*1),6)</f>
        <v>176.95</v>
      </c>
      <c r="DC249">
        <f>ROUND(((ROUND(AT249*AG249,2)*1)*1),6)</f>
        <v>0</v>
      </c>
      <c r="DD249" t="s">
        <v>3</v>
      </c>
      <c r="DE249" t="s">
        <v>3</v>
      </c>
      <c r="DF249">
        <f t="shared" si="85"/>
        <v>7.08</v>
      </c>
      <c r="DG249">
        <f t="shared" si="84"/>
        <v>0</v>
      </c>
      <c r="DH249">
        <f t="shared" si="83"/>
        <v>0</v>
      </c>
      <c r="DI249">
        <f t="shared" si="74"/>
        <v>0</v>
      </c>
      <c r="DJ249">
        <f>DF249</f>
        <v>7.08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ROW(Source!A177)</f>
        <v>177</v>
      </c>
      <c r="B250">
        <v>57248835</v>
      </c>
      <c r="C250">
        <v>57249381</v>
      </c>
      <c r="D250">
        <v>0</v>
      </c>
      <c r="E250">
        <v>0</v>
      </c>
      <c r="F250">
        <v>1</v>
      </c>
      <c r="G250">
        <v>1081</v>
      </c>
      <c r="H250">
        <v>3</v>
      </c>
      <c r="I250" t="s">
        <v>553</v>
      </c>
      <c r="J250" t="s">
        <v>553</v>
      </c>
      <c r="K250" t="s">
        <v>330</v>
      </c>
      <c r="L250">
        <v>1371</v>
      </c>
      <c r="N250">
        <v>1013</v>
      </c>
      <c r="O250" t="s">
        <v>192</v>
      </c>
      <c r="P250" t="s">
        <v>192</v>
      </c>
      <c r="Q250">
        <v>1</v>
      </c>
      <c r="W250">
        <v>0</v>
      </c>
      <c r="X250">
        <v>-1082058135</v>
      </c>
      <c r="Y250">
        <f>((AT250*1)*1)</f>
        <v>100</v>
      </c>
      <c r="AA250">
        <v>254.9</v>
      </c>
      <c r="AB250">
        <v>0</v>
      </c>
      <c r="AC250">
        <v>0</v>
      </c>
      <c r="AD250">
        <v>0</v>
      </c>
      <c r="AE250">
        <v>254.9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100</v>
      </c>
      <c r="AU250" t="s">
        <v>291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ROUND(Y250*Source!I177,9)</f>
        <v>4</v>
      </c>
      <c r="CY250">
        <f>AA250</f>
        <v>254.9</v>
      </c>
      <c r="CZ250">
        <f>AE250</f>
        <v>254.9</v>
      </c>
      <c r="DA250">
        <f>AI250</f>
        <v>1</v>
      </c>
      <c r="DB250">
        <f>ROUND(((ROUND(AT250*CZ250,2)*1)*1),6)</f>
        <v>25490</v>
      </c>
      <c r="DC250">
        <f>ROUND(((ROUND(AT250*AG250,2)*1)*1),6)</f>
        <v>0</v>
      </c>
      <c r="DD250" t="s">
        <v>3</v>
      </c>
      <c r="DE250" t="s">
        <v>3</v>
      </c>
      <c r="DF250">
        <f t="shared" si="85"/>
        <v>1019.6</v>
      </c>
      <c r="DG250">
        <f t="shared" si="84"/>
        <v>0</v>
      </c>
      <c r="DH250">
        <f t="shared" si="83"/>
        <v>0</v>
      </c>
      <c r="DI250">
        <f t="shared" si="74"/>
        <v>0</v>
      </c>
      <c r="DJ250">
        <f>DF250</f>
        <v>1019.6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ROW(Source!A178)</f>
        <v>178</v>
      </c>
      <c r="B251">
        <v>57248837</v>
      </c>
      <c r="C251">
        <v>57249381</v>
      </c>
      <c r="D251">
        <v>54702434</v>
      </c>
      <c r="E251">
        <v>1081</v>
      </c>
      <c r="F251">
        <v>1</v>
      </c>
      <c r="G251">
        <v>1081</v>
      </c>
      <c r="H251">
        <v>1</v>
      </c>
      <c r="I251" t="s">
        <v>457</v>
      </c>
      <c r="J251" t="s">
        <v>3</v>
      </c>
      <c r="K251" t="s">
        <v>458</v>
      </c>
      <c r="L251">
        <v>1191</v>
      </c>
      <c r="N251">
        <v>1013</v>
      </c>
      <c r="O251" t="s">
        <v>459</v>
      </c>
      <c r="P251" t="s">
        <v>459</v>
      </c>
      <c r="Q251">
        <v>1</v>
      </c>
      <c r="W251">
        <v>0</v>
      </c>
      <c r="X251">
        <v>476480486</v>
      </c>
      <c r="Y251">
        <f>((AT251*1.15)*1.2)</f>
        <v>34.223999999999997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5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24.8</v>
      </c>
      <c r="AU251" t="s">
        <v>293</v>
      </c>
      <c r="AV251">
        <v>1</v>
      </c>
      <c r="AW251">
        <v>2</v>
      </c>
      <c r="AX251">
        <v>57249389</v>
      </c>
      <c r="AY251">
        <v>1</v>
      </c>
      <c r="AZ251">
        <v>0</v>
      </c>
      <c r="BA251">
        <v>316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U251">
        <f>ROUND(AT251*Source!I178*AH251*AL251,2)</f>
        <v>0</v>
      </c>
      <c r="CV251">
        <f>ROUND(Y251*Source!I178,9)</f>
        <v>1.36896</v>
      </c>
      <c r="CW251">
        <v>0</v>
      </c>
      <c r="CX251">
        <f>ROUND(Y251*Source!I178,9)</f>
        <v>1.36896</v>
      </c>
      <c r="CY251">
        <f>AD251</f>
        <v>0</v>
      </c>
      <c r="CZ251">
        <f>AH251</f>
        <v>0</v>
      </c>
      <c r="DA251">
        <f>AL251</f>
        <v>1</v>
      </c>
      <c r="DB251">
        <f>ROUND(((ROUND(AT251*CZ251,2)*1.15)*1.2),6)</f>
        <v>0</v>
      </c>
      <c r="DC251">
        <f>ROUND(((ROUND(AT251*AG251,2)*1.15)*1.2),6)</f>
        <v>0</v>
      </c>
      <c r="DD251" t="s">
        <v>3</v>
      </c>
      <c r="DE251" t="s">
        <v>3</v>
      </c>
      <c r="DF251">
        <f t="shared" si="85"/>
        <v>0</v>
      </c>
      <c r="DG251">
        <f t="shared" si="84"/>
        <v>0</v>
      </c>
      <c r="DH251">
        <f t="shared" si="83"/>
        <v>0</v>
      </c>
      <c r="DI251">
        <f t="shared" si="74"/>
        <v>0</v>
      </c>
      <c r="DJ251">
        <f>DI251</f>
        <v>0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ROW(Source!A178)</f>
        <v>178</v>
      </c>
      <c r="B252">
        <v>57248837</v>
      </c>
      <c r="C252">
        <v>57249381</v>
      </c>
      <c r="D252">
        <v>54768339</v>
      </c>
      <c r="E252">
        <v>1</v>
      </c>
      <c r="F252">
        <v>1</v>
      </c>
      <c r="G252">
        <v>1081</v>
      </c>
      <c r="H252">
        <v>2</v>
      </c>
      <c r="I252" t="s">
        <v>497</v>
      </c>
      <c r="J252" t="s">
        <v>498</v>
      </c>
      <c r="K252" t="s">
        <v>499</v>
      </c>
      <c r="L252">
        <v>1368</v>
      </c>
      <c r="N252">
        <v>1011</v>
      </c>
      <c r="O252" t="s">
        <v>463</v>
      </c>
      <c r="P252" t="s">
        <v>463</v>
      </c>
      <c r="Q252">
        <v>1</v>
      </c>
      <c r="W252">
        <v>0</v>
      </c>
      <c r="X252">
        <v>874612079</v>
      </c>
      <c r="Y252">
        <f>((AT252*1.25)*1.2)</f>
        <v>0.03</v>
      </c>
      <c r="AA252">
        <v>0</v>
      </c>
      <c r="AB252">
        <v>1513.56</v>
      </c>
      <c r="AC252">
        <v>758.78</v>
      </c>
      <c r="AD252">
        <v>0</v>
      </c>
      <c r="AE252">
        <v>0</v>
      </c>
      <c r="AF252">
        <v>83.1</v>
      </c>
      <c r="AG252">
        <v>12.62</v>
      </c>
      <c r="AH252">
        <v>0</v>
      </c>
      <c r="AI252">
        <v>1</v>
      </c>
      <c r="AJ252">
        <v>17.07</v>
      </c>
      <c r="AK252">
        <v>56.35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0.02</v>
      </c>
      <c r="AU252" t="s">
        <v>292</v>
      </c>
      <c r="AV252">
        <v>0</v>
      </c>
      <c r="AW252">
        <v>2</v>
      </c>
      <c r="AX252">
        <v>57249390</v>
      </c>
      <c r="AY252">
        <v>1</v>
      </c>
      <c r="AZ252">
        <v>0</v>
      </c>
      <c r="BA252">
        <v>317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f>ROUND(Y252*Source!I178*DO252,9)</f>
        <v>1.5143999999999999E-2</v>
      </c>
      <c r="CX252">
        <f>ROUND(Y252*Source!I178,9)</f>
        <v>1.1999999999999999E-3</v>
      </c>
      <c r="CY252">
        <f>AB252</f>
        <v>1513.56</v>
      </c>
      <c r="CZ252">
        <f>AF252</f>
        <v>83.1</v>
      </c>
      <c r="DA252">
        <f>AJ252</f>
        <v>17.07</v>
      </c>
      <c r="DB252">
        <f>ROUND(((ROUND(AT252*CZ252,2)*1.25)*1.2),6)</f>
        <v>2.4900000000000002</v>
      </c>
      <c r="DC252">
        <f>ROUND(((ROUND(AT252*AG252,2)*1.25)*1.2),6)</f>
        <v>0.375</v>
      </c>
      <c r="DD252" t="s">
        <v>3</v>
      </c>
      <c r="DE252" t="s">
        <v>3</v>
      </c>
      <c r="DF252">
        <f t="shared" si="85"/>
        <v>0</v>
      </c>
      <c r="DG252">
        <f>ROUND(ROUND(AF252*AJ252,2)*CX252,2)</f>
        <v>1.7</v>
      </c>
      <c r="DH252">
        <f>ROUND(ROUND(AG252*AK252,2)*CX252,2)</f>
        <v>0.85</v>
      </c>
      <c r="DI252">
        <f t="shared" si="74"/>
        <v>0</v>
      </c>
      <c r="DJ252">
        <f>DG252</f>
        <v>1.7</v>
      </c>
      <c r="DK252">
        <v>0</v>
      </c>
      <c r="DL252" t="s">
        <v>500</v>
      </c>
      <c r="DM252">
        <v>0</v>
      </c>
      <c r="DN252" t="s">
        <v>459</v>
      </c>
      <c r="DO252">
        <v>12.62</v>
      </c>
    </row>
    <row r="253" spans="1:119" x14ac:dyDescent="0.2">
      <c r="A253">
        <f>ROW(Source!A178)</f>
        <v>178</v>
      </c>
      <c r="B253">
        <v>57248837</v>
      </c>
      <c r="C253">
        <v>57249381</v>
      </c>
      <c r="D253">
        <v>54768393</v>
      </c>
      <c r="E253">
        <v>1</v>
      </c>
      <c r="F253">
        <v>1</v>
      </c>
      <c r="G253">
        <v>1081</v>
      </c>
      <c r="H253">
        <v>2</v>
      </c>
      <c r="I253" t="s">
        <v>510</v>
      </c>
      <c r="J253" t="s">
        <v>511</v>
      </c>
      <c r="K253" t="s">
        <v>512</v>
      </c>
      <c r="L253">
        <v>1368</v>
      </c>
      <c r="N253">
        <v>1011</v>
      </c>
      <c r="O253" t="s">
        <v>463</v>
      </c>
      <c r="P253" t="s">
        <v>463</v>
      </c>
      <c r="Q253">
        <v>1</v>
      </c>
      <c r="W253">
        <v>0</v>
      </c>
      <c r="X253">
        <v>-1895752648</v>
      </c>
      <c r="Y253">
        <f>((AT253*1.25)*1.2)</f>
        <v>12</v>
      </c>
      <c r="AA253">
        <v>0</v>
      </c>
      <c r="AB253">
        <v>7.85</v>
      </c>
      <c r="AC253">
        <v>0</v>
      </c>
      <c r="AD253">
        <v>0</v>
      </c>
      <c r="AE253">
        <v>0</v>
      </c>
      <c r="AF253">
        <v>0.77</v>
      </c>
      <c r="AG253">
        <v>0</v>
      </c>
      <c r="AH253">
        <v>0</v>
      </c>
      <c r="AI253">
        <v>1</v>
      </c>
      <c r="AJ253">
        <v>9.56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8</v>
      </c>
      <c r="AU253" t="s">
        <v>292</v>
      </c>
      <c r="AV253">
        <v>0</v>
      </c>
      <c r="AW253">
        <v>2</v>
      </c>
      <c r="AX253">
        <v>57249391</v>
      </c>
      <c r="AY253">
        <v>1</v>
      </c>
      <c r="AZ253">
        <v>0</v>
      </c>
      <c r="BA253">
        <v>318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f>ROUND(Y253*Source!I178*DO253,9)</f>
        <v>0</v>
      </c>
      <c r="CX253">
        <f>ROUND(Y253*Source!I178,9)</f>
        <v>0.48</v>
      </c>
      <c r="CY253">
        <f>AB253</f>
        <v>7.85</v>
      </c>
      <c r="CZ253">
        <f>AF253</f>
        <v>0.77</v>
      </c>
      <c r="DA253">
        <f>AJ253</f>
        <v>9.56</v>
      </c>
      <c r="DB253">
        <f>ROUND(((ROUND(AT253*CZ253,2)*1.25)*1.2),6)</f>
        <v>9.24</v>
      </c>
      <c r="DC253">
        <f>ROUND(((ROUND(AT253*AG253,2)*1.25)*1.2),6)</f>
        <v>0</v>
      </c>
      <c r="DD253" t="s">
        <v>3</v>
      </c>
      <c r="DE253" t="s">
        <v>3</v>
      </c>
      <c r="DF253">
        <f t="shared" si="85"/>
        <v>0</v>
      </c>
      <c r="DG253">
        <f>ROUND(ROUND(AF253*AJ253,2)*CX253,2)</f>
        <v>3.53</v>
      </c>
      <c r="DH253">
        <f t="shared" ref="DH253:DH284" si="86">ROUND(ROUND(AG253,2)*CX253,2)</f>
        <v>0</v>
      </c>
      <c r="DI253">
        <f t="shared" si="74"/>
        <v>0</v>
      </c>
      <c r="DJ253">
        <f>DG253</f>
        <v>3.53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ROW(Source!A178)</f>
        <v>178</v>
      </c>
      <c r="B254">
        <v>57248837</v>
      </c>
      <c r="C254">
        <v>57249381</v>
      </c>
      <c r="D254">
        <v>54738788</v>
      </c>
      <c r="E254">
        <v>1</v>
      </c>
      <c r="F254">
        <v>1</v>
      </c>
      <c r="G254">
        <v>1081</v>
      </c>
      <c r="H254">
        <v>3</v>
      </c>
      <c r="I254" t="s">
        <v>535</v>
      </c>
      <c r="J254" t="s">
        <v>536</v>
      </c>
      <c r="K254" t="s">
        <v>537</v>
      </c>
      <c r="L254">
        <v>1296</v>
      </c>
      <c r="N254">
        <v>1002</v>
      </c>
      <c r="O254" t="s">
        <v>522</v>
      </c>
      <c r="P254" t="s">
        <v>522</v>
      </c>
      <c r="Q254">
        <v>1</v>
      </c>
      <c r="W254">
        <v>0</v>
      </c>
      <c r="X254">
        <v>1977302506</v>
      </c>
      <c r="Y254">
        <f>((AT254*1)*1)</f>
        <v>2.1267</v>
      </c>
      <c r="AA254">
        <v>410.94</v>
      </c>
      <c r="AB254">
        <v>0</v>
      </c>
      <c r="AC254">
        <v>0</v>
      </c>
      <c r="AD254">
        <v>0</v>
      </c>
      <c r="AE254">
        <v>84.21</v>
      </c>
      <c r="AF254">
        <v>0</v>
      </c>
      <c r="AG254">
        <v>0</v>
      </c>
      <c r="AH254">
        <v>0</v>
      </c>
      <c r="AI254">
        <v>4.88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2.1267</v>
      </c>
      <c r="AU254" t="s">
        <v>291</v>
      </c>
      <c r="AV254">
        <v>0</v>
      </c>
      <c r="AW254">
        <v>2</v>
      </c>
      <c r="AX254">
        <v>57249392</v>
      </c>
      <c r="AY254">
        <v>1</v>
      </c>
      <c r="AZ254">
        <v>0</v>
      </c>
      <c r="BA254">
        <v>319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ROUND(Y254*Source!I178,9)</f>
        <v>8.5068000000000005E-2</v>
      </c>
      <c r="CY254">
        <f>AA254</f>
        <v>410.94</v>
      </c>
      <c r="CZ254">
        <f>AE254</f>
        <v>84.21</v>
      </c>
      <c r="DA254">
        <f>AI254</f>
        <v>4.88</v>
      </c>
      <c r="DB254">
        <f>ROUND(((ROUND(AT254*CZ254,2)*1)*1),6)</f>
        <v>179.09</v>
      </c>
      <c r="DC254">
        <f>ROUND(((ROUND(AT254*AG254,2)*1)*1),6)</f>
        <v>0</v>
      </c>
      <c r="DD254" t="s">
        <v>3</v>
      </c>
      <c r="DE254" t="s">
        <v>3</v>
      </c>
      <c r="DF254">
        <f>ROUND(ROUND(AE254*AI254,2)*CX254,2)</f>
        <v>34.96</v>
      </c>
      <c r="DG254">
        <f t="shared" ref="DG254:DG275" si="87">ROUND(ROUND(AF254,2)*CX254,2)</f>
        <v>0</v>
      </c>
      <c r="DH254">
        <f t="shared" si="86"/>
        <v>0</v>
      </c>
      <c r="DI254">
        <f t="shared" si="74"/>
        <v>0</v>
      </c>
      <c r="DJ254">
        <f>DF254</f>
        <v>34.96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ROW(Source!A178)</f>
        <v>178</v>
      </c>
      <c r="B255">
        <v>57248837</v>
      </c>
      <c r="C255">
        <v>57249381</v>
      </c>
      <c r="D255">
        <v>54739952</v>
      </c>
      <c r="E255">
        <v>1</v>
      </c>
      <c r="F255">
        <v>1</v>
      </c>
      <c r="G255">
        <v>1081</v>
      </c>
      <c r="H255">
        <v>3</v>
      </c>
      <c r="I255" t="s">
        <v>538</v>
      </c>
      <c r="J255" t="s">
        <v>539</v>
      </c>
      <c r="K255" t="s">
        <v>540</v>
      </c>
      <c r="L255">
        <v>1355</v>
      </c>
      <c r="N255">
        <v>1010</v>
      </c>
      <c r="O255" t="s">
        <v>67</v>
      </c>
      <c r="P255" t="s">
        <v>67</v>
      </c>
      <c r="Q255">
        <v>100</v>
      </c>
      <c r="W255">
        <v>0</v>
      </c>
      <c r="X255">
        <v>-1633148487</v>
      </c>
      <c r="Y255">
        <f>((AT255*1)*1)</f>
        <v>4.04</v>
      </c>
      <c r="AA255">
        <v>84.97</v>
      </c>
      <c r="AB255">
        <v>0</v>
      </c>
      <c r="AC255">
        <v>0</v>
      </c>
      <c r="AD255">
        <v>0</v>
      </c>
      <c r="AE255">
        <v>43.8</v>
      </c>
      <c r="AF255">
        <v>0</v>
      </c>
      <c r="AG255">
        <v>0</v>
      </c>
      <c r="AH255">
        <v>0</v>
      </c>
      <c r="AI255">
        <v>1.94</v>
      </c>
      <c r="AJ255">
        <v>1</v>
      </c>
      <c r="AK255">
        <v>1</v>
      </c>
      <c r="AL255">
        <v>1</v>
      </c>
      <c r="AM255">
        <v>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4.04</v>
      </c>
      <c r="AU255" t="s">
        <v>291</v>
      </c>
      <c r="AV255">
        <v>0</v>
      </c>
      <c r="AW255">
        <v>2</v>
      </c>
      <c r="AX255">
        <v>57249393</v>
      </c>
      <c r="AY255">
        <v>1</v>
      </c>
      <c r="AZ255">
        <v>0</v>
      </c>
      <c r="BA255">
        <v>320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ROUND(Y255*Source!I178,9)</f>
        <v>0.16159999999999999</v>
      </c>
      <c r="CY255">
        <f>AA255</f>
        <v>84.97</v>
      </c>
      <c r="CZ255">
        <f>AE255</f>
        <v>43.8</v>
      </c>
      <c r="DA255">
        <f>AI255</f>
        <v>1.94</v>
      </c>
      <c r="DB255">
        <f>ROUND(((ROUND(AT255*CZ255,2)*1)*1),6)</f>
        <v>176.95</v>
      </c>
      <c r="DC255">
        <f>ROUND(((ROUND(AT255*AG255,2)*1)*1),6)</f>
        <v>0</v>
      </c>
      <c r="DD255" t="s">
        <v>3</v>
      </c>
      <c r="DE255" t="s">
        <v>3</v>
      </c>
      <c r="DF255">
        <f>ROUND(ROUND(AE255*AI255,2)*CX255,2)</f>
        <v>13.73</v>
      </c>
      <c r="DG255">
        <f t="shared" si="87"/>
        <v>0</v>
      </c>
      <c r="DH255">
        <f t="shared" si="86"/>
        <v>0</v>
      </c>
      <c r="DI255">
        <f t="shared" si="74"/>
        <v>0</v>
      </c>
      <c r="DJ255">
        <f>DF255</f>
        <v>13.73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ROW(Source!A178)</f>
        <v>178</v>
      </c>
      <c r="B256">
        <v>57248837</v>
      </c>
      <c r="C256">
        <v>57249381</v>
      </c>
      <c r="D256">
        <v>0</v>
      </c>
      <c r="E256">
        <v>0</v>
      </c>
      <c r="F256">
        <v>1</v>
      </c>
      <c r="G256">
        <v>1081</v>
      </c>
      <c r="H256">
        <v>3</v>
      </c>
      <c r="I256" t="s">
        <v>553</v>
      </c>
      <c r="J256" t="s">
        <v>553</v>
      </c>
      <c r="K256" t="s">
        <v>330</v>
      </c>
      <c r="L256">
        <v>1371</v>
      </c>
      <c r="N256">
        <v>1013</v>
      </c>
      <c r="O256" t="s">
        <v>192</v>
      </c>
      <c r="P256" t="s">
        <v>192</v>
      </c>
      <c r="Q256">
        <v>1</v>
      </c>
      <c r="W256">
        <v>0</v>
      </c>
      <c r="X256">
        <v>-1082058135</v>
      </c>
      <c r="Y256">
        <f>((AT256*1)*1)</f>
        <v>100</v>
      </c>
      <c r="AA256">
        <v>2508.2199999999998</v>
      </c>
      <c r="AB256">
        <v>0</v>
      </c>
      <c r="AC256">
        <v>0</v>
      </c>
      <c r="AD256">
        <v>0</v>
      </c>
      <c r="AE256">
        <v>254.9</v>
      </c>
      <c r="AF256">
        <v>0</v>
      </c>
      <c r="AG256">
        <v>0</v>
      </c>
      <c r="AH256">
        <v>0</v>
      </c>
      <c r="AI256">
        <v>9.84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100</v>
      </c>
      <c r="AU256" t="s">
        <v>291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ROUND(Y256*Source!I178,9)</f>
        <v>4</v>
      </c>
      <c r="CY256">
        <f>AA256</f>
        <v>2508.2199999999998</v>
      </c>
      <c r="CZ256">
        <f>AE256</f>
        <v>254.9</v>
      </c>
      <c r="DA256">
        <f>AI256</f>
        <v>9.84</v>
      </c>
      <c r="DB256">
        <f>ROUND(((ROUND(AT256*CZ256,2)*1)*1),6)</f>
        <v>25490</v>
      </c>
      <c r="DC256">
        <f>ROUND(((ROUND(AT256*AG256,2)*1)*1),6)</f>
        <v>0</v>
      </c>
      <c r="DD256" t="s">
        <v>3</v>
      </c>
      <c r="DE256" t="s">
        <v>3</v>
      </c>
      <c r="DF256">
        <f>ROUND(ROUND(AE256*AI256,2)*CX256,2)</f>
        <v>10032.879999999999</v>
      </c>
      <c r="DG256">
        <f t="shared" si="87"/>
        <v>0</v>
      </c>
      <c r="DH256">
        <f t="shared" si="86"/>
        <v>0</v>
      </c>
      <c r="DI256">
        <f t="shared" si="74"/>
        <v>0</v>
      </c>
      <c r="DJ256">
        <f>DF256</f>
        <v>10032.879999999999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ROW(Source!A216)</f>
        <v>216</v>
      </c>
      <c r="B257">
        <v>57248835</v>
      </c>
      <c r="C257">
        <v>57249428</v>
      </c>
      <c r="D257">
        <v>54702434</v>
      </c>
      <c r="E257">
        <v>1081</v>
      </c>
      <c r="F257">
        <v>1</v>
      </c>
      <c r="G257">
        <v>1081</v>
      </c>
      <c r="H257">
        <v>1</v>
      </c>
      <c r="I257" t="s">
        <v>457</v>
      </c>
      <c r="J257" t="s">
        <v>3</v>
      </c>
      <c r="K257" t="s">
        <v>458</v>
      </c>
      <c r="L257">
        <v>1191</v>
      </c>
      <c r="N257">
        <v>1013</v>
      </c>
      <c r="O257" t="s">
        <v>459</v>
      </c>
      <c r="P257" t="s">
        <v>459</v>
      </c>
      <c r="Q257">
        <v>1</v>
      </c>
      <c r="W257">
        <v>0</v>
      </c>
      <c r="X257">
        <v>476480486</v>
      </c>
      <c r="Y257">
        <f>(AT257*1.2)</f>
        <v>18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1</v>
      </c>
      <c r="AK257">
        <v>1</v>
      </c>
      <c r="AL257">
        <v>1</v>
      </c>
      <c r="AM257">
        <v>-2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15</v>
      </c>
      <c r="AU257" t="s">
        <v>120</v>
      </c>
      <c r="AV257">
        <v>1</v>
      </c>
      <c r="AW257">
        <v>2</v>
      </c>
      <c r="AX257">
        <v>57249434</v>
      </c>
      <c r="AY257">
        <v>1</v>
      </c>
      <c r="AZ257">
        <v>0</v>
      </c>
      <c r="BA257">
        <v>323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U257">
        <f>ROUND(AT257*Source!I216*AH257*AL257,2)</f>
        <v>0</v>
      </c>
      <c r="CV257">
        <f>ROUND(Y257*Source!I216,9)</f>
        <v>115.56</v>
      </c>
      <c r="CW257">
        <v>0</v>
      </c>
      <c r="CX257">
        <f>ROUND(Y257*Source!I216,9)</f>
        <v>115.56</v>
      </c>
      <c r="CY257">
        <f>AD257</f>
        <v>0</v>
      </c>
      <c r="CZ257">
        <f>AH257</f>
        <v>0</v>
      </c>
      <c r="DA257">
        <f>AL257</f>
        <v>1</v>
      </c>
      <c r="DB257">
        <f>ROUND((ROUND(AT257*CZ257,2)*1.2),6)</f>
        <v>0</v>
      </c>
      <c r="DC257">
        <f>ROUND((ROUND(AT257*AG257,2)*1.2),6)</f>
        <v>0</v>
      </c>
      <c r="DD257" t="s">
        <v>3</v>
      </c>
      <c r="DE257" t="s">
        <v>3</v>
      </c>
      <c r="DF257">
        <f>ROUND(ROUND(AE257,2)*CX257,2)</f>
        <v>0</v>
      </c>
      <c r="DG257">
        <f t="shared" si="87"/>
        <v>0</v>
      </c>
      <c r="DH257">
        <f t="shared" si="86"/>
        <v>0</v>
      </c>
      <c r="DI257">
        <f t="shared" ref="DI257:DI320" si="88">ROUND(ROUND(AH257,2)*CX257,2)</f>
        <v>0</v>
      </c>
      <c r="DJ257">
        <f>DI257</f>
        <v>0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ROW(Source!A216)</f>
        <v>216</v>
      </c>
      <c r="B258">
        <v>57248835</v>
      </c>
      <c r="C258">
        <v>57249428</v>
      </c>
      <c r="D258">
        <v>54750967</v>
      </c>
      <c r="E258">
        <v>1</v>
      </c>
      <c r="F258">
        <v>1</v>
      </c>
      <c r="G258">
        <v>1081</v>
      </c>
      <c r="H258">
        <v>3</v>
      </c>
      <c r="I258" t="s">
        <v>339</v>
      </c>
      <c r="J258" t="s">
        <v>342</v>
      </c>
      <c r="K258" t="s">
        <v>340</v>
      </c>
      <c r="L258">
        <v>1301</v>
      </c>
      <c r="N258">
        <v>1003</v>
      </c>
      <c r="O258" t="s">
        <v>341</v>
      </c>
      <c r="P258" t="s">
        <v>341</v>
      </c>
      <c r="Q258">
        <v>1</v>
      </c>
      <c r="W258">
        <v>0</v>
      </c>
      <c r="X258">
        <v>1194371439</v>
      </c>
      <c r="Y258">
        <f>(AT258*1)</f>
        <v>102</v>
      </c>
      <c r="AA258">
        <v>3.45</v>
      </c>
      <c r="AB258">
        <v>0</v>
      </c>
      <c r="AC258">
        <v>0</v>
      </c>
      <c r="AD258">
        <v>0</v>
      </c>
      <c r="AE258">
        <v>3.45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102</v>
      </c>
      <c r="AU258" t="s">
        <v>119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ROUND(Y258*Source!I216,9)</f>
        <v>654.84</v>
      </c>
      <c r="CY258">
        <f>AA258</f>
        <v>3.45</v>
      </c>
      <c r="CZ258">
        <f>AE258</f>
        <v>3.45</v>
      </c>
      <c r="DA258">
        <f>AI258</f>
        <v>1</v>
      </c>
      <c r="DB258">
        <f>ROUND((ROUND(AT258*CZ258,2)*1),6)</f>
        <v>351.9</v>
      </c>
      <c r="DC258">
        <f>ROUND((ROUND(AT258*AG258,2)*1),6)</f>
        <v>0</v>
      </c>
      <c r="DD258" t="s">
        <v>3</v>
      </c>
      <c r="DE258" t="s">
        <v>3</v>
      </c>
      <c r="DF258">
        <f>ROUND(ROUND(AE258,2)*CX258,2)</f>
        <v>2259.1999999999998</v>
      </c>
      <c r="DG258">
        <f t="shared" si="87"/>
        <v>0</v>
      </c>
      <c r="DH258">
        <f t="shared" si="86"/>
        <v>0</v>
      </c>
      <c r="DI258">
        <f t="shared" si="88"/>
        <v>0</v>
      </c>
      <c r="DJ258">
        <f>DF258</f>
        <v>2259.1999999999998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ROW(Source!A216)</f>
        <v>216</v>
      </c>
      <c r="B259">
        <v>57248835</v>
      </c>
      <c r="C259">
        <v>57249428</v>
      </c>
      <c r="D259">
        <v>54760578</v>
      </c>
      <c r="E259">
        <v>1</v>
      </c>
      <c r="F259">
        <v>1</v>
      </c>
      <c r="G259">
        <v>1081</v>
      </c>
      <c r="H259">
        <v>3</v>
      </c>
      <c r="I259" t="s">
        <v>346</v>
      </c>
      <c r="J259" t="s">
        <v>349</v>
      </c>
      <c r="K259" t="s">
        <v>347</v>
      </c>
      <c r="L259">
        <v>1356</v>
      </c>
      <c r="N259">
        <v>1010</v>
      </c>
      <c r="O259" t="s">
        <v>348</v>
      </c>
      <c r="P259" t="s">
        <v>348</v>
      </c>
      <c r="Q259">
        <v>1000</v>
      </c>
      <c r="W259">
        <v>0</v>
      </c>
      <c r="X259">
        <v>1886730866</v>
      </c>
      <c r="Y259">
        <f>(AT259*1)</f>
        <v>0.3333333</v>
      </c>
      <c r="AA259">
        <v>396.59</v>
      </c>
      <c r="AB259">
        <v>0</v>
      </c>
      <c r="AC259">
        <v>0</v>
      </c>
      <c r="AD259">
        <v>0</v>
      </c>
      <c r="AE259">
        <v>396.59</v>
      </c>
      <c r="AF259">
        <v>0</v>
      </c>
      <c r="AG259">
        <v>0</v>
      </c>
      <c r="AH259">
        <v>0</v>
      </c>
      <c r="AI259">
        <v>1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0.3333333</v>
      </c>
      <c r="AU259" t="s">
        <v>119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ROUND(Y259*Source!I216,9)</f>
        <v>2.1399997860000002</v>
      </c>
      <c r="CY259">
        <f>AA259</f>
        <v>396.59</v>
      </c>
      <c r="CZ259">
        <f>AE259</f>
        <v>396.59</v>
      </c>
      <c r="DA259">
        <f>AI259</f>
        <v>1</v>
      </c>
      <c r="DB259">
        <f>ROUND((ROUND(AT259*CZ259,2)*1),6)</f>
        <v>132.19999999999999</v>
      </c>
      <c r="DC259">
        <f>ROUND((ROUND(AT259*AG259,2)*1),6)</f>
        <v>0</v>
      </c>
      <c r="DD259" t="s">
        <v>3</v>
      </c>
      <c r="DE259" t="s">
        <v>3</v>
      </c>
      <c r="DF259">
        <f>ROUND(ROUND(AE259,2)*CX259,2)</f>
        <v>848.7</v>
      </c>
      <c r="DG259">
        <f t="shared" si="87"/>
        <v>0</v>
      </c>
      <c r="DH259">
        <f t="shared" si="86"/>
        <v>0</v>
      </c>
      <c r="DI259">
        <f t="shared" si="88"/>
        <v>0</v>
      </c>
      <c r="DJ259">
        <f>DF259</f>
        <v>848.7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ROW(Source!A216)</f>
        <v>216</v>
      </c>
      <c r="B260">
        <v>57248835</v>
      </c>
      <c r="C260">
        <v>57249428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554</v>
      </c>
      <c r="J260" t="s">
        <v>554</v>
      </c>
      <c r="K260" t="s">
        <v>344</v>
      </c>
      <c r="L260">
        <v>1371</v>
      </c>
      <c r="N260">
        <v>1013</v>
      </c>
      <c r="O260" t="s">
        <v>192</v>
      </c>
      <c r="P260" t="s">
        <v>192</v>
      </c>
      <c r="Q260">
        <v>1</v>
      </c>
      <c r="W260">
        <v>0</v>
      </c>
      <c r="X260">
        <v>-1640000816</v>
      </c>
      <c r="Y260">
        <f>AT260</f>
        <v>5.1401868999999998</v>
      </c>
      <c r="AA260">
        <v>209.19</v>
      </c>
      <c r="AB260">
        <v>0</v>
      </c>
      <c r="AC260">
        <v>0</v>
      </c>
      <c r="AD260">
        <v>0</v>
      </c>
      <c r="AE260">
        <v>209.19</v>
      </c>
      <c r="AF260">
        <v>0</v>
      </c>
      <c r="AG260">
        <v>0</v>
      </c>
      <c r="AH260">
        <v>0</v>
      </c>
      <c r="AI260">
        <v>1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5.1401868999999998</v>
      </c>
      <c r="AU260" t="s">
        <v>3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ROUND(Y260*Source!I216,9)</f>
        <v>32.999999897999999</v>
      </c>
      <c r="CY260">
        <f>AA260</f>
        <v>209.19</v>
      </c>
      <c r="CZ260">
        <f>AE260</f>
        <v>209.19</v>
      </c>
      <c r="DA260">
        <f>AI260</f>
        <v>1</v>
      </c>
      <c r="DB260">
        <f>ROUND(ROUND(AT260*CZ260,2),6)</f>
        <v>1075.28</v>
      </c>
      <c r="DC260">
        <f>ROUND(ROUND(AT260*AG260,2),6)</f>
        <v>0</v>
      </c>
      <c r="DD260" t="s">
        <v>3</v>
      </c>
      <c r="DE260" t="s">
        <v>3</v>
      </c>
      <c r="DF260">
        <f>ROUND(ROUND(AE260,2)*CX260,2)</f>
        <v>6903.27</v>
      </c>
      <c r="DG260">
        <f t="shared" si="87"/>
        <v>0</v>
      </c>
      <c r="DH260">
        <f t="shared" si="86"/>
        <v>0</v>
      </c>
      <c r="DI260">
        <f t="shared" si="88"/>
        <v>0</v>
      </c>
      <c r="DJ260">
        <f>DF260</f>
        <v>6903.27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ROW(Source!A217)</f>
        <v>217</v>
      </c>
      <c r="B261">
        <v>57248837</v>
      </c>
      <c r="C261">
        <v>57249428</v>
      </c>
      <c r="D261">
        <v>54702434</v>
      </c>
      <c r="E261">
        <v>1081</v>
      </c>
      <c r="F261">
        <v>1</v>
      </c>
      <c r="G261">
        <v>1081</v>
      </c>
      <c r="H261">
        <v>1</v>
      </c>
      <c r="I261" t="s">
        <v>457</v>
      </c>
      <c r="J261" t="s">
        <v>3</v>
      </c>
      <c r="K261" t="s">
        <v>458</v>
      </c>
      <c r="L261">
        <v>1191</v>
      </c>
      <c r="N261">
        <v>1013</v>
      </c>
      <c r="O261" t="s">
        <v>459</v>
      </c>
      <c r="P261" t="s">
        <v>459</v>
      </c>
      <c r="Q261">
        <v>1</v>
      </c>
      <c r="W261">
        <v>0</v>
      </c>
      <c r="X261">
        <v>476480486</v>
      </c>
      <c r="Y261">
        <f>(AT261*1.2)</f>
        <v>18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1</v>
      </c>
      <c r="AK261">
        <v>1</v>
      </c>
      <c r="AL261">
        <v>1</v>
      </c>
      <c r="AM261">
        <v>5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15</v>
      </c>
      <c r="AU261" t="s">
        <v>120</v>
      </c>
      <c r="AV261">
        <v>1</v>
      </c>
      <c r="AW261">
        <v>2</v>
      </c>
      <c r="AX261">
        <v>57249434</v>
      </c>
      <c r="AY261">
        <v>1</v>
      </c>
      <c r="AZ261">
        <v>0</v>
      </c>
      <c r="BA261">
        <v>327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U261">
        <f>ROUND(AT261*Source!I217*AH261*AL261,2)</f>
        <v>0</v>
      </c>
      <c r="CV261">
        <f>ROUND(Y261*Source!I217,9)</f>
        <v>115.56</v>
      </c>
      <c r="CW261">
        <v>0</v>
      </c>
      <c r="CX261">
        <f>ROUND(Y261*Source!I217,9)</f>
        <v>115.56</v>
      </c>
      <c r="CY261">
        <f>AD261</f>
        <v>0</v>
      </c>
      <c r="CZ261">
        <f>AH261</f>
        <v>0</v>
      </c>
      <c r="DA261">
        <f>AL261</f>
        <v>1</v>
      </c>
      <c r="DB261">
        <f>ROUND((ROUND(AT261*CZ261,2)*1.2),6)</f>
        <v>0</v>
      </c>
      <c r="DC261">
        <f>ROUND((ROUND(AT261*AG261,2)*1.2),6)</f>
        <v>0</v>
      </c>
      <c r="DD261" t="s">
        <v>3</v>
      </c>
      <c r="DE261" t="s">
        <v>3</v>
      </c>
      <c r="DF261">
        <f>ROUND(ROUND(AE261,2)*CX261,2)</f>
        <v>0</v>
      </c>
      <c r="DG261">
        <f t="shared" si="87"/>
        <v>0</v>
      </c>
      <c r="DH261">
        <f t="shared" si="86"/>
        <v>0</v>
      </c>
      <c r="DI261">
        <f t="shared" si="88"/>
        <v>0</v>
      </c>
      <c r="DJ261">
        <f>DI261</f>
        <v>0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ROW(Source!A217)</f>
        <v>217</v>
      </c>
      <c r="B262">
        <v>57248837</v>
      </c>
      <c r="C262">
        <v>57249428</v>
      </c>
      <c r="D262">
        <v>54750967</v>
      </c>
      <c r="E262">
        <v>1</v>
      </c>
      <c r="F262">
        <v>1</v>
      </c>
      <c r="G262">
        <v>1081</v>
      </c>
      <c r="H262">
        <v>3</v>
      </c>
      <c r="I262" t="s">
        <v>339</v>
      </c>
      <c r="J262" t="s">
        <v>342</v>
      </c>
      <c r="K262" t="s">
        <v>340</v>
      </c>
      <c r="L262">
        <v>1301</v>
      </c>
      <c r="N262">
        <v>1003</v>
      </c>
      <c r="O262" t="s">
        <v>341</v>
      </c>
      <c r="P262" t="s">
        <v>341</v>
      </c>
      <c r="Q262">
        <v>1</v>
      </c>
      <c r="W262">
        <v>0</v>
      </c>
      <c r="X262">
        <v>1194371439</v>
      </c>
      <c r="Y262">
        <f>(AT262*1)</f>
        <v>102</v>
      </c>
      <c r="AA262">
        <v>13.08</v>
      </c>
      <c r="AB262">
        <v>0</v>
      </c>
      <c r="AC262">
        <v>0</v>
      </c>
      <c r="AD262">
        <v>0</v>
      </c>
      <c r="AE262">
        <v>3.45</v>
      </c>
      <c r="AF262">
        <v>0</v>
      </c>
      <c r="AG262">
        <v>0</v>
      </c>
      <c r="AH262">
        <v>0</v>
      </c>
      <c r="AI262">
        <v>3.79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102</v>
      </c>
      <c r="AU262" t="s">
        <v>119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ROUND(Y262*Source!I217,9)</f>
        <v>654.84</v>
      </c>
      <c r="CY262">
        <f>AA262</f>
        <v>13.08</v>
      </c>
      <c r="CZ262">
        <f>AE262</f>
        <v>3.45</v>
      </c>
      <c r="DA262">
        <f>AI262</f>
        <v>3.79</v>
      </c>
      <c r="DB262">
        <f>ROUND((ROUND(AT262*CZ262,2)*1),6)</f>
        <v>351.9</v>
      </c>
      <c r="DC262">
        <f>ROUND((ROUND(AT262*AG262,2)*1),6)</f>
        <v>0</v>
      </c>
      <c r="DD262" t="s">
        <v>3</v>
      </c>
      <c r="DE262" t="s">
        <v>3</v>
      </c>
      <c r="DF262">
        <f>ROUND(ROUND(AE262*AI262,2)*CX262,2)</f>
        <v>8565.31</v>
      </c>
      <c r="DG262">
        <f t="shared" si="87"/>
        <v>0</v>
      </c>
      <c r="DH262">
        <f t="shared" si="86"/>
        <v>0</v>
      </c>
      <c r="DI262">
        <f t="shared" si="88"/>
        <v>0</v>
      </c>
      <c r="DJ262">
        <f>DF262</f>
        <v>8565.31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ROW(Source!A217)</f>
        <v>217</v>
      </c>
      <c r="B263">
        <v>57248837</v>
      </c>
      <c r="C263">
        <v>57249428</v>
      </c>
      <c r="D263">
        <v>54760578</v>
      </c>
      <c r="E263">
        <v>1</v>
      </c>
      <c r="F263">
        <v>1</v>
      </c>
      <c r="G263">
        <v>1081</v>
      </c>
      <c r="H263">
        <v>3</v>
      </c>
      <c r="I263" t="s">
        <v>346</v>
      </c>
      <c r="J263" t="s">
        <v>349</v>
      </c>
      <c r="K263" t="s">
        <v>347</v>
      </c>
      <c r="L263">
        <v>1356</v>
      </c>
      <c r="N263">
        <v>1010</v>
      </c>
      <c r="O263" t="s">
        <v>348</v>
      </c>
      <c r="P263" t="s">
        <v>348</v>
      </c>
      <c r="Q263">
        <v>1000</v>
      </c>
      <c r="W263">
        <v>0</v>
      </c>
      <c r="X263">
        <v>1886730866</v>
      </c>
      <c r="Y263">
        <f>(AT263*1)</f>
        <v>0.3333333</v>
      </c>
      <c r="AA263">
        <v>1745</v>
      </c>
      <c r="AB263">
        <v>0</v>
      </c>
      <c r="AC263">
        <v>0</v>
      </c>
      <c r="AD263">
        <v>0</v>
      </c>
      <c r="AE263">
        <v>396.59</v>
      </c>
      <c r="AF263">
        <v>0</v>
      </c>
      <c r="AG263">
        <v>0</v>
      </c>
      <c r="AH263">
        <v>0</v>
      </c>
      <c r="AI263">
        <v>4.4000000000000004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0.3333333</v>
      </c>
      <c r="AU263" t="s">
        <v>119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ROUND(Y263*Source!I217,9)</f>
        <v>2.1399997860000002</v>
      </c>
      <c r="CY263">
        <f>AA263</f>
        <v>1745</v>
      </c>
      <c r="CZ263">
        <f>AE263</f>
        <v>396.59</v>
      </c>
      <c r="DA263">
        <f>AI263</f>
        <v>4.4000000000000004</v>
      </c>
      <c r="DB263">
        <f>ROUND((ROUND(AT263*CZ263,2)*1),6)</f>
        <v>132.19999999999999</v>
      </c>
      <c r="DC263">
        <f>ROUND((ROUND(AT263*AG263,2)*1),6)</f>
        <v>0</v>
      </c>
      <c r="DD263" t="s">
        <v>3</v>
      </c>
      <c r="DE263" t="s">
        <v>3</v>
      </c>
      <c r="DF263">
        <f>ROUND(ROUND(AE263*AI263,2)*CX263,2)</f>
        <v>3734.3</v>
      </c>
      <c r="DG263">
        <f t="shared" si="87"/>
        <v>0</v>
      </c>
      <c r="DH263">
        <f t="shared" si="86"/>
        <v>0</v>
      </c>
      <c r="DI263">
        <f t="shared" si="88"/>
        <v>0</v>
      </c>
      <c r="DJ263">
        <f>DF263</f>
        <v>3734.3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ROW(Source!A217)</f>
        <v>217</v>
      </c>
      <c r="B264">
        <v>57248837</v>
      </c>
      <c r="C264">
        <v>57249428</v>
      </c>
      <c r="D264">
        <v>0</v>
      </c>
      <c r="E264">
        <v>0</v>
      </c>
      <c r="F264">
        <v>1</v>
      </c>
      <c r="G264">
        <v>1081</v>
      </c>
      <c r="H264">
        <v>3</v>
      </c>
      <c r="I264" t="s">
        <v>554</v>
      </c>
      <c r="J264" t="s">
        <v>554</v>
      </c>
      <c r="K264" t="s">
        <v>344</v>
      </c>
      <c r="L264">
        <v>1371</v>
      </c>
      <c r="N264">
        <v>1013</v>
      </c>
      <c r="O264" t="s">
        <v>192</v>
      </c>
      <c r="P264" t="s">
        <v>192</v>
      </c>
      <c r="Q264">
        <v>1</v>
      </c>
      <c r="W264">
        <v>0</v>
      </c>
      <c r="X264">
        <v>-1640000816</v>
      </c>
      <c r="Y264">
        <f>AT264</f>
        <v>5.1401868999999998</v>
      </c>
      <c r="AA264">
        <v>2058.4299999999998</v>
      </c>
      <c r="AB264">
        <v>0</v>
      </c>
      <c r="AC264">
        <v>0</v>
      </c>
      <c r="AD264">
        <v>0</v>
      </c>
      <c r="AE264">
        <v>209.19</v>
      </c>
      <c r="AF264">
        <v>0</v>
      </c>
      <c r="AG264">
        <v>0</v>
      </c>
      <c r="AH264">
        <v>0</v>
      </c>
      <c r="AI264">
        <v>9.84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5.1401868999999998</v>
      </c>
      <c r="AU264" t="s">
        <v>3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ROUND(Y264*Source!I217,9)</f>
        <v>32.999999897999999</v>
      </c>
      <c r="CY264">
        <f>AA264</f>
        <v>2058.4299999999998</v>
      </c>
      <c r="CZ264">
        <f>AE264</f>
        <v>209.19</v>
      </c>
      <c r="DA264">
        <f>AI264</f>
        <v>9.84</v>
      </c>
      <c r="DB264">
        <f>ROUND(ROUND(AT264*CZ264,2),6)</f>
        <v>1075.28</v>
      </c>
      <c r="DC264">
        <f>ROUND(ROUND(AT264*AG264,2),6)</f>
        <v>0</v>
      </c>
      <c r="DD264" t="s">
        <v>3</v>
      </c>
      <c r="DE264" t="s">
        <v>3</v>
      </c>
      <c r="DF264">
        <f>ROUND(ROUND(AE264*AI264,2)*CX264,2)</f>
        <v>67928.19</v>
      </c>
      <c r="DG264">
        <f t="shared" si="87"/>
        <v>0</v>
      </c>
      <c r="DH264">
        <f t="shared" si="86"/>
        <v>0</v>
      </c>
      <c r="DI264">
        <f t="shared" si="88"/>
        <v>0</v>
      </c>
      <c r="DJ264">
        <f>DF264</f>
        <v>67928.19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ROW(Source!A228)</f>
        <v>228</v>
      </c>
      <c r="B265">
        <v>57248835</v>
      </c>
      <c r="C265">
        <v>57250080</v>
      </c>
      <c r="D265">
        <v>54702434</v>
      </c>
      <c r="E265">
        <v>1081</v>
      </c>
      <c r="F265">
        <v>1</v>
      </c>
      <c r="G265">
        <v>1081</v>
      </c>
      <c r="H265">
        <v>1</v>
      </c>
      <c r="I265" t="s">
        <v>457</v>
      </c>
      <c r="J265" t="s">
        <v>3</v>
      </c>
      <c r="K265" t="s">
        <v>458</v>
      </c>
      <c r="L265">
        <v>1191</v>
      </c>
      <c r="N265">
        <v>1013</v>
      </c>
      <c r="O265" t="s">
        <v>459</v>
      </c>
      <c r="P265" t="s">
        <v>459</v>
      </c>
      <c r="Q265">
        <v>1</v>
      </c>
      <c r="W265">
        <v>0</v>
      </c>
      <c r="X265">
        <v>476480486</v>
      </c>
      <c r="Y265">
        <f>(AT265*1.2)</f>
        <v>29.712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24.76</v>
      </c>
      <c r="AU265" t="s">
        <v>120</v>
      </c>
      <c r="AV265">
        <v>1</v>
      </c>
      <c r="AW265">
        <v>2</v>
      </c>
      <c r="AX265">
        <v>57250098</v>
      </c>
      <c r="AY265">
        <v>1</v>
      </c>
      <c r="AZ265">
        <v>0</v>
      </c>
      <c r="BA265">
        <v>331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ROUND(AT265*Source!I228*AH265*AL265,2)</f>
        <v>0</v>
      </c>
      <c r="CV265">
        <f>ROUND(Y265*Source!I228,9)</f>
        <v>190.75103999999999</v>
      </c>
      <c r="CW265">
        <v>0</v>
      </c>
      <c r="CX265">
        <f>ROUND(Y265*Source!I228,9)</f>
        <v>190.75103999999999</v>
      </c>
      <c r="CY265">
        <f>AD265</f>
        <v>0</v>
      </c>
      <c r="CZ265">
        <f>AH265</f>
        <v>0</v>
      </c>
      <c r="DA265">
        <f>AL265</f>
        <v>1</v>
      </c>
      <c r="DB265">
        <f>ROUND((ROUND(AT265*CZ265,2)*1.2),6)</f>
        <v>0</v>
      </c>
      <c r="DC265">
        <f>ROUND((ROUND(AT265*AG265,2)*1.2),6)</f>
        <v>0</v>
      </c>
      <c r="DD265" t="s">
        <v>3</v>
      </c>
      <c r="DE265" t="s">
        <v>3</v>
      </c>
      <c r="DF265">
        <f t="shared" ref="DF265:DF277" si="89">ROUND(ROUND(AE265,2)*CX265,2)</f>
        <v>0</v>
      </c>
      <c r="DG265">
        <f t="shared" si="87"/>
        <v>0</v>
      </c>
      <c r="DH265">
        <f t="shared" si="86"/>
        <v>0</v>
      </c>
      <c r="DI265">
        <f t="shared" si="88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ROW(Source!A228)</f>
        <v>228</v>
      </c>
      <c r="B266">
        <v>57248835</v>
      </c>
      <c r="C266">
        <v>57250080</v>
      </c>
      <c r="D266">
        <v>54768393</v>
      </c>
      <c r="E266">
        <v>1</v>
      </c>
      <c r="F266">
        <v>1</v>
      </c>
      <c r="G266">
        <v>1081</v>
      </c>
      <c r="H266">
        <v>2</v>
      </c>
      <c r="I266" t="s">
        <v>510</v>
      </c>
      <c r="J266" t="s">
        <v>511</v>
      </c>
      <c r="K266" t="s">
        <v>512</v>
      </c>
      <c r="L266">
        <v>1368</v>
      </c>
      <c r="N266">
        <v>1011</v>
      </c>
      <c r="O266" t="s">
        <v>463</v>
      </c>
      <c r="P266" t="s">
        <v>463</v>
      </c>
      <c r="Q266">
        <v>1</v>
      </c>
      <c r="W266">
        <v>0</v>
      </c>
      <c r="X266">
        <v>-1895752648</v>
      </c>
      <c r="Y266">
        <f>(AT266*1.2)</f>
        <v>2.9279999999999999</v>
      </c>
      <c r="AA266">
        <v>0</v>
      </c>
      <c r="AB266">
        <v>0.81</v>
      </c>
      <c r="AC266">
        <v>0</v>
      </c>
      <c r="AD266">
        <v>0</v>
      </c>
      <c r="AE266">
        <v>0</v>
      </c>
      <c r="AF266">
        <v>0.77</v>
      </c>
      <c r="AG266">
        <v>0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2.44</v>
      </c>
      <c r="AU266" t="s">
        <v>120</v>
      </c>
      <c r="AV266">
        <v>0</v>
      </c>
      <c r="AW266">
        <v>2</v>
      </c>
      <c r="AX266">
        <v>57250099</v>
      </c>
      <c r="AY266">
        <v>1</v>
      </c>
      <c r="AZ266">
        <v>0</v>
      </c>
      <c r="BA266">
        <v>332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ROUND(Y266*Source!I228*DO266,9)</f>
        <v>0</v>
      </c>
      <c r="CX266">
        <f>ROUND(Y266*Source!I228,9)</f>
        <v>18.79776</v>
      </c>
      <c r="CY266">
        <f>AB266</f>
        <v>0.81</v>
      </c>
      <c r="CZ266">
        <f>AF266</f>
        <v>0.77</v>
      </c>
      <c r="DA266">
        <f>AJ266</f>
        <v>1</v>
      </c>
      <c r="DB266">
        <f>ROUND((ROUND(AT266*CZ266,2)*1.2),6)</f>
        <v>2.2559999999999998</v>
      </c>
      <c r="DC266">
        <f>ROUND((ROUND(AT266*AG266,2)*1.2),6)</f>
        <v>0</v>
      </c>
      <c r="DD266" t="s">
        <v>3</v>
      </c>
      <c r="DE266" t="s">
        <v>3</v>
      </c>
      <c r="DF266">
        <f t="shared" si="89"/>
        <v>0</v>
      </c>
      <c r="DG266">
        <f t="shared" si="87"/>
        <v>14.47</v>
      </c>
      <c r="DH266">
        <f t="shared" si="86"/>
        <v>0</v>
      </c>
      <c r="DI266">
        <f t="shared" si="88"/>
        <v>0</v>
      </c>
      <c r="DJ266">
        <f>DG266</f>
        <v>14.47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ROW(Source!A228)</f>
        <v>228</v>
      </c>
      <c r="B267">
        <v>57248835</v>
      </c>
      <c r="C267">
        <v>57250080</v>
      </c>
      <c r="D267">
        <v>54768426</v>
      </c>
      <c r="E267">
        <v>1</v>
      </c>
      <c r="F267">
        <v>1</v>
      </c>
      <c r="G267">
        <v>1081</v>
      </c>
      <c r="H267">
        <v>2</v>
      </c>
      <c r="I267" t="s">
        <v>485</v>
      </c>
      <c r="J267" t="s">
        <v>486</v>
      </c>
      <c r="K267" t="s">
        <v>487</v>
      </c>
      <c r="L267">
        <v>1368</v>
      </c>
      <c r="N267">
        <v>1011</v>
      </c>
      <c r="O267" t="s">
        <v>463</v>
      </c>
      <c r="P267" t="s">
        <v>463</v>
      </c>
      <c r="Q267">
        <v>1</v>
      </c>
      <c r="W267">
        <v>0</v>
      </c>
      <c r="X267">
        <v>-643591644</v>
      </c>
      <c r="Y267">
        <f>(AT267*1.2)</f>
        <v>5.556</v>
      </c>
      <c r="AA267">
        <v>0</v>
      </c>
      <c r="AB267">
        <v>0.49</v>
      </c>
      <c r="AC267">
        <v>0</v>
      </c>
      <c r="AD267">
        <v>0</v>
      </c>
      <c r="AE267">
        <v>0</v>
      </c>
      <c r="AF267">
        <v>0.47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4.63</v>
      </c>
      <c r="AU267" t="s">
        <v>120</v>
      </c>
      <c r="AV267">
        <v>0</v>
      </c>
      <c r="AW267">
        <v>2</v>
      </c>
      <c r="AX267">
        <v>57250100</v>
      </c>
      <c r="AY267">
        <v>1</v>
      </c>
      <c r="AZ267">
        <v>0</v>
      </c>
      <c r="BA267">
        <v>333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ROUND(Y267*Source!I228*DO267,9)</f>
        <v>0</v>
      </c>
      <c r="CX267">
        <f>ROUND(Y267*Source!I228,9)</f>
        <v>35.669519999999999</v>
      </c>
      <c r="CY267">
        <f>AB267</f>
        <v>0.49</v>
      </c>
      <c r="CZ267">
        <f>AF267</f>
        <v>0.47</v>
      </c>
      <c r="DA267">
        <f>AJ267</f>
        <v>1</v>
      </c>
      <c r="DB267">
        <f>ROUND((ROUND(AT267*CZ267,2)*1.2),6)</f>
        <v>2.6160000000000001</v>
      </c>
      <c r="DC267">
        <f>ROUND((ROUND(AT267*AG267,2)*1.2),6)</f>
        <v>0</v>
      </c>
      <c r="DD267" t="s">
        <v>3</v>
      </c>
      <c r="DE267" t="s">
        <v>3</v>
      </c>
      <c r="DF267">
        <f t="shared" si="89"/>
        <v>0</v>
      </c>
      <c r="DG267">
        <f t="shared" si="87"/>
        <v>16.760000000000002</v>
      </c>
      <c r="DH267">
        <f t="shared" si="86"/>
        <v>0</v>
      </c>
      <c r="DI267">
        <f t="shared" si="88"/>
        <v>0</v>
      </c>
      <c r="DJ267">
        <f>DG267</f>
        <v>16.760000000000002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ROW(Source!A228)</f>
        <v>228</v>
      </c>
      <c r="B268">
        <v>57248835</v>
      </c>
      <c r="C268">
        <v>57250080</v>
      </c>
      <c r="D268">
        <v>54739633</v>
      </c>
      <c r="E268">
        <v>1</v>
      </c>
      <c r="F268">
        <v>1</v>
      </c>
      <c r="G268">
        <v>1081</v>
      </c>
      <c r="H268">
        <v>3</v>
      </c>
      <c r="I268" t="s">
        <v>356</v>
      </c>
      <c r="J268" t="s">
        <v>358</v>
      </c>
      <c r="K268" t="s">
        <v>357</v>
      </c>
      <c r="L268">
        <v>1355</v>
      </c>
      <c r="N268">
        <v>1010</v>
      </c>
      <c r="O268" t="s">
        <v>67</v>
      </c>
      <c r="P268" t="s">
        <v>67</v>
      </c>
      <c r="Q268">
        <v>100</v>
      </c>
      <c r="W268">
        <v>0</v>
      </c>
      <c r="X268">
        <v>-2062965048</v>
      </c>
      <c r="Y268">
        <f t="shared" ref="Y268:Y274" si="90">(AT268*1)</f>
        <v>4.1121495000000001</v>
      </c>
      <c r="AA268">
        <v>17.28</v>
      </c>
      <c r="AB268">
        <v>0</v>
      </c>
      <c r="AC268">
        <v>0</v>
      </c>
      <c r="AD268">
        <v>0</v>
      </c>
      <c r="AE268">
        <v>17.28</v>
      </c>
      <c r="AF268">
        <v>0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0</v>
      </c>
      <c r="AN268">
        <v>0</v>
      </c>
      <c r="AO268">
        <v>0</v>
      </c>
      <c r="AP268">
        <v>1</v>
      </c>
      <c r="AQ268">
        <v>0</v>
      </c>
      <c r="AR268">
        <v>0</v>
      </c>
      <c r="AS268" t="s">
        <v>3</v>
      </c>
      <c r="AT268">
        <v>4.1121495000000001</v>
      </c>
      <c r="AU268" t="s">
        <v>119</v>
      </c>
      <c r="AV268">
        <v>0</v>
      </c>
      <c r="AW268">
        <v>1</v>
      </c>
      <c r="AX268">
        <v>-1</v>
      </c>
      <c r="AY268">
        <v>0</v>
      </c>
      <c r="AZ268">
        <v>0</v>
      </c>
      <c r="BA268" t="s">
        <v>3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v>0</v>
      </c>
      <c r="CX268">
        <f>ROUND(Y268*Source!I228,9)</f>
        <v>26.399999789999999</v>
      </c>
      <c r="CY268">
        <f t="shared" ref="CY268:CY274" si="91">AA268</f>
        <v>17.28</v>
      </c>
      <c r="CZ268">
        <f t="shared" ref="CZ268:CZ274" si="92">AE268</f>
        <v>17.28</v>
      </c>
      <c r="DA268">
        <f t="shared" ref="DA268:DA274" si="93">AI268</f>
        <v>1</v>
      </c>
      <c r="DB268">
        <f t="shared" ref="DB268:DB274" si="94">ROUND((ROUND(AT268*CZ268,2)*1),6)</f>
        <v>71.06</v>
      </c>
      <c r="DC268">
        <f t="shared" ref="DC268:DC274" si="95">ROUND((ROUND(AT268*AG268,2)*1),6)</f>
        <v>0</v>
      </c>
      <c r="DD268" t="s">
        <v>3</v>
      </c>
      <c r="DE268" t="s">
        <v>3</v>
      </c>
      <c r="DF268">
        <f t="shared" si="89"/>
        <v>456.19</v>
      </c>
      <c r="DG268">
        <f t="shared" si="87"/>
        <v>0</v>
      </c>
      <c r="DH268">
        <f t="shared" si="86"/>
        <v>0</v>
      </c>
      <c r="DI268">
        <f t="shared" si="88"/>
        <v>0</v>
      </c>
      <c r="DJ268">
        <f t="shared" ref="DJ268:DJ274" si="96">DF268</f>
        <v>456.19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ROW(Source!A228)</f>
        <v>228</v>
      </c>
      <c r="B269">
        <v>57248835</v>
      </c>
      <c r="C269">
        <v>57250080</v>
      </c>
      <c r="D269">
        <v>54739696</v>
      </c>
      <c r="E269">
        <v>1</v>
      </c>
      <c r="F269">
        <v>1</v>
      </c>
      <c r="G269">
        <v>1081</v>
      </c>
      <c r="H269">
        <v>3</v>
      </c>
      <c r="I269" t="s">
        <v>350</v>
      </c>
      <c r="J269" t="s">
        <v>352</v>
      </c>
      <c r="K269" t="s">
        <v>363</v>
      </c>
      <c r="L269">
        <v>1355</v>
      </c>
      <c r="N269">
        <v>1010</v>
      </c>
      <c r="O269" t="s">
        <v>67</v>
      </c>
      <c r="P269" t="s">
        <v>67</v>
      </c>
      <c r="Q269">
        <v>100</v>
      </c>
      <c r="W269">
        <v>0</v>
      </c>
      <c r="X269">
        <v>1778873822</v>
      </c>
      <c r="Y269">
        <f t="shared" si="90"/>
        <v>4.1121495000000001</v>
      </c>
      <c r="AA269">
        <v>94.93</v>
      </c>
      <c r="AB269">
        <v>0</v>
      </c>
      <c r="AC269">
        <v>0</v>
      </c>
      <c r="AD269">
        <v>0</v>
      </c>
      <c r="AE269">
        <v>94.93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1</v>
      </c>
      <c r="AQ269">
        <v>0</v>
      </c>
      <c r="AR269">
        <v>0</v>
      </c>
      <c r="AS269" t="s">
        <v>3</v>
      </c>
      <c r="AT269">
        <v>4.1121495000000001</v>
      </c>
      <c r="AU269" t="s">
        <v>119</v>
      </c>
      <c r="AV269">
        <v>0</v>
      </c>
      <c r="AW269">
        <v>1</v>
      </c>
      <c r="AX269">
        <v>-1</v>
      </c>
      <c r="AY269">
        <v>0</v>
      </c>
      <c r="AZ269">
        <v>0</v>
      </c>
      <c r="BA269" t="s">
        <v>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v>0</v>
      </c>
      <c r="CX269">
        <f>ROUND(Y269*Source!I228,9)</f>
        <v>26.399999789999999</v>
      </c>
      <c r="CY269">
        <f t="shared" si="91"/>
        <v>94.93</v>
      </c>
      <c r="CZ269">
        <f t="shared" si="92"/>
        <v>94.93</v>
      </c>
      <c r="DA269">
        <f t="shared" si="93"/>
        <v>1</v>
      </c>
      <c r="DB269">
        <f t="shared" si="94"/>
        <v>390.37</v>
      </c>
      <c r="DC269">
        <f t="shared" si="95"/>
        <v>0</v>
      </c>
      <c r="DD269" t="s">
        <v>3</v>
      </c>
      <c r="DE269" t="s">
        <v>3</v>
      </c>
      <c r="DF269">
        <f t="shared" si="89"/>
        <v>2506.15</v>
      </c>
      <c r="DG269">
        <f t="shared" si="87"/>
        <v>0</v>
      </c>
      <c r="DH269">
        <f t="shared" si="86"/>
        <v>0</v>
      </c>
      <c r="DI269">
        <f t="shared" si="88"/>
        <v>0</v>
      </c>
      <c r="DJ269">
        <f t="shared" si="96"/>
        <v>2506.15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ROW(Source!A228)</f>
        <v>228</v>
      </c>
      <c r="B270">
        <v>57248835</v>
      </c>
      <c r="C270">
        <v>57250080</v>
      </c>
      <c r="D270">
        <v>54750967</v>
      </c>
      <c r="E270">
        <v>1</v>
      </c>
      <c r="F270">
        <v>1</v>
      </c>
      <c r="G270">
        <v>1081</v>
      </c>
      <c r="H270">
        <v>3</v>
      </c>
      <c r="I270" t="s">
        <v>339</v>
      </c>
      <c r="J270" t="s">
        <v>342</v>
      </c>
      <c r="K270" t="s">
        <v>340</v>
      </c>
      <c r="L270">
        <v>1301</v>
      </c>
      <c r="N270">
        <v>1003</v>
      </c>
      <c r="O270" t="s">
        <v>341</v>
      </c>
      <c r="P270" t="s">
        <v>341</v>
      </c>
      <c r="Q270">
        <v>1</v>
      </c>
      <c r="W270">
        <v>0</v>
      </c>
      <c r="X270">
        <v>1194371439</v>
      </c>
      <c r="Y270">
        <f t="shared" si="90"/>
        <v>102</v>
      </c>
      <c r="AA270">
        <v>3.45</v>
      </c>
      <c r="AB270">
        <v>0</v>
      </c>
      <c r="AC270">
        <v>0</v>
      </c>
      <c r="AD270">
        <v>0</v>
      </c>
      <c r="AE270">
        <v>3.45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 t="s">
        <v>3</v>
      </c>
      <c r="AT270">
        <v>102</v>
      </c>
      <c r="AU270" t="s">
        <v>119</v>
      </c>
      <c r="AV270">
        <v>0</v>
      </c>
      <c r="AW270">
        <v>1</v>
      </c>
      <c r="AX270">
        <v>-1</v>
      </c>
      <c r="AY270">
        <v>0</v>
      </c>
      <c r="AZ270">
        <v>0</v>
      </c>
      <c r="BA270" t="s">
        <v>3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ROUND(Y270*Source!I228,9)</f>
        <v>654.84</v>
      </c>
      <c r="CY270">
        <f t="shared" si="91"/>
        <v>3.45</v>
      </c>
      <c r="CZ270">
        <f t="shared" si="92"/>
        <v>3.45</v>
      </c>
      <c r="DA270">
        <f t="shared" si="93"/>
        <v>1</v>
      </c>
      <c r="DB270">
        <f t="shared" si="94"/>
        <v>351.9</v>
      </c>
      <c r="DC270">
        <f t="shared" si="95"/>
        <v>0</v>
      </c>
      <c r="DD270" t="s">
        <v>3</v>
      </c>
      <c r="DE270" t="s">
        <v>3</v>
      </c>
      <c r="DF270">
        <f t="shared" si="89"/>
        <v>2259.1999999999998</v>
      </c>
      <c r="DG270">
        <f t="shared" si="87"/>
        <v>0</v>
      </c>
      <c r="DH270">
        <f t="shared" si="86"/>
        <v>0</v>
      </c>
      <c r="DI270">
        <f t="shared" si="88"/>
        <v>0</v>
      </c>
      <c r="DJ270">
        <f t="shared" si="96"/>
        <v>2259.1999999999998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ROW(Source!A228)</f>
        <v>228</v>
      </c>
      <c r="B271">
        <v>57248835</v>
      </c>
      <c r="C271">
        <v>57250080</v>
      </c>
      <c r="D271">
        <v>54760333</v>
      </c>
      <c r="E271">
        <v>1</v>
      </c>
      <c r="F271">
        <v>1</v>
      </c>
      <c r="G271">
        <v>1081</v>
      </c>
      <c r="H271">
        <v>3</v>
      </c>
      <c r="I271" t="s">
        <v>543</v>
      </c>
      <c r="J271" t="s">
        <v>544</v>
      </c>
      <c r="K271" t="s">
        <v>545</v>
      </c>
      <c r="L271">
        <v>1356</v>
      </c>
      <c r="N271">
        <v>1010</v>
      </c>
      <c r="O271" t="s">
        <v>348</v>
      </c>
      <c r="P271" t="s">
        <v>348</v>
      </c>
      <c r="Q271">
        <v>1000</v>
      </c>
      <c r="W271">
        <v>0</v>
      </c>
      <c r="X271">
        <v>474149623</v>
      </c>
      <c r="Y271">
        <f t="shared" si="90"/>
        <v>3.1E-2</v>
      </c>
      <c r="AA271">
        <v>226.66</v>
      </c>
      <c r="AB271">
        <v>0</v>
      </c>
      <c r="AC271">
        <v>0</v>
      </c>
      <c r="AD271">
        <v>0</v>
      </c>
      <c r="AE271">
        <v>226.66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3.1E-2</v>
      </c>
      <c r="AU271" t="s">
        <v>119</v>
      </c>
      <c r="AV271">
        <v>0</v>
      </c>
      <c r="AW271">
        <v>2</v>
      </c>
      <c r="AX271">
        <v>57250101</v>
      </c>
      <c r="AY271">
        <v>1</v>
      </c>
      <c r="AZ271">
        <v>0</v>
      </c>
      <c r="BA271">
        <v>334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ROUND(Y271*Source!I228,9)</f>
        <v>0.19902</v>
      </c>
      <c r="CY271">
        <f t="shared" si="91"/>
        <v>226.66</v>
      </c>
      <c r="CZ271">
        <f t="shared" si="92"/>
        <v>226.66</v>
      </c>
      <c r="DA271">
        <f t="shared" si="93"/>
        <v>1</v>
      </c>
      <c r="DB271">
        <f t="shared" si="94"/>
        <v>7.03</v>
      </c>
      <c r="DC271">
        <f t="shared" si="95"/>
        <v>0</v>
      </c>
      <c r="DD271" t="s">
        <v>3</v>
      </c>
      <c r="DE271" t="s">
        <v>3</v>
      </c>
      <c r="DF271">
        <f t="shared" si="89"/>
        <v>45.11</v>
      </c>
      <c r="DG271">
        <f t="shared" si="87"/>
        <v>0</v>
      </c>
      <c r="DH271">
        <f t="shared" si="86"/>
        <v>0</v>
      </c>
      <c r="DI271">
        <f t="shared" si="88"/>
        <v>0</v>
      </c>
      <c r="DJ271">
        <f t="shared" si="96"/>
        <v>45.11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ROW(Source!A228)</f>
        <v>228</v>
      </c>
      <c r="B272">
        <v>57248835</v>
      </c>
      <c r="C272">
        <v>57250080</v>
      </c>
      <c r="D272">
        <v>54760578</v>
      </c>
      <c r="E272">
        <v>1</v>
      </c>
      <c r="F272">
        <v>1</v>
      </c>
      <c r="G272">
        <v>1081</v>
      </c>
      <c r="H272">
        <v>3</v>
      </c>
      <c r="I272" t="s">
        <v>346</v>
      </c>
      <c r="J272" t="s">
        <v>349</v>
      </c>
      <c r="K272" t="s">
        <v>347</v>
      </c>
      <c r="L272">
        <v>1356</v>
      </c>
      <c r="N272">
        <v>1010</v>
      </c>
      <c r="O272" t="s">
        <v>348</v>
      </c>
      <c r="P272" t="s">
        <v>348</v>
      </c>
      <c r="Q272">
        <v>1000</v>
      </c>
      <c r="W272">
        <v>0</v>
      </c>
      <c r="X272">
        <v>1886730866</v>
      </c>
      <c r="Y272">
        <f t="shared" si="90"/>
        <v>0.3333333</v>
      </c>
      <c r="AA272">
        <v>396.59</v>
      </c>
      <c r="AB272">
        <v>0</v>
      </c>
      <c r="AC272">
        <v>0</v>
      </c>
      <c r="AD272">
        <v>0</v>
      </c>
      <c r="AE272">
        <v>396.59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 t="s">
        <v>3</v>
      </c>
      <c r="AT272">
        <v>0.3333333</v>
      </c>
      <c r="AU272" t="s">
        <v>119</v>
      </c>
      <c r="AV272">
        <v>0</v>
      </c>
      <c r="AW272">
        <v>1</v>
      </c>
      <c r="AX272">
        <v>-1</v>
      </c>
      <c r="AY272">
        <v>0</v>
      </c>
      <c r="AZ272">
        <v>0</v>
      </c>
      <c r="BA272" t="s">
        <v>3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ROUND(Y272*Source!I228,9)</f>
        <v>2.1399997860000002</v>
      </c>
      <c r="CY272">
        <f t="shared" si="91"/>
        <v>396.59</v>
      </c>
      <c r="CZ272">
        <f t="shared" si="92"/>
        <v>396.59</v>
      </c>
      <c r="DA272">
        <f t="shared" si="93"/>
        <v>1</v>
      </c>
      <c r="DB272">
        <f t="shared" si="94"/>
        <v>132.19999999999999</v>
      </c>
      <c r="DC272">
        <f t="shared" si="95"/>
        <v>0</v>
      </c>
      <c r="DD272" t="s">
        <v>3</v>
      </c>
      <c r="DE272" t="s">
        <v>3</v>
      </c>
      <c r="DF272">
        <f t="shared" si="89"/>
        <v>848.7</v>
      </c>
      <c r="DG272">
        <f t="shared" si="87"/>
        <v>0</v>
      </c>
      <c r="DH272">
        <f t="shared" si="86"/>
        <v>0</v>
      </c>
      <c r="DI272">
        <f t="shared" si="88"/>
        <v>0</v>
      </c>
      <c r="DJ272">
        <f t="shared" si="96"/>
        <v>848.7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ROW(Source!A228)</f>
        <v>228</v>
      </c>
      <c r="B273">
        <v>57248835</v>
      </c>
      <c r="C273">
        <v>57250080</v>
      </c>
      <c r="D273">
        <v>54760107</v>
      </c>
      <c r="E273">
        <v>1</v>
      </c>
      <c r="F273">
        <v>1</v>
      </c>
      <c r="G273">
        <v>1081</v>
      </c>
      <c r="H273">
        <v>3</v>
      </c>
      <c r="I273" t="s">
        <v>546</v>
      </c>
      <c r="J273" t="s">
        <v>547</v>
      </c>
      <c r="K273" t="s">
        <v>548</v>
      </c>
      <c r="L273">
        <v>1355</v>
      </c>
      <c r="N273">
        <v>1010</v>
      </c>
      <c r="O273" t="s">
        <v>67</v>
      </c>
      <c r="P273" t="s">
        <v>67</v>
      </c>
      <c r="Q273">
        <v>100</v>
      </c>
      <c r="W273">
        <v>0</v>
      </c>
      <c r="X273">
        <v>1356827684</v>
      </c>
      <c r="Y273">
        <f t="shared" si="90"/>
        <v>0.315</v>
      </c>
      <c r="AA273">
        <v>26.71</v>
      </c>
      <c r="AB273">
        <v>0</v>
      </c>
      <c r="AC273">
        <v>0</v>
      </c>
      <c r="AD273">
        <v>0</v>
      </c>
      <c r="AE273">
        <v>26.71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0.315</v>
      </c>
      <c r="AU273" t="s">
        <v>119</v>
      </c>
      <c r="AV273">
        <v>0</v>
      </c>
      <c r="AW273">
        <v>2</v>
      </c>
      <c r="AX273">
        <v>57250102</v>
      </c>
      <c r="AY273">
        <v>1</v>
      </c>
      <c r="AZ273">
        <v>0</v>
      </c>
      <c r="BA273">
        <v>335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ROUND(Y273*Source!I228,9)</f>
        <v>2.0223</v>
      </c>
      <c r="CY273">
        <f t="shared" si="91"/>
        <v>26.71</v>
      </c>
      <c r="CZ273">
        <f t="shared" si="92"/>
        <v>26.71</v>
      </c>
      <c r="DA273">
        <f t="shared" si="93"/>
        <v>1</v>
      </c>
      <c r="DB273">
        <f t="shared" si="94"/>
        <v>8.41</v>
      </c>
      <c r="DC273">
        <f t="shared" si="95"/>
        <v>0</v>
      </c>
      <c r="DD273" t="s">
        <v>3</v>
      </c>
      <c r="DE273" t="s">
        <v>3</v>
      </c>
      <c r="DF273">
        <f t="shared" si="89"/>
        <v>54.02</v>
      </c>
      <c r="DG273">
        <f t="shared" si="87"/>
        <v>0</v>
      </c>
      <c r="DH273">
        <f t="shared" si="86"/>
        <v>0</v>
      </c>
      <c r="DI273">
        <f t="shared" si="88"/>
        <v>0</v>
      </c>
      <c r="DJ273">
        <f t="shared" si="96"/>
        <v>54.02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ROW(Source!A228)</f>
        <v>228</v>
      </c>
      <c r="B274">
        <v>57248835</v>
      </c>
      <c r="C274">
        <v>57250080</v>
      </c>
      <c r="D274">
        <v>54747393</v>
      </c>
      <c r="E274">
        <v>1</v>
      </c>
      <c r="F274">
        <v>1</v>
      </c>
      <c r="G274">
        <v>1081</v>
      </c>
      <c r="H274">
        <v>3</v>
      </c>
      <c r="I274" t="s">
        <v>549</v>
      </c>
      <c r="J274" t="s">
        <v>550</v>
      </c>
      <c r="K274" t="s">
        <v>551</v>
      </c>
      <c r="L274">
        <v>1354</v>
      </c>
      <c r="N274">
        <v>1010</v>
      </c>
      <c r="O274" t="s">
        <v>228</v>
      </c>
      <c r="P274" t="s">
        <v>228</v>
      </c>
      <c r="Q274">
        <v>1</v>
      </c>
      <c r="W274">
        <v>0</v>
      </c>
      <c r="X274">
        <v>955560065</v>
      </c>
      <c r="Y274">
        <f t="shared" si="90"/>
        <v>0.28000000000000003</v>
      </c>
      <c r="AA274">
        <v>14.22</v>
      </c>
      <c r="AB274">
        <v>0</v>
      </c>
      <c r="AC274">
        <v>0</v>
      </c>
      <c r="AD274">
        <v>0</v>
      </c>
      <c r="AE274">
        <v>14.22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0.28000000000000003</v>
      </c>
      <c r="AU274" t="s">
        <v>119</v>
      </c>
      <c r="AV274">
        <v>0</v>
      </c>
      <c r="AW274">
        <v>2</v>
      </c>
      <c r="AX274">
        <v>57250103</v>
      </c>
      <c r="AY274">
        <v>1</v>
      </c>
      <c r="AZ274">
        <v>0</v>
      </c>
      <c r="BA274">
        <v>336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ROUND(Y274*Source!I228,9)</f>
        <v>1.7976000000000001</v>
      </c>
      <c r="CY274">
        <f t="shared" si="91"/>
        <v>14.22</v>
      </c>
      <c r="CZ274">
        <f t="shared" si="92"/>
        <v>14.22</v>
      </c>
      <c r="DA274">
        <f t="shared" si="93"/>
        <v>1</v>
      </c>
      <c r="DB274">
        <f t="shared" si="94"/>
        <v>3.98</v>
      </c>
      <c r="DC274">
        <f t="shared" si="95"/>
        <v>0</v>
      </c>
      <c r="DD274" t="s">
        <v>3</v>
      </c>
      <c r="DE274" t="s">
        <v>3</v>
      </c>
      <c r="DF274">
        <f t="shared" si="89"/>
        <v>25.56</v>
      </c>
      <c r="DG274">
        <f t="shared" si="87"/>
        <v>0</v>
      </c>
      <c r="DH274">
        <f t="shared" si="86"/>
        <v>0</v>
      </c>
      <c r="DI274">
        <f t="shared" si="88"/>
        <v>0</v>
      </c>
      <c r="DJ274">
        <f t="shared" si="96"/>
        <v>25.56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ROW(Source!A229)</f>
        <v>229</v>
      </c>
      <c r="B275">
        <v>57248837</v>
      </c>
      <c r="C275">
        <v>57250080</v>
      </c>
      <c r="D275">
        <v>54702434</v>
      </c>
      <c r="E275">
        <v>1081</v>
      </c>
      <c r="F275">
        <v>1</v>
      </c>
      <c r="G275">
        <v>1081</v>
      </c>
      <c r="H275">
        <v>1</v>
      </c>
      <c r="I275" t="s">
        <v>457</v>
      </c>
      <c r="J275" t="s">
        <v>3</v>
      </c>
      <c r="K275" t="s">
        <v>458</v>
      </c>
      <c r="L275">
        <v>1191</v>
      </c>
      <c r="N275">
        <v>1013</v>
      </c>
      <c r="O275" t="s">
        <v>459</v>
      </c>
      <c r="P275" t="s">
        <v>459</v>
      </c>
      <c r="Q275">
        <v>1</v>
      </c>
      <c r="W275">
        <v>0</v>
      </c>
      <c r="X275">
        <v>476480486</v>
      </c>
      <c r="Y275">
        <f>(AT275*1.2)</f>
        <v>29.712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5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24.76</v>
      </c>
      <c r="AU275" t="s">
        <v>120</v>
      </c>
      <c r="AV275">
        <v>1</v>
      </c>
      <c r="AW275">
        <v>2</v>
      </c>
      <c r="AX275">
        <v>57250098</v>
      </c>
      <c r="AY275">
        <v>1</v>
      </c>
      <c r="AZ275">
        <v>0</v>
      </c>
      <c r="BA275">
        <v>341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U275">
        <f>ROUND(AT275*Source!I229*AH275*AL275,2)</f>
        <v>0</v>
      </c>
      <c r="CV275">
        <f>ROUND(Y275*Source!I229,9)</f>
        <v>190.75103999999999</v>
      </c>
      <c r="CW275">
        <v>0</v>
      </c>
      <c r="CX275">
        <f>ROUND(Y275*Source!I229,9)</f>
        <v>190.75103999999999</v>
      </c>
      <c r="CY275">
        <f>AD275</f>
        <v>0</v>
      </c>
      <c r="CZ275">
        <f>AH275</f>
        <v>0</v>
      </c>
      <c r="DA275">
        <f>AL275</f>
        <v>1</v>
      </c>
      <c r="DB275">
        <f>ROUND((ROUND(AT275*CZ275,2)*1.2),6)</f>
        <v>0</v>
      </c>
      <c r="DC275">
        <f>ROUND((ROUND(AT275*AG275,2)*1.2),6)</f>
        <v>0</v>
      </c>
      <c r="DD275" t="s">
        <v>3</v>
      </c>
      <c r="DE275" t="s">
        <v>3</v>
      </c>
      <c r="DF275">
        <f t="shared" si="89"/>
        <v>0</v>
      </c>
      <c r="DG275">
        <f t="shared" si="87"/>
        <v>0</v>
      </c>
      <c r="DH275">
        <f t="shared" si="86"/>
        <v>0</v>
      </c>
      <c r="DI275">
        <f t="shared" si="88"/>
        <v>0</v>
      </c>
      <c r="DJ275">
        <f>DI275</f>
        <v>0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ROW(Source!A229)</f>
        <v>229</v>
      </c>
      <c r="B276">
        <v>57248837</v>
      </c>
      <c r="C276">
        <v>57250080</v>
      </c>
      <c r="D276">
        <v>54768393</v>
      </c>
      <c r="E276">
        <v>1</v>
      </c>
      <c r="F276">
        <v>1</v>
      </c>
      <c r="G276">
        <v>1081</v>
      </c>
      <c r="H276">
        <v>2</v>
      </c>
      <c r="I276" t="s">
        <v>510</v>
      </c>
      <c r="J276" t="s">
        <v>511</v>
      </c>
      <c r="K276" t="s">
        <v>512</v>
      </c>
      <c r="L276">
        <v>1368</v>
      </c>
      <c r="N276">
        <v>1011</v>
      </c>
      <c r="O276" t="s">
        <v>463</v>
      </c>
      <c r="P276" t="s">
        <v>463</v>
      </c>
      <c r="Q276">
        <v>1</v>
      </c>
      <c r="W276">
        <v>0</v>
      </c>
      <c r="X276">
        <v>-1895752648</v>
      </c>
      <c r="Y276">
        <f>(AT276*1.2)</f>
        <v>2.9279999999999999</v>
      </c>
      <c r="AA276">
        <v>0</v>
      </c>
      <c r="AB276">
        <v>7.71</v>
      </c>
      <c r="AC276">
        <v>0</v>
      </c>
      <c r="AD276">
        <v>0</v>
      </c>
      <c r="AE276">
        <v>0</v>
      </c>
      <c r="AF276">
        <v>0.77</v>
      </c>
      <c r="AG276">
        <v>0</v>
      </c>
      <c r="AH276">
        <v>0</v>
      </c>
      <c r="AI276">
        <v>1</v>
      </c>
      <c r="AJ276">
        <v>9.56</v>
      </c>
      <c r="AK276">
        <v>1</v>
      </c>
      <c r="AL276">
        <v>1</v>
      </c>
      <c r="AM276">
        <v>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2.44</v>
      </c>
      <c r="AU276" t="s">
        <v>120</v>
      </c>
      <c r="AV276">
        <v>0</v>
      </c>
      <c r="AW276">
        <v>2</v>
      </c>
      <c r="AX276">
        <v>57250099</v>
      </c>
      <c r="AY276">
        <v>1</v>
      </c>
      <c r="AZ276">
        <v>0</v>
      </c>
      <c r="BA276">
        <v>342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f>ROUND(Y276*Source!I229*DO276,9)</f>
        <v>0</v>
      </c>
      <c r="CX276">
        <f>ROUND(Y276*Source!I229,9)</f>
        <v>18.79776</v>
      </c>
      <c r="CY276">
        <f>AB276</f>
        <v>7.71</v>
      </c>
      <c r="CZ276">
        <f>AF276</f>
        <v>0.77</v>
      </c>
      <c r="DA276">
        <f>AJ276</f>
        <v>9.56</v>
      </c>
      <c r="DB276">
        <f>ROUND((ROUND(AT276*CZ276,2)*1.2),6)</f>
        <v>2.2559999999999998</v>
      </c>
      <c r="DC276">
        <f>ROUND((ROUND(AT276*AG276,2)*1.2),6)</f>
        <v>0</v>
      </c>
      <c r="DD276" t="s">
        <v>3</v>
      </c>
      <c r="DE276" t="s">
        <v>3</v>
      </c>
      <c r="DF276">
        <f t="shared" si="89"/>
        <v>0</v>
      </c>
      <c r="DG276">
        <f>ROUND(ROUND(AF276*AJ276,2)*CX276,2)</f>
        <v>138.35</v>
      </c>
      <c r="DH276">
        <f t="shared" si="86"/>
        <v>0</v>
      </c>
      <c r="DI276">
        <f t="shared" si="88"/>
        <v>0</v>
      </c>
      <c r="DJ276">
        <f>DG276</f>
        <v>138.35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ROW(Source!A229)</f>
        <v>229</v>
      </c>
      <c r="B277">
        <v>57248837</v>
      </c>
      <c r="C277">
        <v>57250080</v>
      </c>
      <c r="D277">
        <v>54768426</v>
      </c>
      <c r="E277">
        <v>1</v>
      </c>
      <c r="F277">
        <v>1</v>
      </c>
      <c r="G277">
        <v>1081</v>
      </c>
      <c r="H277">
        <v>2</v>
      </c>
      <c r="I277" t="s">
        <v>485</v>
      </c>
      <c r="J277" t="s">
        <v>486</v>
      </c>
      <c r="K277" t="s">
        <v>487</v>
      </c>
      <c r="L277">
        <v>1368</v>
      </c>
      <c r="N277">
        <v>1011</v>
      </c>
      <c r="O277" t="s">
        <v>463</v>
      </c>
      <c r="P277" t="s">
        <v>463</v>
      </c>
      <c r="Q277">
        <v>1</v>
      </c>
      <c r="W277">
        <v>0</v>
      </c>
      <c r="X277">
        <v>-643591644</v>
      </c>
      <c r="Y277">
        <f>(AT277*1.2)</f>
        <v>5.556</v>
      </c>
      <c r="AA277">
        <v>0</v>
      </c>
      <c r="AB277">
        <v>4.75</v>
      </c>
      <c r="AC277">
        <v>0</v>
      </c>
      <c r="AD277">
        <v>0</v>
      </c>
      <c r="AE277">
        <v>0</v>
      </c>
      <c r="AF277">
        <v>0.47</v>
      </c>
      <c r="AG277">
        <v>0</v>
      </c>
      <c r="AH277">
        <v>0</v>
      </c>
      <c r="AI277">
        <v>1</v>
      </c>
      <c r="AJ277">
        <v>9.66</v>
      </c>
      <c r="AK277">
        <v>1</v>
      </c>
      <c r="AL277">
        <v>1</v>
      </c>
      <c r="AM277">
        <v>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4.63</v>
      </c>
      <c r="AU277" t="s">
        <v>120</v>
      </c>
      <c r="AV277">
        <v>0</v>
      </c>
      <c r="AW277">
        <v>2</v>
      </c>
      <c r="AX277">
        <v>57250100</v>
      </c>
      <c r="AY277">
        <v>1</v>
      </c>
      <c r="AZ277">
        <v>0</v>
      </c>
      <c r="BA277">
        <v>343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f>ROUND(Y277*Source!I229*DO277,9)</f>
        <v>0</v>
      </c>
      <c r="CX277">
        <f>ROUND(Y277*Source!I229,9)</f>
        <v>35.669519999999999</v>
      </c>
      <c r="CY277">
        <f>AB277</f>
        <v>4.75</v>
      </c>
      <c r="CZ277">
        <f>AF277</f>
        <v>0.47</v>
      </c>
      <c r="DA277">
        <f>AJ277</f>
        <v>9.66</v>
      </c>
      <c r="DB277">
        <f>ROUND((ROUND(AT277*CZ277,2)*1.2),6)</f>
        <v>2.6160000000000001</v>
      </c>
      <c r="DC277">
        <f>ROUND((ROUND(AT277*AG277,2)*1.2),6)</f>
        <v>0</v>
      </c>
      <c r="DD277" t="s">
        <v>3</v>
      </c>
      <c r="DE277" t="s">
        <v>3</v>
      </c>
      <c r="DF277">
        <f t="shared" si="89"/>
        <v>0</v>
      </c>
      <c r="DG277">
        <f>ROUND(ROUND(AF277*AJ277,2)*CX277,2)</f>
        <v>161.94</v>
      </c>
      <c r="DH277">
        <f t="shared" si="86"/>
        <v>0</v>
      </c>
      <c r="DI277">
        <f t="shared" si="88"/>
        <v>0</v>
      </c>
      <c r="DJ277">
        <f>DG277</f>
        <v>161.94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ROW(Source!A229)</f>
        <v>229</v>
      </c>
      <c r="B278">
        <v>57248837</v>
      </c>
      <c r="C278">
        <v>57250080</v>
      </c>
      <c r="D278">
        <v>54739633</v>
      </c>
      <c r="E278">
        <v>1</v>
      </c>
      <c r="F278">
        <v>1</v>
      </c>
      <c r="G278">
        <v>1081</v>
      </c>
      <c r="H278">
        <v>3</v>
      </c>
      <c r="I278" t="s">
        <v>356</v>
      </c>
      <c r="J278" t="s">
        <v>358</v>
      </c>
      <c r="K278" t="s">
        <v>357</v>
      </c>
      <c r="L278">
        <v>1355</v>
      </c>
      <c r="N278">
        <v>1010</v>
      </c>
      <c r="O278" t="s">
        <v>67</v>
      </c>
      <c r="P278" t="s">
        <v>67</v>
      </c>
      <c r="Q278">
        <v>100</v>
      </c>
      <c r="W278">
        <v>0</v>
      </c>
      <c r="X278">
        <v>-2062965048</v>
      </c>
      <c r="Y278">
        <f t="shared" ref="Y278:Y284" si="97">(AT278*1)</f>
        <v>4.1121495000000001</v>
      </c>
      <c r="AA278">
        <v>112.15</v>
      </c>
      <c r="AB278">
        <v>0</v>
      </c>
      <c r="AC278">
        <v>0</v>
      </c>
      <c r="AD278">
        <v>0</v>
      </c>
      <c r="AE278">
        <v>17.28</v>
      </c>
      <c r="AF278">
        <v>0</v>
      </c>
      <c r="AG278">
        <v>0</v>
      </c>
      <c r="AH278">
        <v>0</v>
      </c>
      <c r="AI278">
        <v>6.49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4.1121495000000001</v>
      </c>
      <c r="AU278" t="s">
        <v>119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ROUND(Y278*Source!I229,9)</f>
        <v>26.399999789999999</v>
      </c>
      <c r="CY278">
        <f t="shared" ref="CY278:CY284" si="98">AA278</f>
        <v>112.15</v>
      </c>
      <c r="CZ278">
        <f t="shared" ref="CZ278:CZ284" si="99">AE278</f>
        <v>17.28</v>
      </c>
      <c r="DA278">
        <f t="shared" ref="DA278:DA284" si="100">AI278</f>
        <v>6.49</v>
      </c>
      <c r="DB278">
        <f t="shared" ref="DB278:DB284" si="101">ROUND((ROUND(AT278*CZ278,2)*1),6)</f>
        <v>71.06</v>
      </c>
      <c r="DC278">
        <f t="shared" ref="DC278:DC284" si="102">ROUND((ROUND(AT278*AG278,2)*1),6)</f>
        <v>0</v>
      </c>
      <c r="DD278" t="s">
        <v>3</v>
      </c>
      <c r="DE278" t="s">
        <v>3</v>
      </c>
      <c r="DF278">
        <f t="shared" ref="DF278:DF284" si="103">ROUND(ROUND(AE278*AI278,2)*CX278,2)</f>
        <v>2960.76</v>
      </c>
      <c r="DG278">
        <f t="shared" ref="DG278:DG289" si="104">ROUND(ROUND(AF278,2)*CX278,2)</f>
        <v>0</v>
      </c>
      <c r="DH278">
        <f t="shared" si="86"/>
        <v>0</v>
      </c>
      <c r="DI278">
        <f t="shared" si="88"/>
        <v>0</v>
      </c>
      <c r="DJ278">
        <f t="shared" ref="DJ278:DJ284" si="105">DF278</f>
        <v>2960.76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ROW(Source!A229)</f>
        <v>229</v>
      </c>
      <c r="B279">
        <v>57248837</v>
      </c>
      <c r="C279">
        <v>57250080</v>
      </c>
      <c r="D279">
        <v>54739696</v>
      </c>
      <c r="E279">
        <v>1</v>
      </c>
      <c r="F279">
        <v>1</v>
      </c>
      <c r="G279">
        <v>1081</v>
      </c>
      <c r="H279">
        <v>3</v>
      </c>
      <c r="I279" t="s">
        <v>350</v>
      </c>
      <c r="J279" t="s">
        <v>352</v>
      </c>
      <c r="K279" t="s">
        <v>363</v>
      </c>
      <c r="L279">
        <v>1355</v>
      </c>
      <c r="N279">
        <v>1010</v>
      </c>
      <c r="O279" t="s">
        <v>67</v>
      </c>
      <c r="P279" t="s">
        <v>67</v>
      </c>
      <c r="Q279">
        <v>100</v>
      </c>
      <c r="W279">
        <v>0</v>
      </c>
      <c r="X279">
        <v>1778873822</v>
      </c>
      <c r="Y279">
        <f t="shared" si="97"/>
        <v>4.1121495000000001</v>
      </c>
      <c r="AA279">
        <v>351.24</v>
      </c>
      <c r="AB279">
        <v>0</v>
      </c>
      <c r="AC279">
        <v>0</v>
      </c>
      <c r="AD279">
        <v>0</v>
      </c>
      <c r="AE279">
        <v>94.93</v>
      </c>
      <c r="AF279">
        <v>0</v>
      </c>
      <c r="AG279">
        <v>0</v>
      </c>
      <c r="AH279">
        <v>0</v>
      </c>
      <c r="AI279">
        <v>3.7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4.1121495000000001</v>
      </c>
      <c r="AU279" t="s">
        <v>119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ROUND(Y279*Source!I229,9)</f>
        <v>26.399999789999999</v>
      </c>
      <c r="CY279">
        <f t="shared" si="98"/>
        <v>351.24</v>
      </c>
      <c r="CZ279">
        <f t="shared" si="99"/>
        <v>94.93</v>
      </c>
      <c r="DA279">
        <f t="shared" si="100"/>
        <v>3.7</v>
      </c>
      <c r="DB279">
        <f t="shared" si="101"/>
        <v>390.37</v>
      </c>
      <c r="DC279">
        <f t="shared" si="102"/>
        <v>0</v>
      </c>
      <c r="DD279" t="s">
        <v>3</v>
      </c>
      <c r="DE279" t="s">
        <v>3</v>
      </c>
      <c r="DF279">
        <f t="shared" si="103"/>
        <v>9272.74</v>
      </c>
      <c r="DG279">
        <f t="shared" si="104"/>
        <v>0</v>
      </c>
      <c r="DH279">
        <f t="shared" si="86"/>
        <v>0</v>
      </c>
      <c r="DI279">
        <f t="shared" si="88"/>
        <v>0</v>
      </c>
      <c r="DJ279">
        <f t="shared" si="105"/>
        <v>9272.74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ROW(Source!A229)</f>
        <v>229</v>
      </c>
      <c r="B280">
        <v>57248837</v>
      </c>
      <c r="C280">
        <v>57250080</v>
      </c>
      <c r="D280">
        <v>54750967</v>
      </c>
      <c r="E280">
        <v>1</v>
      </c>
      <c r="F280">
        <v>1</v>
      </c>
      <c r="G280">
        <v>1081</v>
      </c>
      <c r="H280">
        <v>3</v>
      </c>
      <c r="I280" t="s">
        <v>339</v>
      </c>
      <c r="J280" t="s">
        <v>342</v>
      </c>
      <c r="K280" t="s">
        <v>340</v>
      </c>
      <c r="L280">
        <v>1301</v>
      </c>
      <c r="N280">
        <v>1003</v>
      </c>
      <c r="O280" t="s">
        <v>341</v>
      </c>
      <c r="P280" t="s">
        <v>341</v>
      </c>
      <c r="Q280">
        <v>1</v>
      </c>
      <c r="W280">
        <v>0</v>
      </c>
      <c r="X280">
        <v>1194371439</v>
      </c>
      <c r="Y280">
        <f t="shared" si="97"/>
        <v>102</v>
      </c>
      <c r="AA280">
        <v>13.08</v>
      </c>
      <c r="AB280">
        <v>0</v>
      </c>
      <c r="AC280">
        <v>0</v>
      </c>
      <c r="AD280">
        <v>0</v>
      </c>
      <c r="AE280">
        <v>3.45</v>
      </c>
      <c r="AF280">
        <v>0</v>
      </c>
      <c r="AG280">
        <v>0</v>
      </c>
      <c r="AH280">
        <v>0</v>
      </c>
      <c r="AI280">
        <v>3.79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102</v>
      </c>
      <c r="AU280" t="s">
        <v>119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ROUND(Y280*Source!I229,9)</f>
        <v>654.84</v>
      </c>
      <c r="CY280">
        <f t="shared" si="98"/>
        <v>13.08</v>
      </c>
      <c r="CZ280">
        <f t="shared" si="99"/>
        <v>3.45</v>
      </c>
      <c r="DA280">
        <f t="shared" si="100"/>
        <v>3.79</v>
      </c>
      <c r="DB280">
        <f t="shared" si="101"/>
        <v>351.9</v>
      </c>
      <c r="DC280">
        <f t="shared" si="102"/>
        <v>0</v>
      </c>
      <c r="DD280" t="s">
        <v>3</v>
      </c>
      <c r="DE280" t="s">
        <v>3</v>
      </c>
      <c r="DF280">
        <f t="shared" si="103"/>
        <v>8565.31</v>
      </c>
      <c r="DG280">
        <f t="shared" si="104"/>
        <v>0</v>
      </c>
      <c r="DH280">
        <f t="shared" si="86"/>
        <v>0</v>
      </c>
      <c r="DI280">
        <f t="shared" si="88"/>
        <v>0</v>
      </c>
      <c r="DJ280">
        <f t="shared" si="105"/>
        <v>8565.31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ROW(Source!A229)</f>
        <v>229</v>
      </c>
      <c r="B281">
        <v>57248837</v>
      </c>
      <c r="C281">
        <v>57250080</v>
      </c>
      <c r="D281">
        <v>54760333</v>
      </c>
      <c r="E281">
        <v>1</v>
      </c>
      <c r="F281">
        <v>1</v>
      </c>
      <c r="G281">
        <v>1081</v>
      </c>
      <c r="H281">
        <v>3</v>
      </c>
      <c r="I281" t="s">
        <v>543</v>
      </c>
      <c r="J281" t="s">
        <v>544</v>
      </c>
      <c r="K281" t="s">
        <v>545</v>
      </c>
      <c r="L281">
        <v>1356</v>
      </c>
      <c r="N281">
        <v>1010</v>
      </c>
      <c r="O281" t="s">
        <v>348</v>
      </c>
      <c r="P281" t="s">
        <v>348</v>
      </c>
      <c r="Q281">
        <v>1000</v>
      </c>
      <c r="W281">
        <v>0</v>
      </c>
      <c r="X281">
        <v>474149623</v>
      </c>
      <c r="Y281">
        <f t="shared" si="97"/>
        <v>3.1E-2</v>
      </c>
      <c r="AA281">
        <v>1527.69</v>
      </c>
      <c r="AB281">
        <v>0</v>
      </c>
      <c r="AC281">
        <v>0</v>
      </c>
      <c r="AD281">
        <v>0</v>
      </c>
      <c r="AE281">
        <v>226.66</v>
      </c>
      <c r="AF281">
        <v>0</v>
      </c>
      <c r="AG281">
        <v>0</v>
      </c>
      <c r="AH281">
        <v>0</v>
      </c>
      <c r="AI281">
        <v>6.74</v>
      </c>
      <c r="AJ281">
        <v>1</v>
      </c>
      <c r="AK281">
        <v>1</v>
      </c>
      <c r="AL281">
        <v>1</v>
      </c>
      <c r="AM281">
        <v>2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3.1E-2</v>
      </c>
      <c r="AU281" t="s">
        <v>119</v>
      </c>
      <c r="AV281">
        <v>0</v>
      </c>
      <c r="AW281">
        <v>2</v>
      </c>
      <c r="AX281">
        <v>57250101</v>
      </c>
      <c r="AY281">
        <v>1</v>
      </c>
      <c r="AZ281">
        <v>0</v>
      </c>
      <c r="BA281">
        <v>344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ROUND(Y281*Source!I229,9)</f>
        <v>0.19902</v>
      </c>
      <c r="CY281">
        <f t="shared" si="98"/>
        <v>1527.69</v>
      </c>
      <c r="CZ281">
        <f t="shared" si="99"/>
        <v>226.66</v>
      </c>
      <c r="DA281">
        <f t="shared" si="100"/>
        <v>6.74</v>
      </c>
      <c r="DB281">
        <f t="shared" si="101"/>
        <v>7.03</v>
      </c>
      <c r="DC281">
        <f t="shared" si="102"/>
        <v>0</v>
      </c>
      <c r="DD281" t="s">
        <v>3</v>
      </c>
      <c r="DE281" t="s">
        <v>3</v>
      </c>
      <c r="DF281">
        <f t="shared" si="103"/>
        <v>304.04000000000002</v>
      </c>
      <c r="DG281">
        <f t="shared" si="104"/>
        <v>0</v>
      </c>
      <c r="DH281">
        <f t="shared" si="86"/>
        <v>0</v>
      </c>
      <c r="DI281">
        <f t="shared" si="88"/>
        <v>0</v>
      </c>
      <c r="DJ281">
        <f t="shared" si="105"/>
        <v>304.04000000000002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ROW(Source!A229)</f>
        <v>229</v>
      </c>
      <c r="B282">
        <v>57248837</v>
      </c>
      <c r="C282">
        <v>57250080</v>
      </c>
      <c r="D282">
        <v>54760578</v>
      </c>
      <c r="E282">
        <v>1</v>
      </c>
      <c r="F282">
        <v>1</v>
      </c>
      <c r="G282">
        <v>1081</v>
      </c>
      <c r="H282">
        <v>3</v>
      </c>
      <c r="I282" t="s">
        <v>346</v>
      </c>
      <c r="J282" t="s">
        <v>349</v>
      </c>
      <c r="K282" t="s">
        <v>347</v>
      </c>
      <c r="L282">
        <v>1356</v>
      </c>
      <c r="N282">
        <v>1010</v>
      </c>
      <c r="O282" t="s">
        <v>348</v>
      </c>
      <c r="P282" t="s">
        <v>348</v>
      </c>
      <c r="Q282">
        <v>1000</v>
      </c>
      <c r="W282">
        <v>0</v>
      </c>
      <c r="X282">
        <v>1886730866</v>
      </c>
      <c r="Y282">
        <f t="shared" si="97"/>
        <v>0.3333333</v>
      </c>
      <c r="AA282">
        <v>1745</v>
      </c>
      <c r="AB282">
        <v>0</v>
      </c>
      <c r="AC282">
        <v>0</v>
      </c>
      <c r="AD282">
        <v>0</v>
      </c>
      <c r="AE282">
        <v>396.59</v>
      </c>
      <c r="AF282">
        <v>0</v>
      </c>
      <c r="AG282">
        <v>0</v>
      </c>
      <c r="AH282">
        <v>0</v>
      </c>
      <c r="AI282">
        <v>4.4000000000000004</v>
      </c>
      <c r="AJ282">
        <v>1</v>
      </c>
      <c r="AK282">
        <v>1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0</v>
      </c>
      <c r="AR282">
        <v>0</v>
      </c>
      <c r="AS282" t="s">
        <v>3</v>
      </c>
      <c r="AT282">
        <v>0.3333333</v>
      </c>
      <c r="AU282" t="s">
        <v>119</v>
      </c>
      <c r="AV282">
        <v>0</v>
      </c>
      <c r="AW282">
        <v>1</v>
      </c>
      <c r="AX282">
        <v>-1</v>
      </c>
      <c r="AY282">
        <v>0</v>
      </c>
      <c r="AZ282">
        <v>0</v>
      </c>
      <c r="BA282" t="s">
        <v>3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ROUND(Y282*Source!I229,9)</f>
        <v>2.1399997860000002</v>
      </c>
      <c r="CY282">
        <f t="shared" si="98"/>
        <v>1745</v>
      </c>
      <c r="CZ282">
        <f t="shared" si="99"/>
        <v>396.59</v>
      </c>
      <c r="DA282">
        <f t="shared" si="100"/>
        <v>4.4000000000000004</v>
      </c>
      <c r="DB282">
        <f t="shared" si="101"/>
        <v>132.19999999999999</v>
      </c>
      <c r="DC282">
        <f t="shared" si="102"/>
        <v>0</v>
      </c>
      <c r="DD282" t="s">
        <v>3</v>
      </c>
      <c r="DE282" t="s">
        <v>3</v>
      </c>
      <c r="DF282">
        <f t="shared" si="103"/>
        <v>3734.3</v>
      </c>
      <c r="DG282">
        <f t="shared" si="104"/>
        <v>0</v>
      </c>
      <c r="DH282">
        <f t="shared" si="86"/>
        <v>0</v>
      </c>
      <c r="DI282">
        <f t="shared" si="88"/>
        <v>0</v>
      </c>
      <c r="DJ282">
        <f t="shared" si="105"/>
        <v>3734.3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ROW(Source!A229)</f>
        <v>229</v>
      </c>
      <c r="B283">
        <v>57248837</v>
      </c>
      <c r="C283">
        <v>57250080</v>
      </c>
      <c r="D283">
        <v>54760107</v>
      </c>
      <c r="E283">
        <v>1</v>
      </c>
      <c r="F283">
        <v>1</v>
      </c>
      <c r="G283">
        <v>1081</v>
      </c>
      <c r="H283">
        <v>3</v>
      </c>
      <c r="I283" t="s">
        <v>546</v>
      </c>
      <c r="J283" t="s">
        <v>547</v>
      </c>
      <c r="K283" t="s">
        <v>548</v>
      </c>
      <c r="L283">
        <v>1355</v>
      </c>
      <c r="N283">
        <v>1010</v>
      </c>
      <c r="O283" t="s">
        <v>67</v>
      </c>
      <c r="P283" t="s">
        <v>67</v>
      </c>
      <c r="Q283">
        <v>100</v>
      </c>
      <c r="W283">
        <v>0</v>
      </c>
      <c r="X283">
        <v>1356827684</v>
      </c>
      <c r="Y283">
        <f t="shared" si="97"/>
        <v>0.315</v>
      </c>
      <c r="AA283">
        <v>105.5</v>
      </c>
      <c r="AB283">
        <v>0</v>
      </c>
      <c r="AC283">
        <v>0</v>
      </c>
      <c r="AD283">
        <v>0</v>
      </c>
      <c r="AE283">
        <v>26.71</v>
      </c>
      <c r="AF283">
        <v>0</v>
      </c>
      <c r="AG283">
        <v>0</v>
      </c>
      <c r="AH283">
        <v>0</v>
      </c>
      <c r="AI283">
        <v>3.95</v>
      </c>
      <c r="AJ283">
        <v>1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0.315</v>
      </c>
      <c r="AU283" t="s">
        <v>119</v>
      </c>
      <c r="AV283">
        <v>0</v>
      </c>
      <c r="AW283">
        <v>2</v>
      </c>
      <c r="AX283">
        <v>57250102</v>
      </c>
      <c r="AY283">
        <v>1</v>
      </c>
      <c r="AZ283">
        <v>0</v>
      </c>
      <c r="BA283">
        <v>345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v>0</v>
      </c>
      <c r="CX283">
        <f>ROUND(Y283*Source!I229,9)</f>
        <v>2.0223</v>
      </c>
      <c r="CY283">
        <f t="shared" si="98"/>
        <v>105.5</v>
      </c>
      <c r="CZ283">
        <f t="shared" si="99"/>
        <v>26.71</v>
      </c>
      <c r="DA283">
        <f t="shared" si="100"/>
        <v>3.95</v>
      </c>
      <c r="DB283">
        <f t="shared" si="101"/>
        <v>8.41</v>
      </c>
      <c r="DC283">
        <f t="shared" si="102"/>
        <v>0</v>
      </c>
      <c r="DD283" t="s">
        <v>3</v>
      </c>
      <c r="DE283" t="s">
        <v>3</v>
      </c>
      <c r="DF283">
        <f t="shared" si="103"/>
        <v>213.35</v>
      </c>
      <c r="DG283">
        <f t="shared" si="104"/>
        <v>0</v>
      </c>
      <c r="DH283">
        <f t="shared" si="86"/>
        <v>0</v>
      </c>
      <c r="DI283">
        <f t="shared" si="88"/>
        <v>0</v>
      </c>
      <c r="DJ283">
        <f t="shared" si="105"/>
        <v>213.35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ROW(Source!A229)</f>
        <v>229</v>
      </c>
      <c r="B284">
        <v>57248837</v>
      </c>
      <c r="C284">
        <v>57250080</v>
      </c>
      <c r="D284">
        <v>54747393</v>
      </c>
      <c r="E284">
        <v>1</v>
      </c>
      <c r="F284">
        <v>1</v>
      </c>
      <c r="G284">
        <v>1081</v>
      </c>
      <c r="H284">
        <v>3</v>
      </c>
      <c r="I284" t="s">
        <v>549</v>
      </c>
      <c r="J284" t="s">
        <v>550</v>
      </c>
      <c r="K284" t="s">
        <v>551</v>
      </c>
      <c r="L284">
        <v>1354</v>
      </c>
      <c r="N284">
        <v>1010</v>
      </c>
      <c r="O284" t="s">
        <v>228</v>
      </c>
      <c r="P284" t="s">
        <v>228</v>
      </c>
      <c r="Q284">
        <v>1</v>
      </c>
      <c r="W284">
        <v>0</v>
      </c>
      <c r="X284">
        <v>955560065</v>
      </c>
      <c r="Y284">
        <f t="shared" si="97"/>
        <v>0.28000000000000003</v>
      </c>
      <c r="AA284">
        <v>165.81</v>
      </c>
      <c r="AB284">
        <v>0</v>
      </c>
      <c r="AC284">
        <v>0</v>
      </c>
      <c r="AD284">
        <v>0</v>
      </c>
      <c r="AE284">
        <v>14.22</v>
      </c>
      <c r="AF284">
        <v>0</v>
      </c>
      <c r="AG284">
        <v>0</v>
      </c>
      <c r="AH284">
        <v>0</v>
      </c>
      <c r="AI284">
        <v>11.66</v>
      </c>
      <c r="AJ284">
        <v>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0.28000000000000003</v>
      </c>
      <c r="AU284" t="s">
        <v>119</v>
      </c>
      <c r="AV284">
        <v>0</v>
      </c>
      <c r="AW284">
        <v>2</v>
      </c>
      <c r="AX284">
        <v>57250103</v>
      </c>
      <c r="AY284">
        <v>1</v>
      </c>
      <c r="AZ284">
        <v>0</v>
      </c>
      <c r="BA284">
        <v>346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v>0</v>
      </c>
      <c r="CX284">
        <f>ROUND(Y284*Source!I229,9)</f>
        <v>1.7976000000000001</v>
      </c>
      <c r="CY284">
        <f t="shared" si="98"/>
        <v>165.81</v>
      </c>
      <c r="CZ284">
        <f t="shared" si="99"/>
        <v>14.22</v>
      </c>
      <c r="DA284">
        <f t="shared" si="100"/>
        <v>11.66</v>
      </c>
      <c r="DB284">
        <f t="shared" si="101"/>
        <v>3.98</v>
      </c>
      <c r="DC284">
        <f t="shared" si="102"/>
        <v>0</v>
      </c>
      <c r="DD284" t="s">
        <v>3</v>
      </c>
      <c r="DE284" t="s">
        <v>3</v>
      </c>
      <c r="DF284">
        <f t="shared" si="103"/>
        <v>298.06</v>
      </c>
      <c r="DG284">
        <f t="shared" si="104"/>
        <v>0</v>
      </c>
      <c r="DH284">
        <f t="shared" si="86"/>
        <v>0</v>
      </c>
      <c r="DI284">
        <f t="shared" si="88"/>
        <v>0</v>
      </c>
      <c r="DJ284">
        <f t="shared" si="105"/>
        <v>298.06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ROW(Source!A240)</f>
        <v>240</v>
      </c>
      <c r="B285">
        <v>57248835</v>
      </c>
      <c r="C285">
        <v>57250122</v>
      </c>
      <c r="D285">
        <v>54702434</v>
      </c>
      <c r="E285">
        <v>1081</v>
      </c>
      <c r="F285">
        <v>1</v>
      </c>
      <c r="G285">
        <v>1081</v>
      </c>
      <c r="H285">
        <v>1</v>
      </c>
      <c r="I285" t="s">
        <v>457</v>
      </c>
      <c r="J285" t="s">
        <v>3</v>
      </c>
      <c r="K285" t="s">
        <v>458</v>
      </c>
      <c r="L285">
        <v>1191</v>
      </c>
      <c r="N285">
        <v>1013</v>
      </c>
      <c r="O285" t="s">
        <v>459</v>
      </c>
      <c r="P285" t="s">
        <v>459</v>
      </c>
      <c r="Q285">
        <v>1</v>
      </c>
      <c r="W285">
        <v>0</v>
      </c>
      <c r="X285">
        <v>476480486</v>
      </c>
      <c r="Y285">
        <f>(AT285*1.2)</f>
        <v>83.16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</v>
      </c>
      <c r="AJ285">
        <v>1</v>
      </c>
      <c r="AK285">
        <v>1</v>
      </c>
      <c r="AL285">
        <v>1</v>
      </c>
      <c r="AM285">
        <v>-2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69.3</v>
      </c>
      <c r="AU285" t="s">
        <v>120</v>
      </c>
      <c r="AV285">
        <v>1</v>
      </c>
      <c r="AW285">
        <v>2</v>
      </c>
      <c r="AX285">
        <v>57250123</v>
      </c>
      <c r="AY285">
        <v>1</v>
      </c>
      <c r="AZ285">
        <v>0</v>
      </c>
      <c r="BA285">
        <v>351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U285">
        <f>ROUND(AT285*Source!I240*AH285*AL285,2)</f>
        <v>0</v>
      </c>
      <c r="CV285">
        <f>ROUND(Y285*Source!I240,9)</f>
        <v>27.442799999999998</v>
      </c>
      <c r="CW285">
        <v>0</v>
      </c>
      <c r="CX285">
        <f>ROUND(Y285*Source!I240,9)</f>
        <v>27.442799999999998</v>
      </c>
      <c r="CY285">
        <f>AD285</f>
        <v>0</v>
      </c>
      <c r="CZ285">
        <f>AH285</f>
        <v>0</v>
      </c>
      <c r="DA285">
        <f>AL285</f>
        <v>1</v>
      </c>
      <c r="DB285">
        <f>ROUND((ROUND(AT285*CZ285,2)*1.2),6)</f>
        <v>0</v>
      </c>
      <c r="DC285">
        <f>ROUND((ROUND(AT285*AG285,2)*1.2),6)</f>
        <v>0</v>
      </c>
      <c r="DD285" t="s">
        <v>3</v>
      </c>
      <c r="DE285" t="s">
        <v>3</v>
      </c>
      <c r="DF285">
        <f t="shared" ref="DF285:DF291" si="106">ROUND(ROUND(AE285,2)*CX285,2)</f>
        <v>0</v>
      </c>
      <c r="DG285">
        <f t="shared" si="104"/>
        <v>0</v>
      </c>
      <c r="DH285">
        <f t="shared" ref="DH285:DH316" si="107">ROUND(ROUND(AG285,2)*CX285,2)</f>
        <v>0</v>
      </c>
      <c r="DI285">
        <f t="shared" si="88"/>
        <v>0</v>
      </c>
      <c r="DJ285">
        <f>DI285</f>
        <v>0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ROW(Source!A240)</f>
        <v>240</v>
      </c>
      <c r="B286">
        <v>57248835</v>
      </c>
      <c r="C286">
        <v>57250122</v>
      </c>
      <c r="D286">
        <v>54768393</v>
      </c>
      <c r="E286">
        <v>1</v>
      </c>
      <c r="F286">
        <v>1</v>
      </c>
      <c r="G286">
        <v>1081</v>
      </c>
      <c r="H286">
        <v>2</v>
      </c>
      <c r="I286" t="s">
        <v>510</v>
      </c>
      <c r="J286" t="s">
        <v>511</v>
      </c>
      <c r="K286" t="s">
        <v>512</v>
      </c>
      <c r="L286">
        <v>1368</v>
      </c>
      <c r="N286">
        <v>1011</v>
      </c>
      <c r="O286" t="s">
        <v>463</v>
      </c>
      <c r="P286" t="s">
        <v>463</v>
      </c>
      <c r="Q286">
        <v>1</v>
      </c>
      <c r="W286">
        <v>0</v>
      </c>
      <c r="X286">
        <v>-1895752648</v>
      </c>
      <c r="Y286">
        <f>(AT286*1.2)</f>
        <v>2.5079999999999996</v>
      </c>
      <c r="AA286">
        <v>0</v>
      </c>
      <c r="AB286">
        <v>0.81</v>
      </c>
      <c r="AC286">
        <v>0</v>
      </c>
      <c r="AD286">
        <v>0</v>
      </c>
      <c r="AE286">
        <v>0</v>
      </c>
      <c r="AF286">
        <v>0.77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-2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2.09</v>
      </c>
      <c r="AU286" t="s">
        <v>120</v>
      </c>
      <c r="AV286">
        <v>0</v>
      </c>
      <c r="AW286">
        <v>2</v>
      </c>
      <c r="AX286">
        <v>57250124</v>
      </c>
      <c r="AY286">
        <v>1</v>
      </c>
      <c r="AZ286">
        <v>0</v>
      </c>
      <c r="BA286">
        <v>352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ROUND(Y286*Source!I240*DO286,9)</f>
        <v>0</v>
      </c>
      <c r="CX286">
        <f>ROUND(Y286*Source!I240,9)</f>
        <v>0.82764000000000004</v>
      </c>
      <c r="CY286">
        <f>AB286</f>
        <v>0.81</v>
      </c>
      <c r="CZ286">
        <f>AF286</f>
        <v>0.77</v>
      </c>
      <c r="DA286">
        <f>AJ286</f>
        <v>1</v>
      </c>
      <c r="DB286">
        <f>ROUND((ROUND(AT286*CZ286,2)*1.2),6)</f>
        <v>1.9319999999999999</v>
      </c>
      <c r="DC286">
        <f>ROUND((ROUND(AT286*AG286,2)*1.2),6)</f>
        <v>0</v>
      </c>
      <c r="DD286" t="s">
        <v>3</v>
      </c>
      <c r="DE286" t="s">
        <v>3</v>
      </c>
      <c r="DF286">
        <f t="shared" si="106"/>
        <v>0</v>
      </c>
      <c r="DG286">
        <f t="shared" si="104"/>
        <v>0.64</v>
      </c>
      <c r="DH286">
        <f t="shared" si="107"/>
        <v>0</v>
      </c>
      <c r="DI286">
        <f t="shared" si="88"/>
        <v>0</v>
      </c>
      <c r="DJ286">
        <f>DG286</f>
        <v>0.64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ROW(Source!A240)</f>
        <v>240</v>
      </c>
      <c r="B287">
        <v>57248835</v>
      </c>
      <c r="C287">
        <v>57250122</v>
      </c>
      <c r="D287">
        <v>54768426</v>
      </c>
      <c r="E287">
        <v>1</v>
      </c>
      <c r="F287">
        <v>1</v>
      </c>
      <c r="G287">
        <v>1081</v>
      </c>
      <c r="H287">
        <v>2</v>
      </c>
      <c r="I287" t="s">
        <v>485</v>
      </c>
      <c r="J287" t="s">
        <v>486</v>
      </c>
      <c r="K287" t="s">
        <v>487</v>
      </c>
      <c r="L287">
        <v>1368</v>
      </c>
      <c r="N287">
        <v>1011</v>
      </c>
      <c r="O287" t="s">
        <v>463</v>
      </c>
      <c r="P287" t="s">
        <v>463</v>
      </c>
      <c r="Q287">
        <v>1</v>
      </c>
      <c r="W287">
        <v>0</v>
      </c>
      <c r="X287">
        <v>-643591644</v>
      </c>
      <c r="Y287">
        <f>(AT287*1.2)</f>
        <v>11.364000000000001</v>
      </c>
      <c r="AA287">
        <v>0</v>
      </c>
      <c r="AB287">
        <v>0.49</v>
      </c>
      <c r="AC287">
        <v>0</v>
      </c>
      <c r="AD287">
        <v>0</v>
      </c>
      <c r="AE287">
        <v>0</v>
      </c>
      <c r="AF287">
        <v>0.47</v>
      </c>
      <c r="AG287">
        <v>0</v>
      </c>
      <c r="AH287">
        <v>0</v>
      </c>
      <c r="AI287">
        <v>1</v>
      </c>
      <c r="AJ287">
        <v>1</v>
      </c>
      <c r="AK287">
        <v>1</v>
      </c>
      <c r="AL287">
        <v>1</v>
      </c>
      <c r="AM287">
        <v>-2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9.4700000000000006</v>
      </c>
      <c r="AU287" t="s">
        <v>120</v>
      </c>
      <c r="AV287">
        <v>0</v>
      </c>
      <c r="AW287">
        <v>2</v>
      </c>
      <c r="AX287">
        <v>57250125</v>
      </c>
      <c r="AY287">
        <v>1</v>
      </c>
      <c r="AZ287">
        <v>0</v>
      </c>
      <c r="BA287">
        <v>353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ROUND(Y287*Source!I240*DO287,9)</f>
        <v>0</v>
      </c>
      <c r="CX287">
        <f>ROUND(Y287*Source!I240,9)</f>
        <v>3.7501199999999999</v>
      </c>
      <c r="CY287">
        <f>AB287</f>
        <v>0.49</v>
      </c>
      <c r="CZ287">
        <f>AF287</f>
        <v>0.47</v>
      </c>
      <c r="DA287">
        <f>AJ287</f>
        <v>1</v>
      </c>
      <c r="DB287">
        <f>ROUND((ROUND(AT287*CZ287,2)*1.2),6)</f>
        <v>5.34</v>
      </c>
      <c r="DC287">
        <f>ROUND((ROUND(AT287*AG287,2)*1.2),6)</f>
        <v>0</v>
      </c>
      <c r="DD287" t="s">
        <v>3</v>
      </c>
      <c r="DE287" t="s">
        <v>3</v>
      </c>
      <c r="DF287">
        <f t="shared" si="106"/>
        <v>0</v>
      </c>
      <c r="DG287">
        <f t="shared" si="104"/>
        <v>1.76</v>
      </c>
      <c r="DH287">
        <f t="shared" si="107"/>
        <v>0</v>
      </c>
      <c r="DI287">
        <f t="shared" si="88"/>
        <v>0</v>
      </c>
      <c r="DJ287">
        <f>DG287</f>
        <v>1.76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ROW(Source!A240)</f>
        <v>240</v>
      </c>
      <c r="B288">
        <v>57248835</v>
      </c>
      <c r="C288">
        <v>57250122</v>
      </c>
      <c r="D288">
        <v>54747393</v>
      </c>
      <c r="E288">
        <v>1</v>
      </c>
      <c r="F288">
        <v>1</v>
      </c>
      <c r="G288">
        <v>1081</v>
      </c>
      <c r="H288">
        <v>3</v>
      </c>
      <c r="I288" t="s">
        <v>549</v>
      </c>
      <c r="J288" t="s">
        <v>550</v>
      </c>
      <c r="K288" t="s">
        <v>551</v>
      </c>
      <c r="L288">
        <v>1354</v>
      </c>
      <c r="N288">
        <v>1010</v>
      </c>
      <c r="O288" t="s">
        <v>228</v>
      </c>
      <c r="P288" t="s">
        <v>228</v>
      </c>
      <c r="Q288">
        <v>1</v>
      </c>
      <c r="W288">
        <v>0</v>
      </c>
      <c r="X288">
        <v>955560065</v>
      </c>
      <c r="Y288">
        <f>(AT288*1)</f>
        <v>0.24</v>
      </c>
      <c r="AA288">
        <v>14.22</v>
      </c>
      <c r="AB288">
        <v>0</v>
      </c>
      <c r="AC288">
        <v>0</v>
      </c>
      <c r="AD288">
        <v>0</v>
      </c>
      <c r="AE288">
        <v>14.22</v>
      </c>
      <c r="AF288">
        <v>0</v>
      </c>
      <c r="AG288">
        <v>0</v>
      </c>
      <c r="AH288">
        <v>0</v>
      </c>
      <c r="AI288">
        <v>1</v>
      </c>
      <c r="AJ288">
        <v>1</v>
      </c>
      <c r="AK288">
        <v>1</v>
      </c>
      <c r="AL288">
        <v>1</v>
      </c>
      <c r="AM288">
        <v>-2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0.24</v>
      </c>
      <c r="AU288" t="s">
        <v>119</v>
      </c>
      <c r="AV288">
        <v>0</v>
      </c>
      <c r="AW288">
        <v>2</v>
      </c>
      <c r="AX288">
        <v>57250126</v>
      </c>
      <c r="AY288">
        <v>1</v>
      </c>
      <c r="AZ288">
        <v>0</v>
      </c>
      <c r="BA288">
        <v>354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ROUND(Y288*Source!I240,9)</f>
        <v>7.9200000000000007E-2</v>
      </c>
      <c r="CY288">
        <f>AA288</f>
        <v>14.22</v>
      </c>
      <c r="CZ288">
        <f>AE288</f>
        <v>14.22</v>
      </c>
      <c r="DA288">
        <f>AI288</f>
        <v>1</v>
      </c>
      <c r="DB288">
        <f>ROUND((ROUND(AT288*CZ288,2)*1),6)</f>
        <v>3.41</v>
      </c>
      <c r="DC288">
        <f>ROUND((ROUND(AT288*AG288,2)*1),6)</f>
        <v>0</v>
      </c>
      <c r="DD288" t="s">
        <v>3</v>
      </c>
      <c r="DE288" t="s">
        <v>3</v>
      </c>
      <c r="DF288">
        <f t="shared" si="106"/>
        <v>1.1299999999999999</v>
      </c>
      <c r="DG288">
        <f t="shared" si="104"/>
        <v>0</v>
      </c>
      <c r="DH288">
        <f t="shared" si="107"/>
        <v>0</v>
      </c>
      <c r="DI288">
        <f t="shared" si="88"/>
        <v>0</v>
      </c>
      <c r="DJ288">
        <f>DF288</f>
        <v>1.1299999999999999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ROW(Source!A241)</f>
        <v>241</v>
      </c>
      <c r="B289">
        <v>57248837</v>
      </c>
      <c r="C289">
        <v>57250122</v>
      </c>
      <c r="D289">
        <v>54702434</v>
      </c>
      <c r="E289">
        <v>1081</v>
      </c>
      <c r="F289">
        <v>1</v>
      </c>
      <c r="G289">
        <v>1081</v>
      </c>
      <c r="H289">
        <v>1</v>
      </c>
      <c r="I289" t="s">
        <v>457</v>
      </c>
      <c r="J289" t="s">
        <v>3</v>
      </c>
      <c r="K289" t="s">
        <v>458</v>
      </c>
      <c r="L289">
        <v>1191</v>
      </c>
      <c r="N289">
        <v>1013</v>
      </c>
      <c r="O289" t="s">
        <v>459</v>
      </c>
      <c r="P289" t="s">
        <v>459</v>
      </c>
      <c r="Q289">
        <v>1</v>
      </c>
      <c r="W289">
        <v>0</v>
      </c>
      <c r="X289">
        <v>476480486</v>
      </c>
      <c r="Y289">
        <f>(AT289*1.2)</f>
        <v>83.16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1</v>
      </c>
      <c r="AK289">
        <v>1</v>
      </c>
      <c r="AL289">
        <v>1</v>
      </c>
      <c r="AM289">
        <v>5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69.3</v>
      </c>
      <c r="AU289" t="s">
        <v>120</v>
      </c>
      <c r="AV289">
        <v>1</v>
      </c>
      <c r="AW289">
        <v>2</v>
      </c>
      <c r="AX289">
        <v>57250123</v>
      </c>
      <c r="AY289">
        <v>1</v>
      </c>
      <c r="AZ289">
        <v>0</v>
      </c>
      <c r="BA289">
        <v>357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U289">
        <f>ROUND(AT289*Source!I241*AH289*AL289,2)</f>
        <v>0</v>
      </c>
      <c r="CV289">
        <f>ROUND(Y289*Source!I241,9)</f>
        <v>27.442799999999998</v>
      </c>
      <c r="CW289">
        <v>0</v>
      </c>
      <c r="CX289">
        <f>ROUND(Y289*Source!I241,9)</f>
        <v>27.442799999999998</v>
      </c>
      <c r="CY289">
        <f>AD289</f>
        <v>0</v>
      </c>
      <c r="CZ289">
        <f>AH289</f>
        <v>0</v>
      </c>
      <c r="DA289">
        <f>AL289</f>
        <v>1</v>
      </c>
      <c r="DB289">
        <f>ROUND((ROUND(AT289*CZ289,2)*1.2),6)</f>
        <v>0</v>
      </c>
      <c r="DC289">
        <f>ROUND((ROUND(AT289*AG289,2)*1.2),6)</f>
        <v>0</v>
      </c>
      <c r="DD289" t="s">
        <v>3</v>
      </c>
      <c r="DE289" t="s">
        <v>3</v>
      </c>
      <c r="DF289">
        <f t="shared" si="106"/>
        <v>0</v>
      </c>
      <c r="DG289">
        <f t="shared" si="104"/>
        <v>0</v>
      </c>
      <c r="DH289">
        <f t="shared" si="107"/>
        <v>0</v>
      </c>
      <c r="DI289">
        <f t="shared" si="88"/>
        <v>0</v>
      </c>
      <c r="DJ289">
        <f>DI289</f>
        <v>0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ROW(Source!A241)</f>
        <v>241</v>
      </c>
      <c r="B290">
        <v>57248837</v>
      </c>
      <c r="C290">
        <v>57250122</v>
      </c>
      <c r="D290">
        <v>54768393</v>
      </c>
      <c r="E290">
        <v>1</v>
      </c>
      <c r="F290">
        <v>1</v>
      </c>
      <c r="G290">
        <v>1081</v>
      </c>
      <c r="H290">
        <v>2</v>
      </c>
      <c r="I290" t="s">
        <v>510</v>
      </c>
      <c r="J290" t="s">
        <v>511</v>
      </c>
      <c r="K290" t="s">
        <v>512</v>
      </c>
      <c r="L290">
        <v>1368</v>
      </c>
      <c r="N290">
        <v>1011</v>
      </c>
      <c r="O290" t="s">
        <v>463</v>
      </c>
      <c r="P290" t="s">
        <v>463</v>
      </c>
      <c r="Q290">
        <v>1</v>
      </c>
      <c r="W290">
        <v>0</v>
      </c>
      <c r="X290">
        <v>-1895752648</v>
      </c>
      <c r="Y290">
        <f>(AT290*1.2)</f>
        <v>2.5079999999999996</v>
      </c>
      <c r="AA290">
        <v>0</v>
      </c>
      <c r="AB290">
        <v>7.71</v>
      </c>
      <c r="AC290">
        <v>0</v>
      </c>
      <c r="AD290">
        <v>0</v>
      </c>
      <c r="AE290">
        <v>0</v>
      </c>
      <c r="AF290">
        <v>0.77</v>
      </c>
      <c r="AG290">
        <v>0</v>
      </c>
      <c r="AH290">
        <v>0</v>
      </c>
      <c r="AI290">
        <v>1</v>
      </c>
      <c r="AJ290">
        <v>9.56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2.09</v>
      </c>
      <c r="AU290" t="s">
        <v>120</v>
      </c>
      <c r="AV290">
        <v>0</v>
      </c>
      <c r="AW290">
        <v>2</v>
      </c>
      <c r="AX290">
        <v>57250124</v>
      </c>
      <c r="AY290">
        <v>1</v>
      </c>
      <c r="AZ290">
        <v>0</v>
      </c>
      <c r="BA290">
        <v>358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f>ROUND(Y290*Source!I241*DO290,9)</f>
        <v>0</v>
      </c>
      <c r="CX290">
        <f>ROUND(Y290*Source!I241,9)</f>
        <v>0.82764000000000004</v>
      </c>
      <c r="CY290">
        <f>AB290</f>
        <v>7.71</v>
      </c>
      <c r="CZ290">
        <f>AF290</f>
        <v>0.77</v>
      </c>
      <c r="DA290">
        <f>AJ290</f>
        <v>9.56</v>
      </c>
      <c r="DB290">
        <f>ROUND((ROUND(AT290*CZ290,2)*1.2),6)</f>
        <v>1.9319999999999999</v>
      </c>
      <c r="DC290">
        <f>ROUND((ROUND(AT290*AG290,2)*1.2),6)</f>
        <v>0</v>
      </c>
      <c r="DD290" t="s">
        <v>3</v>
      </c>
      <c r="DE290" t="s">
        <v>3</v>
      </c>
      <c r="DF290">
        <f t="shared" si="106"/>
        <v>0</v>
      </c>
      <c r="DG290">
        <f>ROUND(ROUND(AF290*AJ290,2)*CX290,2)</f>
        <v>6.09</v>
      </c>
      <c r="DH290">
        <f t="shared" si="107"/>
        <v>0</v>
      </c>
      <c r="DI290">
        <f t="shared" si="88"/>
        <v>0</v>
      </c>
      <c r="DJ290">
        <f>DG290</f>
        <v>6.09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ROW(Source!A241)</f>
        <v>241</v>
      </c>
      <c r="B291">
        <v>57248837</v>
      </c>
      <c r="C291">
        <v>57250122</v>
      </c>
      <c r="D291">
        <v>54768426</v>
      </c>
      <c r="E291">
        <v>1</v>
      </c>
      <c r="F291">
        <v>1</v>
      </c>
      <c r="G291">
        <v>1081</v>
      </c>
      <c r="H291">
        <v>2</v>
      </c>
      <c r="I291" t="s">
        <v>485</v>
      </c>
      <c r="J291" t="s">
        <v>486</v>
      </c>
      <c r="K291" t="s">
        <v>487</v>
      </c>
      <c r="L291">
        <v>1368</v>
      </c>
      <c r="N291">
        <v>1011</v>
      </c>
      <c r="O291" t="s">
        <v>463</v>
      </c>
      <c r="P291" t="s">
        <v>463</v>
      </c>
      <c r="Q291">
        <v>1</v>
      </c>
      <c r="W291">
        <v>0</v>
      </c>
      <c r="X291">
        <v>-643591644</v>
      </c>
      <c r="Y291">
        <f>(AT291*1.2)</f>
        <v>11.364000000000001</v>
      </c>
      <c r="AA291">
        <v>0</v>
      </c>
      <c r="AB291">
        <v>4.75</v>
      </c>
      <c r="AC291">
        <v>0</v>
      </c>
      <c r="AD291">
        <v>0</v>
      </c>
      <c r="AE291">
        <v>0</v>
      </c>
      <c r="AF291">
        <v>0.47</v>
      </c>
      <c r="AG291">
        <v>0</v>
      </c>
      <c r="AH291">
        <v>0</v>
      </c>
      <c r="AI291">
        <v>1</v>
      </c>
      <c r="AJ291">
        <v>9.66</v>
      </c>
      <c r="AK291">
        <v>1</v>
      </c>
      <c r="AL291">
        <v>1</v>
      </c>
      <c r="AM291">
        <v>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9.4700000000000006</v>
      </c>
      <c r="AU291" t="s">
        <v>120</v>
      </c>
      <c r="AV291">
        <v>0</v>
      </c>
      <c r="AW291">
        <v>2</v>
      </c>
      <c r="AX291">
        <v>57250125</v>
      </c>
      <c r="AY291">
        <v>1</v>
      </c>
      <c r="AZ291">
        <v>0</v>
      </c>
      <c r="BA291">
        <v>359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f>ROUND(Y291*Source!I241*DO291,9)</f>
        <v>0</v>
      </c>
      <c r="CX291">
        <f>ROUND(Y291*Source!I241,9)</f>
        <v>3.7501199999999999</v>
      </c>
      <c r="CY291">
        <f>AB291</f>
        <v>4.75</v>
      </c>
      <c r="CZ291">
        <f>AF291</f>
        <v>0.47</v>
      </c>
      <c r="DA291">
        <f>AJ291</f>
        <v>9.66</v>
      </c>
      <c r="DB291">
        <f>ROUND((ROUND(AT291*CZ291,2)*1.2),6)</f>
        <v>5.34</v>
      </c>
      <c r="DC291">
        <f>ROUND((ROUND(AT291*AG291,2)*1.2),6)</f>
        <v>0</v>
      </c>
      <c r="DD291" t="s">
        <v>3</v>
      </c>
      <c r="DE291" t="s">
        <v>3</v>
      </c>
      <c r="DF291">
        <f t="shared" si="106"/>
        <v>0</v>
      </c>
      <c r="DG291">
        <f>ROUND(ROUND(AF291*AJ291,2)*CX291,2)</f>
        <v>17.03</v>
      </c>
      <c r="DH291">
        <f t="shared" si="107"/>
        <v>0</v>
      </c>
      <c r="DI291">
        <f t="shared" si="88"/>
        <v>0</v>
      </c>
      <c r="DJ291">
        <f>DG291</f>
        <v>17.03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ROW(Source!A241)</f>
        <v>241</v>
      </c>
      <c r="B292">
        <v>57248837</v>
      </c>
      <c r="C292">
        <v>57250122</v>
      </c>
      <c r="D292">
        <v>54747393</v>
      </c>
      <c r="E292">
        <v>1</v>
      </c>
      <c r="F292">
        <v>1</v>
      </c>
      <c r="G292">
        <v>1081</v>
      </c>
      <c r="H292">
        <v>3</v>
      </c>
      <c r="I292" t="s">
        <v>549</v>
      </c>
      <c r="J292" t="s">
        <v>550</v>
      </c>
      <c r="K292" t="s">
        <v>551</v>
      </c>
      <c r="L292">
        <v>1354</v>
      </c>
      <c r="N292">
        <v>1010</v>
      </c>
      <c r="O292" t="s">
        <v>228</v>
      </c>
      <c r="P292" t="s">
        <v>228</v>
      </c>
      <c r="Q292">
        <v>1</v>
      </c>
      <c r="W292">
        <v>0</v>
      </c>
      <c r="X292">
        <v>955560065</v>
      </c>
      <c r="Y292">
        <f>(AT292*1)</f>
        <v>0.24</v>
      </c>
      <c r="AA292">
        <v>165.81</v>
      </c>
      <c r="AB292">
        <v>0</v>
      </c>
      <c r="AC292">
        <v>0</v>
      </c>
      <c r="AD292">
        <v>0</v>
      </c>
      <c r="AE292">
        <v>14.22</v>
      </c>
      <c r="AF292">
        <v>0</v>
      </c>
      <c r="AG292">
        <v>0</v>
      </c>
      <c r="AH292">
        <v>0</v>
      </c>
      <c r="AI292">
        <v>11.66</v>
      </c>
      <c r="AJ292">
        <v>1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0.24</v>
      </c>
      <c r="AU292" t="s">
        <v>119</v>
      </c>
      <c r="AV292">
        <v>0</v>
      </c>
      <c r="AW292">
        <v>2</v>
      </c>
      <c r="AX292">
        <v>57250126</v>
      </c>
      <c r="AY292">
        <v>1</v>
      </c>
      <c r="AZ292">
        <v>0</v>
      </c>
      <c r="BA292">
        <v>360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ROUND(Y292*Source!I241,9)</f>
        <v>7.9200000000000007E-2</v>
      </c>
      <c r="CY292">
        <f>AA292</f>
        <v>165.81</v>
      </c>
      <c r="CZ292">
        <f>AE292</f>
        <v>14.22</v>
      </c>
      <c r="DA292">
        <f>AI292</f>
        <v>11.66</v>
      </c>
      <c r="DB292">
        <f>ROUND((ROUND(AT292*CZ292,2)*1),6)</f>
        <v>3.41</v>
      </c>
      <c r="DC292">
        <f>ROUND((ROUND(AT292*AG292,2)*1),6)</f>
        <v>0</v>
      </c>
      <c r="DD292" t="s">
        <v>3</v>
      </c>
      <c r="DE292" t="s">
        <v>3</v>
      </c>
      <c r="DF292">
        <f>ROUND(ROUND(AE292*AI292,2)*CX292,2)</f>
        <v>13.13</v>
      </c>
      <c r="DG292">
        <f t="shared" ref="DG292:DG308" si="108">ROUND(ROUND(AF292,2)*CX292,2)</f>
        <v>0</v>
      </c>
      <c r="DH292">
        <f t="shared" si="107"/>
        <v>0</v>
      </c>
      <c r="DI292">
        <f t="shared" si="88"/>
        <v>0</v>
      </c>
      <c r="DJ292">
        <f>DF292</f>
        <v>13.13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ROW(Source!A244)</f>
        <v>244</v>
      </c>
      <c r="B293">
        <v>57248835</v>
      </c>
      <c r="C293">
        <v>57249448</v>
      </c>
      <c r="D293">
        <v>54702434</v>
      </c>
      <c r="E293">
        <v>1081</v>
      </c>
      <c r="F293">
        <v>1</v>
      </c>
      <c r="G293">
        <v>1081</v>
      </c>
      <c r="H293">
        <v>1</v>
      </c>
      <c r="I293" t="s">
        <v>457</v>
      </c>
      <c r="J293" t="s">
        <v>3</v>
      </c>
      <c r="K293" t="s">
        <v>458</v>
      </c>
      <c r="L293">
        <v>1191</v>
      </c>
      <c r="N293">
        <v>1013</v>
      </c>
      <c r="O293" t="s">
        <v>459</v>
      </c>
      <c r="P293" t="s">
        <v>459</v>
      </c>
      <c r="Q293">
        <v>1</v>
      </c>
      <c r="W293">
        <v>0</v>
      </c>
      <c r="X293">
        <v>476480486</v>
      </c>
      <c r="Y293">
        <f>(AT293*1.2)</f>
        <v>19.116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1</v>
      </c>
      <c r="AK293">
        <v>1</v>
      </c>
      <c r="AL293">
        <v>1</v>
      </c>
      <c r="AM293">
        <v>-2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15.93</v>
      </c>
      <c r="AU293" t="s">
        <v>120</v>
      </c>
      <c r="AV293">
        <v>1</v>
      </c>
      <c r="AW293">
        <v>2</v>
      </c>
      <c r="AX293">
        <v>57249452</v>
      </c>
      <c r="AY293">
        <v>1</v>
      </c>
      <c r="AZ293">
        <v>0</v>
      </c>
      <c r="BA293">
        <v>363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U293">
        <f>ROUND(AT293*Source!I244*AH293*AL293,2)</f>
        <v>0</v>
      </c>
      <c r="CV293">
        <f>ROUND(Y293*Source!I244,9)</f>
        <v>28.673999999999999</v>
      </c>
      <c r="CW293">
        <v>0</v>
      </c>
      <c r="CX293">
        <f>ROUND(Y293*Source!I244,9)</f>
        <v>28.673999999999999</v>
      </c>
      <c r="CY293">
        <f>AD293</f>
        <v>0</v>
      </c>
      <c r="CZ293">
        <f>AH293</f>
        <v>0</v>
      </c>
      <c r="DA293">
        <f>AL293</f>
        <v>1</v>
      </c>
      <c r="DB293">
        <f>ROUND((ROUND(AT293*CZ293,2)*1.2),6)</f>
        <v>0</v>
      </c>
      <c r="DC293">
        <f>ROUND((ROUND(AT293*AG293,2)*1.2),6)</f>
        <v>0</v>
      </c>
      <c r="DD293" t="s">
        <v>3</v>
      </c>
      <c r="DE293" t="s">
        <v>3</v>
      </c>
      <c r="DF293">
        <f>ROUND(ROUND(AE293,2)*CX293,2)</f>
        <v>0</v>
      </c>
      <c r="DG293">
        <f t="shared" si="108"/>
        <v>0</v>
      </c>
      <c r="DH293">
        <f t="shared" si="107"/>
        <v>0</v>
      </c>
      <c r="DI293">
        <f t="shared" si="88"/>
        <v>0</v>
      </c>
      <c r="DJ293">
        <f>DI293</f>
        <v>0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ROW(Source!A244)</f>
        <v>244</v>
      </c>
      <c r="B294">
        <v>57248835</v>
      </c>
      <c r="C294">
        <v>57249448</v>
      </c>
      <c r="D294">
        <v>54750968</v>
      </c>
      <c r="E294">
        <v>1</v>
      </c>
      <c r="F294">
        <v>1</v>
      </c>
      <c r="G294">
        <v>1081</v>
      </c>
      <c r="H294">
        <v>3</v>
      </c>
      <c r="I294" t="s">
        <v>379</v>
      </c>
      <c r="J294" t="s">
        <v>381</v>
      </c>
      <c r="K294" t="s">
        <v>380</v>
      </c>
      <c r="L294">
        <v>1301</v>
      </c>
      <c r="N294">
        <v>1003</v>
      </c>
      <c r="O294" t="s">
        <v>341</v>
      </c>
      <c r="P294" t="s">
        <v>341</v>
      </c>
      <c r="Q294">
        <v>1</v>
      </c>
      <c r="W294">
        <v>0</v>
      </c>
      <c r="X294">
        <v>-2061112428</v>
      </c>
      <c r="Y294">
        <f>(AT294*1)</f>
        <v>102</v>
      </c>
      <c r="AA294">
        <v>5.19</v>
      </c>
      <c r="AB294">
        <v>0</v>
      </c>
      <c r="AC294">
        <v>0</v>
      </c>
      <c r="AD294">
        <v>0</v>
      </c>
      <c r="AE294">
        <v>5.19</v>
      </c>
      <c r="AF294">
        <v>0</v>
      </c>
      <c r="AG294">
        <v>0</v>
      </c>
      <c r="AH294">
        <v>0</v>
      </c>
      <c r="AI294">
        <v>1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102</v>
      </c>
      <c r="AU294" t="s">
        <v>119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ROUND(Y294*Source!I244,9)</f>
        <v>153</v>
      </c>
      <c r="CY294">
        <f>AA294</f>
        <v>5.19</v>
      </c>
      <c r="CZ294">
        <f>AE294</f>
        <v>5.19</v>
      </c>
      <c r="DA294">
        <f>AI294</f>
        <v>1</v>
      </c>
      <c r="DB294">
        <f>ROUND((ROUND(AT294*CZ294,2)*1),6)</f>
        <v>529.38</v>
      </c>
      <c r="DC294">
        <f>ROUND((ROUND(AT294*AG294,2)*1),6)</f>
        <v>0</v>
      </c>
      <c r="DD294" t="s">
        <v>3</v>
      </c>
      <c r="DE294" t="s">
        <v>3</v>
      </c>
      <c r="DF294">
        <f>ROUND(ROUND(AE294,2)*CX294,2)</f>
        <v>794.07</v>
      </c>
      <c r="DG294">
        <f t="shared" si="108"/>
        <v>0</v>
      </c>
      <c r="DH294">
        <f t="shared" si="107"/>
        <v>0</v>
      </c>
      <c r="DI294">
        <f t="shared" si="88"/>
        <v>0</v>
      </c>
      <c r="DJ294">
        <f>DF294</f>
        <v>794.07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ROW(Source!A244)</f>
        <v>244</v>
      </c>
      <c r="B295">
        <v>57248835</v>
      </c>
      <c r="C295">
        <v>57249448</v>
      </c>
      <c r="D295">
        <v>54760579</v>
      </c>
      <c r="E295">
        <v>1</v>
      </c>
      <c r="F295">
        <v>1</v>
      </c>
      <c r="G295">
        <v>1081</v>
      </c>
      <c r="H295">
        <v>3</v>
      </c>
      <c r="I295" t="s">
        <v>382</v>
      </c>
      <c r="J295" t="s">
        <v>384</v>
      </c>
      <c r="K295" t="s">
        <v>383</v>
      </c>
      <c r="L295">
        <v>1356</v>
      </c>
      <c r="N295">
        <v>1010</v>
      </c>
      <c r="O295" t="s">
        <v>348</v>
      </c>
      <c r="P295" t="s">
        <v>348</v>
      </c>
      <c r="Q295">
        <v>1000</v>
      </c>
      <c r="W295">
        <v>0</v>
      </c>
      <c r="X295">
        <v>-1804137467</v>
      </c>
      <c r="Y295">
        <f>AT295</f>
        <v>0.33333299999999999</v>
      </c>
      <c r="AA295">
        <v>594.33000000000004</v>
      </c>
      <c r="AB295">
        <v>0</v>
      </c>
      <c r="AC295">
        <v>0</v>
      </c>
      <c r="AD295">
        <v>0</v>
      </c>
      <c r="AE295">
        <v>594.33000000000004</v>
      </c>
      <c r="AF295">
        <v>0</v>
      </c>
      <c r="AG295">
        <v>0</v>
      </c>
      <c r="AH295">
        <v>0</v>
      </c>
      <c r="AI295">
        <v>1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0.33333299999999999</v>
      </c>
      <c r="AU295" t="s">
        <v>3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ROUND(Y295*Source!I244,9)</f>
        <v>0.49999949999999999</v>
      </c>
      <c r="CY295">
        <f>AA295</f>
        <v>594.33000000000004</v>
      </c>
      <c r="CZ295">
        <f>AE295</f>
        <v>594.33000000000004</v>
      </c>
      <c r="DA295">
        <f>AI295</f>
        <v>1</v>
      </c>
      <c r="DB295">
        <f>ROUND(ROUND(AT295*CZ295,2),6)</f>
        <v>198.11</v>
      </c>
      <c r="DC295">
        <f>ROUND(ROUND(AT295*AG295,2),6)</f>
        <v>0</v>
      </c>
      <c r="DD295" t="s">
        <v>3</v>
      </c>
      <c r="DE295" t="s">
        <v>3</v>
      </c>
      <c r="DF295">
        <f>ROUND(ROUND(AE295,2)*CX295,2)</f>
        <v>297.16000000000003</v>
      </c>
      <c r="DG295">
        <f t="shared" si="108"/>
        <v>0</v>
      </c>
      <c r="DH295">
        <f t="shared" si="107"/>
        <v>0</v>
      </c>
      <c r="DI295">
        <f t="shared" si="88"/>
        <v>0</v>
      </c>
      <c r="DJ295">
        <f>DF295</f>
        <v>297.16000000000003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ROW(Source!A245)</f>
        <v>245</v>
      </c>
      <c r="B296">
        <v>57248837</v>
      </c>
      <c r="C296">
        <v>57249448</v>
      </c>
      <c r="D296">
        <v>54702434</v>
      </c>
      <c r="E296">
        <v>1081</v>
      </c>
      <c r="F296">
        <v>1</v>
      </c>
      <c r="G296">
        <v>1081</v>
      </c>
      <c r="H296">
        <v>1</v>
      </c>
      <c r="I296" t="s">
        <v>457</v>
      </c>
      <c r="J296" t="s">
        <v>3</v>
      </c>
      <c r="K296" t="s">
        <v>458</v>
      </c>
      <c r="L296">
        <v>1191</v>
      </c>
      <c r="N296">
        <v>1013</v>
      </c>
      <c r="O296" t="s">
        <v>459</v>
      </c>
      <c r="P296" t="s">
        <v>459</v>
      </c>
      <c r="Q296">
        <v>1</v>
      </c>
      <c r="W296">
        <v>0</v>
      </c>
      <c r="X296">
        <v>476480486</v>
      </c>
      <c r="Y296">
        <f>(AT296*1.2)</f>
        <v>19.116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1</v>
      </c>
      <c r="AK296">
        <v>1</v>
      </c>
      <c r="AL296">
        <v>1</v>
      </c>
      <c r="AM296">
        <v>5</v>
      </c>
      <c r="AN296">
        <v>0</v>
      </c>
      <c r="AO296">
        <v>1</v>
      </c>
      <c r="AP296">
        <v>1</v>
      </c>
      <c r="AQ296">
        <v>0</v>
      </c>
      <c r="AR296">
        <v>0</v>
      </c>
      <c r="AS296" t="s">
        <v>3</v>
      </c>
      <c r="AT296">
        <v>15.93</v>
      </c>
      <c r="AU296" t="s">
        <v>120</v>
      </c>
      <c r="AV296">
        <v>1</v>
      </c>
      <c r="AW296">
        <v>2</v>
      </c>
      <c r="AX296">
        <v>57249452</v>
      </c>
      <c r="AY296">
        <v>1</v>
      </c>
      <c r="AZ296">
        <v>0</v>
      </c>
      <c r="BA296">
        <v>367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U296">
        <f>ROUND(AT296*Source!I245*AH296*AL296,2)</f>
        <v>0</v>
      </c>
      <c r="CV296">
        <f>ROUND(Y296*Source!I245,9)</f>
        <v>28.673999999999999</v>
      </c>
      <c r="CW296">
        <v>0</v>
      </c>
      <c r="CX296">
        <f>ROUND(Y296*Source!I245,9)</f>
        <v>28.673999999999999</v>
      </c>
      <c r="CY296">
        <f>AD296</f>
        <v>0</v>
      </c>
      <c r="CZ296">
        <f>AH296</f>
        <v>0</v>
      </c>
      <c r="DA296">
        <f>AL296</f>
        <v>1</v>
      </c>
      <c r="DB296">
        <f>ROUND((ROUND(AT296*CZ296,2)*1.2),6)</f>
        <v>0</v>
      </c>
      <c r="DC296">
        <f>ROUND((ROUND(AT296*AG296,2)*1.2),6)</f>
        <v>0</v>
      </c>
      <c r="DD296" t="s">
        <v>3</v>
      </c>
      <c r="DE296" t="s">
        <v>3</v>
      </c>
      <c r="DF296">
        <f>ROUND(ROUND(AE296,2)*CX296,2)</f>
        <v>0</v>
      </c>
      <c r="DG296">
        <f t="shared" si="108"/>
        <v>0</v>
      </c>
      <c r="DH296">
        <f t="shared" si="107"/>
        <v>0</v>
      </c>
      <c r="DI296">
        <f t="shared" si="88"/>
        <v>0</v>
      </c>
      <c r="DJ296">
        <f>DI296</f>
        <v>0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ROW(Source!A245)</f>
        <v>245</v>
      </c>
      <c r="B297">
        <v>57248837</v>
      </c>
      <c r="C297">
        <v>57249448</v>
      </c>
      <c r="D297">
        <v>54750968</v>
      </c>
      <c r="E297">
        <v>1</v>
      </c>
      <c r="F297">
        <v>1</v>
      </c>
      <c r="G297">
        <v>1081</v>
      </c>
      <c r="H297">
        <v>3</v>
      </c>
      <c r="I297" t="s">
        <v>379</v>
      </c>
      <c r="J297" t="s">
        <v>381</v>
      </c>
      <c r="K297" t="s">
        <v>380</v>
      </c>
      <c r="L297">
        <v>1301</v>
      </c>
      <c r="N297">
        <v>1003</v>
      </c>
      <c r="O297" t="s">
        <v>341</v>
      </c>
      <c r="P297" t="s">
        <v>341</v>
      </c>
      <c r="Q297">
        <v>1</v>
      </c>
      <c r="W297">
        <v>0</v>
      </c>
      <c r="X297">
        <v>-2061112428</v>
      </c>
      <c r="Y297">
        <f>(AT297*1)</f>
        <v>102</v>
      </c>
      <c r="AA297">
        <v>19</v>
      </c>
      <c r="AB297">
        <v>0</v>
      </c>
      <c r="AC297">
        <v>0</v>
      </c>
      <c r="AD297">
        <v>0</v>
      </c>
      <c r="AE297">
        <v>5.19</v>
      </c>
      <c r="AF297">
        <v>0</v>
      </c>
      <c r="AG297">
        <v>0</v>
      </c>
      <c r="AH297">
        <v>0</v>
      </c>
      <c r="AI297">
        <v>3.66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102</v>
      </c>
      <c r="AU297" t="s">
        <v>119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ROUND(Y297*Source!I245,9)</f>
        <v>153</v>
      </c>
      <c r="CY297">
        <f>AA297</f>
        <v>19</v>
      </c>
      <c r="CZ297">
        <f>AE297</f>
        <v>5.19</v>
      </c>
      <c r="DA297">
        <f>AI297</f>
        <v>3.66</v>
      </c>
      <c r="DB297">
        <f>ROUND((ROUND(AT297*CZ297,2)*1),6)</f>
        <v>529.38</v>
      </c>
      <c r="DC297">
        <f>ROUND((ROUND(AT297*AG297,2)*1),6)</f>
        <v>0</v>
      </c>
      <c r="DD297" t="s">
        <v>3</v>
      </c>
      <c r="DE297" t="s">
        <v>3</v>
      </c>
      <c r="DF297">
        <f>ROUND(ROUND(AE297*AI297,2)*CX297,2)</f>
        <v>2907</v>
      </c>
      <c r="DG297">
        <f t="shared" si="108"/>
        <v>0</v>
      </c>
      <c r="DH297">
        <f t="shared" si="107"/>
        <v>0</v>
      </c>
      <c r="DI297">
        <f t="shared" si="88"/>
        <v>0</v>
      </c>
      <c r="DJ297">
        <f>DF297</f>
        <v>2907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ROW(Source!A245)</f>
        <v>245</v>
      </c>
      <c r="B298">
        <v>57248837</v>
      </c>
      <c r="C298">
        <v>57249448</v>
      </c>
      <c r="D298">
        <v>54760579</v>
      </c>
      <c r="E298">
        <v>1</v>
      </c>
      <c r="F298">
        <v>1</v>
      </c>
      <c r="G298">
        <v>1081</v>
      </c>
      <c r="H298">
        <v>3</v>
      </c>
      <c r="I298" t="s">
        <v>382</v>
      </c>
      <c r="J298" t="s">
        <v>384</v>
      </c>
      <c r="K298" t="s">
        <v>383</v>
      </c>
      <c r="L298">
        <v>1356</v>
      </c>
      <c r="N298">
        <v>1010</v>
      </c>
      <c r="O298" t="s">
        <v>348</v>
      </c>
      <c r="P298" t="s">
        <v>348</v>
      </c>
      <c r="Q298">
        <v>1000</v>
      </c>
      <c r="W298">
        <v>0</v>
      </c>
      <c r="X298">
        <v>-1804137467</v>
      </c>
      <c r="Y298">
        <f>AT298</f>
        <v>0.33333299999999999</v>
      </c>
      <c r="AA298">
        <v>1592.8</v>
      </c>
      <c r="AB298">
        <v>0</v>
      </c>
      <c r="AC298">
        <v>0</v>
      </c>
      <c r="AD298">
        <v>0</v>
      </c>
      <c r="AE298">
        <v>594.33000000000004</v>
      </c>
      <c r="AF298">
        <v>0</v>
      </c>
      <c r="AG298">
        <v>0</v>
      </c>
      <c r="AH298">
        <v>0</v>
      </c>
      <c r="AI298">
        <v>2.68</v>
      </c>
      <c r="AJ298">
        <v>1</v>
      </c>
      <c r="AK298">
        <v>1</v>
      </c>
      <c r="AL298">
        <v>1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0</v>
      </c>
      <c r="AS298" t="s">
        <v>3</v>
      </c>
      <c r="AT298">
        <v>0.33333299999999999</v>
      </c>
      <c r="AU298" t="s">
        <v>3</v>
      </c>
      <c r="AV298">
        <v>0</v>
      </c>
      <c r="AW298">
        <v>1</v>
      </c>
      <c r="AX298">
        <v>-1</v>
      </c>
      <c r="AY298">
        <v>0</v>
      </c>
      <c r="AZ298">
        <v>0</v>
      </c>
      <c r="BA298" t="s">
        <v>3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ROUND(Y298*Source!I245,9)</f>
        <v>0.49999949999999999</v>
      </c>
      <c r="CY298">
        <f>AA298</f>
        <v>1592.8</v>
      </c>
      <c r="CZ298">
        <f>AE298</f>
        <v>594.33000000000004</v>
      </c>
      <c r="DA298">
        <f>AI298</f>
        <v>2.68</v>
      </c>
      <c r="DB298">
        <f>ROUND(ROUND(AT298*CZ298,2),6)</f>
        <v>198.11</v>
      </c>
      <c r="DC298">
        <f>ROUND(ROUND(AT298*AG298,2),6)</f>
        <v>0</v>
      </c>
      <c r="DD298" t="s">
        <v>3</v>
      </c>
      <c r="DE298" t="s">
        <v>3</v>
      </c>
      <c r="DF298">
        <f>ROUND(ROUND(AE298*AI298,2)*CX298,2)</f>
        <v>796.4</v>
      </c>
      <c r="DG298">
        <f t="shared" si="108"/>
        <v>0</v>
      </c>
      <c r="DH298">
        <f t="shared" si="107"/>
        <v>0</v>
      </c>
      <c r="DI298">
        <f t="shared" si="88"/>
        <v>0</v>
      </c>
      <c r="DJ298">
        <f>DF298</f>
        <v>796.4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ROW(Source!A250)</f>
        <v>250</v>
      </c>
      <c r="B299">
        <v>57248835</v>
      </c>
      <c r="C299">
        <v>57250136</v>
      </c>
      <c r="D299">
        <v>54702434</v>
      </c>
      <c r="E299">
        <v>1081</v>
      </c>
      <c r="F299">
        <v>1</v>
      </c>
      <c r="G299">
        <v>1081</v>
      </c>
      <c r="H299">
        <v>1</v>
      </c>
      <c r="I299" t="s">
        <v>457</v>
      </c>
      <c r="J299" t="s">
        <v>3</v>
      </c>
      <c r="K299" t="s">
        <v>458</v>
      </c>
      <c r="L299">
        <v>1191</v>
      </c>
      <c r="N299">
        <v>1013</v>
      </c>
      <c r="O299" t="s">
        <v>459</v>
      </c>
      <c r="P299" t="s">
        <v>459</v>
      </c>
      <c r="Q299">
        <v>1</v>
      </c>
      <c r="W299">
        <v>0</v>
      </c>
      <c r="X299">
        <v>476480486</v>
      </c>
      <c r="Y299">
        <f>(AT299*1.2)</f>
        <v>29.712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24.76</v>
      </c>
      <c r="AU299" t="s">
        <v>120</v>
      </c>
      <c r="AV299">
        <v>1</v>
      </c>
      <c r="AW299">
        <v>2</v>
      </c>
      <c r="AX299">
        <v>57250137</v>
      </c>
      <c r="AY299">
        <v>1</v>
      </c>
      <c r="AZ299">
        <v>0</v>
      </c>
      <c r="BA299">
        <v>371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U299">
        <f>ROUND(AT299*Source!I250*AH299*AL299,2)</f>
        <v>0</v>
      </c>
      <c r="CV299">
        <f>ROUND(Y299*Source!I250,9)</f>
        <v>44.567999999999998</v>
      </c>
      <c r="CW299">
        <v>0</v>
      </c>
      <c r="CX299">
        <f>ROUND(Y299*Source!I250,9)</f>
        <v>44.567999999999998</v>
      </c>
      <c r="CY299">
        <f>AD299</f>
        <v>0</v>
      </c>
      <c r="CZ299">
        <f>AH299</f>
        <v>0</v>
      </c>
      <c r="DA299">
        <f>AL299</f>
        <v>1</v>
      </c>
      <c r="DB299">
        <f>ROUND((ROUND(AT299*CZ299,2)*1.2),6)</f>
        <v>0</v>
      </c>
      <c r="DC299">
        <f>ROUND((ROUND(AT299*AG299,2)*1.2),6)</f>
        <v>0</v>
      </c>
      <c r="DD299" t="s">
        <v>3</v>
      </c>
      <c r="DE299" t="s">
        <v>3</v>
      </c>
      <c r="DF299">
        <f t="shared" ref="DF299:DF310" si="109">ROUND(ROUND(AE299,2)*CX299,2)</f>
        <v>0</v>
      </c>
      <c r="DG299">
        <f t="shared" si="108"/>
        <v>0</v>
      </c>
      <c r="DH299">
        <f t="shared" si="107"/>
        <v>0</v>
      </c>
      <c r="DI299">
        <f t="shared" si="88"/>
        <v>0</v>
      </c>
      <c r="DJ299">
        <f>DI299</f>
        <v>0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ROW(Source!A250)</f>
        <v>250</v>
      </c>
      <c r="B300">
        <v>57248835</v>
      </c>
      <c r="C300">
        <v>57250136</v>
      </c>
      <c r="D300">
        <v>54768393</v>
      </c>
      <c r="E300">
        <v>1</v>
      </c>
      <c r="F300">
        <v>1</v>
      </c>
      <c r="G300">
        <v>1081</v>
      </c>
      <c r="H300">
        <v>2</v>
      </c>
      <c r="I300" t="s">
        <v>510</v>
      </c>
      <c r="J300" t="s">
        <v>511</v>
      </c>
      <c r="K300" t="s">
        <v>512</v>
      </c>
      <c r="L300">
        <v>1368</v>
      </c>
      <c r="N300">
        <v>1011</v>
      </c>
      <c r="O300" t="s">
        <v>463</v>
      </c>
      <c r="P300" t="s">
        <v>463</v>
      </c>
      <c r="Q300">
        <v>1</v>
      </c>
      <c r="W300">
        <v>0</v>
      </c>
      <c r="X300">
        <v>-1895752648</v>
      </c>
      <c r="Y300">
        <f>(AT300*1.2)</f>
        <v>2.9279999999999999</v>
      </c>
      <c r="AA300">
        <v>0</v>
      </c>
      <c r="AB300">
        <v>0.81</v>
      </c>
      <c r="AC300">
        <v>0</v>
      </c>
      <c r="AD300">
        <v>0</v>
      </c>
      <c r="AE300">
        <v>0</v>
      </c>
      <c r="AF300">
        <v>0.77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2.44</v>
      </c>
      <c r="AU300" t="s">
        <v>120</v>
      </c>
      <c r="AV300">
        <v>0</v>
      </c>
      <c r="AW300">
        <v>2</v>
      </c>
      <c r="AX300">
        <v>57250138</v>
      </c>
      <c r="AY300">
        <v>1</v>
      </c>
      <c r="AZ300">
        <v>0</v>
      </c>
      <c r="BA300">
        <v>372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ROUND(Y300*Source!I250*DO300,9)</f>
        <v>0</v>
      </c>
      <c r="CX300">
        <f>ROUND(Y300*Source!I250,9)</f>
        <v>4.3920000000000003</v>
      </c>
      <c r="CY300">
        <f>AB300</f>
        <v>0.81</v>
      </c>
      <c r="CZ300">
        <f>AF300</f>
        <v>0.77</v>
      </c>
      <c r="DA300">
        <f>AJ300</f>
        <v>1</v>
      </c>
      <c r="DB300">
        <f>ROUND((ROUND(AT300*CZ300,2)*1.2),6)</f>
        <v>2.2559999999999998</v>
      </c>
      <c r="DC300">
        <f>ROUND((ROUND(AT300*AG300,2)*1.2),6)</f>
        <v>0</v>
      </c>
      <c r="DD300" t="s">
        <v>3</v>
      </c>
      <c r="DE300" t="s">
        <v>3</v>
      </c>
      <c r="DF300">
        <f t="shared" si="109"/>
        <v>0</v>
      </c>
      <c r="DG300">
        <f t="shared" si="108"/>
        <v>3.38</v>
      </c>
      <c r="DH300">
        <f t="shared" si="107"/>
        <v>0</v>
      </c>
      <c r="DI300">
        <f t="shared" si="88"/>
        <v>0</v>
      </c>
      <c r="DJ300">
        <f>DG300</f>
        <v>3.38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ROW(Source!A250)</f>
        <v>250</v>
      </c>
      <c r="B301">
        <v>57248835</v>
      </c>
      <c r="C301">
        <v>57250136</v>
      </c>
      <c r="D301">
        <v>54768426</v>
      </c>
      <c r="E301">
        <v>1</v>
      </c>
      <c r="F301">
        <v>1</v>
      </c>
      <c r="G301">
        <v>1081</v>
      </c>
      <c r="H301">
        <v>2</v>
      </c>
      <c r="I301" t="s">
        <v>485</v>
      </c>
      <c r="J301" t="s">
        <v>486</v>
      </c>
      <c r="K301" t="s">
        <v>487</v>
      </c>
      <c r="L301">
        <v>1368</v>
      </c>
      <c r="N301">
        <v>1011</v>
      </c>
      <c r="O301" t="s">
        <v>463</v>
      </c>
      <c r="P301" t="s">
        <v>463</v>
      </c>
      <c r="Q301">
        <v>1</v>
      </c>
      <c r="W301">
        <v>0</v>
      </c>
      <c r="X301">
        <v>-643591644</v>
      </c>
      <c r="Y301">
        <f>(AT301*1.2)</f>
        <v>5.556</v>
      </c>
      <c r="AA301">
        <v>0</v>
      </c>
      <c r="AB301">
        <v>0.49</v>
      </c>
      <c r="AC301">
        <v>0</v>
      </c>
      <c r="AD301">
        <v>0</v>
      </c>
      <c r="AE301">
        <v>0</v>
      </c>
      <c r="AF301">
        <v>0.47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4.63</v>
      </c>
      <c r="AU301" t="s">
        <v>120</v>
      </c>
      <c r="AV301">
        <v>0</v>
      </c>
      <c r="AW301">
        <v>2</v>
      </c>
      <c r="AX301">
        <v>57250139</v>
      </c>
      <c r="AY301">
        <v>1</v>
      </c>
      <c r="AZ301">
        <v>0</v>
      </c>
      <c r="BA301">
        <v>373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ROUND(Y301*Source!I250*DO301,9)</f>
        <v>0</v>
      </c>
      <c r="CX301">
        <f>ROUND(Y301*Source!I250,9)</f>
        <v>8.3339999999999996</v>
      </c>
      <c r="CY301">
        <f>AB301</f>
        <v>0.49</v>
      </c>
      <c r="CZ301">
        <f>AF301</f>
        <v>0.47</v>
      </c>
      <c r="DA301">
        <f>AJ301</f>
        <v>1</v>
      </c>
      <c r="DB301">
        <f>ROUND((ROUND(AT301*CZ301,2)*1.2),6)</f>
        <v>2.6160000000000001</v>
      </c>
      <c r="DC301">
        <f>ROUND((ROUND(AT301*AG301,2)*1.2),6)</f>
        <v>0</v>
      </c>
      <c r="DD301" t="s">
        <v>3</v>
      </c>
      <c r="DE301" t="s">
        <v>3</v>
      </c>
      <c r="DF301">
        <f t="shared" si="109"/>
        <v>0</v>
      </c>
      <c r="DG301">
        <f t="shared" si="108"/>
        <v>3.92</v>
      </c>
      <c r="DH301">
        <f t="shared" si="107"/>
        <v>0</v>
      </c>
      <c r="DI301">
        <f t="shared" si="88"/>
        <v>0</v>
      </c>
      <c r="DJ301">
        <f>DG301</f>
        <v>3.92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ROW(Source!A250)</f>
        <v>250</v>
      </c>
      <c r="B302">
        <v>57248835</v>
      </c>
      <c r="C302">
        <v>57250136</v>
      </c>
      <c r="D302">
        <v>54750968</v>
      </c>
      <c r="E302">
        <v>1</v>
      </c>
      <c r="F302">
        <v>1</v>
      </c>
      <c r="G302">
        <v>1081</v>
      </c>
      <c r="H302">
        <v>3</v>
      </c>
      <c r="I302" t="s">
        <v>379</v>
      </c>
      <c r="J302" t="s">
        <v>381</v>
      </c>
      <c r="K302" t="s">
        <v>380</v>
      </c>
      <c r="L302">
        <v>1301</v>
      </c>
      <c r="N302">
        <v>1003</v>
      </c>
      <c r="O302" t="s">
        <v>341</v>
      </c>
      <c r="P302" t="s">
        <v>341</v>
      </c>
      <c r="Q302">
        <v>1</v>
      </c>
      <c r="W302">
        <v>0</v>
      </c>
      <c r="X302">
        <v>-2061112428</v>
      </c>
      <c r="Y302">
        <f>(AT302*1)</f>
        <v>102</v>
      </c>
      <c r="AA302">
        <v>5.19</v>
      </c>
      <c r="AB302">
        <v>0</v>
      </c>
      <c r="AC302">
        <v>0</v>
      </c>
      <c r="AD302">
        <v>0</v>
      </c>
      <c r="AE302">
        <v>5.19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102</v>
      </c>
      <c r="AU302" t="s">
        <v>119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ROUND(Y302*Source!I250,9)</f>
        <v>153</v>
      </c>
      <c r="CY302">
        <f t="shared" ref="CY302:CY307" si="110">AA302</f>
        <v>5.19</v>
      </c>
      <c r="CZ302">
        <f t="shared" ref="CZ302:CZ307" si="111">AE302</f>
        <v>5.19</v>
      </c>
      <c r="DA302">
        <f t="shared" ref="DA302:DA307" si="112">AI302</f>
        <v>1</v>
      </c>
      <c r="DB302">
        <f>ROUND((ROUND(AT302*CZ302,2)*1),6)</f>
        <v>529.38</v>
      </c>
      <c r="DC302">
        <f>ROUND((ROUND(AT302*AG302,2)*1),6)</f>
        <v>0</v>
      </c>
      <c r="DD302" t="s">
        <v>3</v>
      </c>
      <c r="DE302" t="s">
        <v>3</v>
      </c>
      <c r="DF302">
        <f t="shared" si="109"/>
        <v>794.07</v>
      </c>
      <c r="DG302">
        <f t="shared" si="108"/>
        <v>0</v>
      </c>
      <c r="DH302">
        <f t="shared" si="107"/>
        <v>0</v>
      </c>
      <c r="DI302">
        <f t="shared" si="88"/>
        <v>0</v>
      </c>
      <c r="DJ302">
        <f t="shared" ref="DJ302:DJ307" si="113">DF302</f>
        <v>794.07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ROW(Source!A250)</f>
        <v>250</v>
      </c>
      <c r="B303">
        <v>57248835</v>
      </c>
      <c r="C303">
        <v>57250136</v>
      </c>
      <c r="D303">
        <v>54760333</v>
      </c>
      <c r="E303">
        <v>1</v>
      </c>
      <c r="F303">
        <v>1</v>
      </c>
      <c r="G303">
        <v>1081</v>
      </c>
      <c r="H303">
        <v>3</v>
      </c>
      <c r="I303" t="s">
        <v>543</v>
      </c>
      <c r="J303" t="s">
        <v>544</v>
      </c>
      <c r="K303" t="s">
        <v>545</v>
      </c>
      <c r="L303">
        <v>1356</v>
      </c>
      <c r="N303">
        <v>1010</v>
      </c>
      <c r="O303" t="s">
        <v>348</v>
      </c>
      <c r="P303" t="s">
        <v>348</v>
      </c>
      <c r="Q303">
        <v>1000</v>
      </c>
      <c r="W303">
        <v>0</v>
      </c>
      <c r="X303">
        <v>474149623</v>
      </c>
      <c r="Y303">
        <f>(AT303*1)</f>
        <v>3.1E-2</v>
      </c>
      <c r="AA303">
        <v>226.66</v>
      </c>
      <c r="AB303">
        <v>0</v>
      </c>
      <c r="AC303">
        <v>0</v>
      </c>
      <c r="AD303">
        <v>0</v>
      </c>
      <c r="AE303">
        <v>226.66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3.1E-2</v>
      </c>
      <c r="AU303" t="s">
        <v>119</v>
      </c>
      <c r="AV303">
        <v>0</v>
      </c>
      <c r="AW303">
        <v>2</v>
      </c>
      <c r="AX303">
        <v>57250140</v>
      </c>
      <c r="AY303">
        <v>1</v>
      </c>
      <c r="AZ303">
        <v>0</v>
      </c>
      <c r="BA303">
        <v>374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ROUND(Y303*Source!I250,9)</f>
        <v>4.65E-2</v>
      </c>
      <c r="CY303">
        <f t="shared" si="110"/>
        <v>226.66</v>
      </c>
      <c r="CZ303">
        <f t="shared" si="111"/>
        <v>226.66</v>
      </c>
      <c r="DA303">
        <f t="shared" si="112"/>
        <v>1</v>
      </c>
      <c r="DB303">
        <f>ROUND((ROUND(AT303*CZ303,2)*1),6)</f>
        <v>7.03</v>
      </c>
      <c r="DC303">
        <f>ROUND((ROUND(AT303*AG303,2)*1),6)</f>
        <v>0</v>
      </c>
      <c r="DD303" t="s">
        <v>3</v>
      </c>
      <c r="DE303" t="s">
        <v>3</v>
      </c>
      <c r="DF303">
        <f t="shared" si="109"/>
        <v>10.54</v>
      </c>
      <c r="DG303">
        <f t="shared" si="108"/>
        <v>0</v>
      </c>
      <c r="DH303">
        <f t="shared" si="107"/>
        <v>0</v>
      </c>
      <c r="DI303">
        <f t="shared" si="88"/>
        <v>0</v>
      </c>
      <c r="DJ303">
        <f t="shared" si="113"/>
        <v>10.54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ROW(Source!A250)</f>
        <v>250</v>
      </c>
      <c r="B304">
        <v>57248835</v>
      </c>
      <c r="C304">
        <v>57250136</v>
      </c>
      <c r="D304">
        <v>54760579</v>
      </c>
      <c r="E304">
        <v>1</v>
      </c>
      <c r="F304">
        <v>1</v>
      </c>
      <c r="G304">
        <v>1081</v>
      </c>
      <c r="H304">
        <v>3</v>
      </c>
      <c r="I304" t="s">
        <v>382</v>
      </c>
      <c r="J304" t="s">
        <v>384</v>
      </c>
      <c r="K304" t="s">
        <v>383</v>
      </c>
      <c r="L304">
        <v>1356</v>
      </c>
      <c r="N304">
        <v>1010</v>
      </c>
      <c r="O304" t="s">
        <v>348</v>
      </c>
      <c r="P304" t="s">
        <v>348</v>
      </c>
      <c r="Q304">
        <v>1000</v>
      </c>
      <c r="W304">
        <v>0</v>
      </c>
      <c r="X304">
        <v>-1804137467</v>
      </c>
      <c r="Y304">
        <f>(AT304*1)</f>
        <v>0.33333299999999999</v>
      </c>
      <c r="AA304">
        <v>594.33000000000004</v>
      </c>
      <c r="AB304">
        <v>0</v>
      </c>
      <c r="AC304">
        <v>0</v>
      </c>
      <c r="AD304">
        <v>0</v>
      </c>
      <c r="AE304">
        <v>594.33000000000004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 t="s">
        <v>3</v>
      </c>
      <c r="AT304">
        <v>0.33333299999999999</v>
      </c>
      <c r="AU304" t="s">
        <v>119</v>
      </c>
      <c r="AV304">
        <v>0</v>
      </c>
      <c r="AW304">
        <v>1</v>
      </c>
      <c r="AX304">
        <v>-1</v>
      </c>
      <c r="AY304">
        <v>0</v>
      </c>
      <c r="AZ304">
        <v>0</v>
      </c>
      <c r="BA304" t="s">
        <v>3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ROUND(Y304*Source!I250,9)</f>
        <v>0.49999949999999999</v>
      </c>
      <c r="CY304">
        <f t="shared" si="110"/>
        <v>594.33000000000004</v>
      </c>
      <c r="CZ304">
        <f t="shared" si="111"/>
        <v>594.33000000000004</v>
      </c>
      <c r="DA304">
        <f t="shared" si="112"/>
        <v>1</v>
      </c>
      <c r="DB304">
        <f>ROUND((ROUND(AT304*CZ304,2)*1),6)</f>
        <v>198.11</v>
      </c>
      <c r="DC304">
        <f>ROUND((ROUND(AT304*AG304,2)*1),6)</f>
        <v>0</v>
      </c>
      <c r="DD304" t="s">
        <v>3</v>
      </c>
      <c r="DE304" t="s">
        <v>3</v>
      </c>
      <c r="DF304">
        <f t="shared" si="109"/>
        <v>297.16000000000003</v>
      </c>
      <c r="DG304">
        <f t="shared" si="108"/>
        <v>0</v>
      </c>
      <c r="DH304">
        <f t="shared" si="107"/>
        <v>0</v>
      </c>
      <c r="DI304">
        <f t="shared" si="88"/>
        <v>0</v>
      </c>
      <c r="DJ304">
        <f t="shared" si="113"/>
        <v>297.16000000000003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ROW(Source!A250)</f>
        <v>250</v>
      </c>
      <c r="B305">
        <v>57248835</v>
      </c>
      <c r="C305">
        <v>57250136</v>
      </c>
      <c r="D305">
        <v>54760107</v>
      </c>
      <c r="E305">
        <v>1</v>
      </c>
      <c r="F305">
        <v>1</v>
      </c>
      <c r="G305">
        <v>1081</v>
      </c>
      <c r="H305">
        <v>3</v>
      </c>
      <c r="I305" t="s">
        <v>546</v>
      </c>
      <c r="J305" t="s">
        <v>547</v>
      </c>
      <c r="K305" t="s">
        <v>548</v>
      </c>
      <c r="L305">
        <v>1355</v>
      </c>
      <c r="N305">
        <v>1010</v>
      </c>
      <c r="O305" t="s">
        <v>67</v>
      </c>
      <c r="P305" t="s">
        <v>67</v>
      </c>
      <c r="Q305">
        <v>100</v>
      </c>
      <c r="W305">
        <v>0</v>
      </c>
      <c r="X305">
        <v>1356827684</v>
      </c>
      <c r="Y305">
        <f>(AT305*1)</f>
        <v>0.315</v>
      </c>
      <c r="AA305">
        <v>26.71</v>
      </c>
      <c r="AB305">
        <v>0</v>
      </c>
      <c r="AC305">
        <v>0</v>
      </c>
      <c r="AD305">
        <v>0</v>
      </c>
      <c r="AE305">
        <v>26.71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0.315</v>
      </c>
      <c r="AU305" t="s">
        <v>119</v>
      </c>
      <c r="AV305">
        <v>0</v>
      </c>
      <c r="AW305">
        <v>2</v>
      </c>
      <c r="AX305">
        <v>57250141</v>
      </c>
      <c r="AY305">
        <v>1</v>
      </c>
      <c r="AZ305">
        <v>0</v>
      </c>
      <c r="BA305">
        <v>375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ROUND(Y305*Source!I250,9)</f>
        <v>0.47249999999999998</v>
      </c>
      <c r="CY305">
        <f t="shared" si="110"/>
        <v>26.71</v>
      </c>
      <c r="CZ305">
        <f t="shared" si="111"/>
        <v>26.71</v>
      </c>
      <c r="DA305">
        <f t="shared" si="112"/>
        <v>1</v>
      </c>
      <c r="DB305">
        <f>ROUND((ROUND(AT305*CZ305,2)*1),6)</f>
        <v>8.41</v>
      </c>
      <c r="DC305">
        <f>ROUND((ROUND(AT305*AG305,2)*1),6)</f>
        <v>0</v>
      </c>
      <c r="DD305" t="s">
        <v>3</v>
      </c>
      <c r="DE305" t="s">
        <v>3</v>
      </c>
      <c r="DF305">
        <f t="shared" si="109"/>
        <v>12.62</v>
      </c>
      <c r="DG305">
        <f t="shared" si="108"/>
        <v>0</v>
      </c>
      <c r="DH305">
        <f t="shared" si="107"/>
        <v>0</v>
      </c>
      <c r="DI305">
        <f t="shared" si="88"/>
        <v>0</v>
      </c>
      <c r="DJ305">
        <f t="shared" si="113"/>
        <v>12.62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ROW(Source!A250)</f>
        <v>250</v>
      </c>
      <c r="B306">
        <v>57248835</v>
      </c>
      <c r="C306">
        <v>57250136</v>
      </c>
      <c r="D306">
        <v>54765139</v>
      </c>
      <c r="E306">
        <v>1</v>
      </c>
      <c r="F306">
        <v>1</v>
      </c>
      <c r="G306">
        <v>1081</v>
      </c>
      <c r="H306">
        <v>3</v>
      </c>
      <c r="I306" t="s">
        <v>389</v>
      </c>
      <c r="J306" t="s">
        <v>391</v>
      </c>
      <c r="K306" t="s">
        <v>826</v>
      </c>
      <c r="L306">
        <v>1303</v>
      </c>
      <c r="N306">
        <v>1003</v>
      </c>
      <c r="O306" t="s">
        <v>390</v>
      </c>
      <c r="P306" t="s">
        <v>390</v>
      </c>
      <c r="Q306">
        <v>1000</v>
      </c>
      <c r="W306">
        <v>0</v>
      </c>
      <c r="X306">
        <v>-2093195521</v>
      </c>
      <c r="Y306">
        <f>AT306</f>
        <v>0.10199999999999999</v>
      </c>
      <c r="AA306">
        <v>19717.37</v>
      </c>
      <c r="AB306">
        <v>0</v>
      </c>
      <c r="AC306">
        <v>0</v>
      </c>
      <c r="AD306">
        <v>0</v>
      </c>
      <c r="AE306">
        <v>19717.37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 t="s">
        <v>3</v>
      </c>
      <c r="AT306">
        <v>0.10199999999999999</v>
      </c>
      <c r="AU306" t="s">
        <v>3</v>
      </c>
      <c r="AV306">
        <v>0</v>
      </c>
      <c r="AW306">
        <v>1</v>
      </c>
      <c r="AX306">
        <v>-1</v>
      </c>
      <c r="AY306">
        <v>0</v>
      </c>
      <c r="AZ306">
        <v>0</v>
      </c>
      <c r="BA306" t="s">
        <v>3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ROUND(Y306*Source!I250,9)</f>
        <v>0.153</v>
      </c>
      <c r="CY306">
        <f t="shared" si="110"/>
        <v>19717.37</v>
      </c>
      <c r="CZ306">
        <f t="shared" si="111"/>
        <v>19717.37</v>
      </c>
      <c r="DA306">
        <f t="shared" si="112"/>
        <v>1</v>
      </c>
      <c r="DB306">
        <f>ROUND(ROUND(AT306*CZ306,2),6)</f>
        <v>2011.17</v>
      </c>
      <c r="DC306">
        <f>ROUND(ROUND(AT306*AG306,2),6)</f>
        <v>0</v>
      </c>
      <c r="DD306" t="s">
        <v>3</v>
      </c>
      <c r="DE306" t="s">
        <v>3</v>
      </c>
      <c r="DF306">
        <f t="shared" si="109"/>
        <v>3016.76</v>
      </c>
      <c r="DG306">
        <f t="shared" si="108"/>
        <v>0</v>
      </c>
      <c r="DH306">
        <f t="shared" si="107"/>
        <v>0</v>
      </c>
      <c r="DI306">
        <f t="shared" si="88"/>
        <v>0</v>
      </c>
      <c r="DJ306">
        <f t="shared" si="113"/>
        <v>3016.76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ROW(Source!A250)</f>
        <v>250</v>
      </c>
      <c r="B307">
        <v>57248835</v>
      </c>
      <c r="C307">
        <v>57250136</v>
      </c>
      <c r="D307">
        <v>54747393</v>
      </c>
      <c r="E307">
        <v>1</v>
      </c>
      <c r="F307">
        <v>1</v>
      </c>
      <c r="G307">
        <v>1081</v>
      </c>
      <c r="H307">
        <v>3</v>
      </c>
      <c r="I307" t="s">
        <v>549</v>
      </c>
      <c r="J307" t="s">
        <v>550</v>
      </c>
      <c r="K307" t="s">
        <v>551</v>
      </c>
      <c r="L307">
        <v>1354</v>
      </c>
      <c r="N307">
        <v>1010</v>
      </c>
      <c r="O307" t="s">
        <v>228</v>
      </c>
      <c r="P307" t="s">
        <v>228</v>
      </c>
      <c r="Q307">
        <v>1</v>
      </c>
      <c r="W307">
        <v>0</v>
      </c>
      <c r="X307">
        <v>955560065</v>
      </c>
      <c r="Y307">
        <f>(AT307*1)</f>
        <v>0.28000000000000003</v>
      </c>
      <c r="AA307">
        <v>14.22</v>
      </c>
      <c r="AB307">
        <v>0</v>
      </c>
      <c r="AC307">
        <v>0</v>
      </c>
      <c r="AD307">
        <v>0</v>
      </c>
      <c r="AE307">
        <v>14.22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0.28000000000000003</v>
      </c>
      <c r="AU307" t="s">
        <v>119</v>
      </c>
      <c r="AV307">
        <v>0</v>
      </c>
      <c r="AW307">
        <v>2</v>
      </c>
      <c r="AX307">
        <v>57250142</v>
      </c>
      <c r="AY307">
        <v>1</v>
      </c>
      <c r="AZ307">
        <v>0</v>
      </c>
      <c r="BA307">
        <v>376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ROUND(Y307*Source!I250,9)</f>
        <v>0.42</v>
      </c>
      <c r="CY307">
        <f t="shared" si="110"/>
        <v>14.22</v>
      </c>
      <c r="CZ307">
        <f t="shared" si="111"/>
        <v>14.22</v>
      </c>
      <c r="DA307">
        <f t="shared" si="112"/>
        <v>1</v>
      </c>
      <c r="DB307">
        <f>ROUND((ROUND(AT307*CZ307,2)*1),6)</f>
        <v>3.98</v>
      </c>
      <c r="DC307">
        <f>ROUND((ROUND(AT307*AG307,2)*1),6)</f>
        <v>0</v>
      </c>
      <c r="DD307" t="s">
        <v>3</v>
      </c>
      <c r="DE307" t="s">
        <v>3</v>
      </c>
      <c r="DF307">
        <f t="shared" si="109"/>
        <v>5.97</v>
      </c>
      <c r="DG307">
        <f t="shared" si="108"/>
        <v>0</v>
      </c>
      <c r="DH307">
        <f t="shared" si="107"/>
        <v>0</v>
      </c>
      <c r="DI307">
        <f t="shared" si="88"/>
        <v>0</v>
      </c>
      <c r="DJ307">
        <f t="shared" si="113"/>
        <v>5.97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ROW(Source!A251)</f>
        <v>251</v>
      </c>
      <c r="B308">
        <v>57248837</v>
      </c>
      <c r="C308">
        <v>57250136</v>
      </c>
      <c r="D308">
        <v>54702434</v>
      </c>
      <c r="E308">
        <v>1081</v>
      </c>
      <c r="F308">
        <v>1</v>
      </c>
      <c r="G308">
        <v>1081</v>
      </c>
      <c r="H308">
        <v>1</v>
      </c>
      <c r="I308" t="s">
        <v>457</v>
      </c>
      <c r="J308" t="s">
        <v>3</v>
      </c>
      <c r="K308" t="s">
        <v>458</v>
      </c>
      <c r="L308">
        <v>1191</v>
      </c>
      <c r="N308">
        <v>1013</v>
      </c>
      <c r="O308" t="s">
        <v>459</v>
      </c>
      <c r="P308" t="s">
        <v>459</v>
      </c>
      <c r="Q308">
        <v>1</v>
      </c>
      <c r="W308">
        <v>0</v>
      </c>
      <c r="X308">
        <v>476480486</v>
      </c>
      <c r="Y308">
        <f>(AT308*1.2)</f>
        <v>29.712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5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24.76</v>
      </c>
      <c r="AU308" t="s">
        <v>120</v>
      </c>
      <c r="AV308">
        <v>1</v>
      </c>
      <c r="AW308">
        <v>2</v>
      </c>
      <c r="AX308">
        <v>57250137</v>
      </c>
      <c r="AY308">
        <v>1</v>
      </c>
      <c r="AZ308">
        <v>0</v>
      </c>
      <c r="BA308">
        <v>381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U308">
        <f>ROUND(AT308*Source!I251*AH308*AL308,2)</f>
        <v>0</v>
      </c>
      <c r="CV308">
        <f>ROUND(Y308*Source!I251,9)</f>
        <v>44.567999999999998</v>
      </c>
      <c r="CW308">
        <v>0</v>
      </c>
      <c r="CX308">
        <f>ROUND(Y308*Source!I251,9)</f>
        <v>44.567999999999998</v>
      </c>
      <c r="CY308">
        <f>AD308</f>
        <v>0</v>
      </c>
      <c r="CZ308">
        <f>AH308</f>
        <v>0</v>
      </c>
      <c r="DA308">
        <f>AL308</f>
        <v>1</v>
      </c>
      <c r="DB308">
        <f>ROUND((ROUND(AT308*CZ308,2)*1.2),6)</f>
        <v>0</v>
      </c>
      <c r="DC308">
        <f>ROUND((ROUND(AT308*AG308,2)*1.2),6)</f>
        <v>0</v>
      </c>
      <c r="DD308" t="s">
        <v>3</v>
      </c>
      <c r="DE308" t="s">
        <v>3</v>
      </c>
      <c r="DF308">
        <f t="shared" si="109"/>
        <v>0</v>
      </c>
      <c r="DG308">
        <f t="shared" si="108"/>
        <v>0</v>
      </c>
      <c r="DH308">
        <f t="shared" si="107"/>
        <v>0</v>
      </c>
      <c r="DI308">
        <f t="shared" si="88"/>
        <v>0</v>
      </c>
      <c r="DJ308">
        <f>DI308</f>
        <v>0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ROW(Source!A251)</f>
        <v>251</v>
      </c>
      <c r="B309">
        <v>57248837</v>
      </c>
      <c r="C309">
        <v>57250136</v>
      </c>
      <c r="D309">
        <v>54768393</v>
      </c>
      <c r="E309">
        <v>1</v>
      </c>
      <c r="F309">
        <v>1</v>
      </c>
      <c r="G309">
        <v>1081</v>
      </c>
      <c r="H309">
        <v>2</v>
      </c>
      <c r="I309" t="s">
        <v>510</v>
      </c>
      <c r="J309" t="s">
        <v>511</v>
      </c>
      <c r="K309" t="s">
        <v>512</v>
      </c>
      <c r="L309">
        <v>1368</v>
      </c>
      <c r="N309">
        <v>1011</v>
      </c>
      <c r="O309" t="s">
        <v>463</v>
      </c>
      <c r="P309" t="s">
        <v>463</v>
      </c>
      <c r="Q309">
        <v>1</v>
      </c>
      <c r="W309">
        <v>0</v>
      </c>
      <c r="X309">
        <v>-1895752648</v>
      </c>
      <c r="Y309">
        <f>(AT309*1.2)</f>
        <v>2.9279999999999999</v>
      </c>
      <c r="AA309">
        <v>0</v>
      </c>
      <c r="AB309">
        <v>7.71</v>
      </c>
      <c r="AC309">
        <v>0</v>
      </c>
      <c r="AD309">
        <v>0</v>
      </c>
      <c r="AE309">
        <v>0</v>
      </c>
      <c r="AF309">
        <v>0.77</v>
      </c>
      <c r="AG309">
        <v>0</v>
      </c>
      <c r="AH309">
        <v>0</v>
      </c>
      <c r="AI309">
        <v>1</v>
      </c>
      <c r="AJ309">
        <v>9.56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2.44</v>
      </c>
      <c r="AU309" t="s">
        <v>120</v>
      </c>
      <c r="AV309">
        <v>0</v>
      </c>
      <c r="AW309">
        <v>2</v>
      </c>
      <c r="AX309">
        <v>57250138</v>
      </c>
      <c r="AY309">
        <v>1</v>
      </c>
      <c r="AZ309">
        <v>0</v>
      </c>
      <c r="BA309">
        <v>382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f>ROUND(Y309*Source!I251*DO309,9)</f>
        <v>0</v>
      </c>
      <c r="CX309">
        <f>ROUND(Y309*Source!I251,9)</f>
        <v>4.3920000000000003</v>
      </c>
      <c r="CY309">
        <f>AB309</f>
        <v>7.71</v>
      </c>
      <c r="CZ309">
        <f>AF309</f>
        <v>0.77</v>
      </c>
      <c r="DA309">
        <f>AJ309</f>
        <v>9.56</v>
      </c>
      <c r="DB309">
        <f>ROUND((ROUND(AT309*CZ309,2)*1.2),6)</f>
        <v>2.2559999999999998</v>
      </c>
      <c r="DC309">
        <f>ROUND((ROUND(AT309*AG309,2)*1.2),6)</f>
        <v>0</v>
      </c>
      <c r="DD309" t="s">
        <v>3</v>
      </c>
      <c r="DE309" t="s">
        <v>3</v>
      </c>
      <c r="DF309">
        <f t="shared" si="109"/>
        <v>0</v>
      </c>
      <c r="DG309">
        <f>ROUND(ROUND(AF309*AJ309,2)*CX309,2)</f>
        <v>32.33</v>
      </c>
      <c r="DH309">
        <f t="shared" si="107"/>
        <v>0</v>
      </c>
      <c r="DI309">
        <f t="shared" si="88"/>
        <v>0</v>
      </c>
      <c r="DJ309">
        <f>DG309</f>
        <v>32.33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ROW(Source!A251)</f>
        <v>251</v>
      </c>
      <c r="B310">
        <v>57248837</v>
      </c>
      <c r="C310">
        <v>57250136</v>
      </c>
      <c r="D310">
        <v>54768426</v>
      </c>
      <c r="E310">
        <v>1</v>
      </c>
      <c r="F310">
        <v>1</v>
      </c>
      <c r="G310">
        <v>1081</v>
      </c>
      <c r="H310">
        <v>2</v>
      </c>
      <c r="I310" t="s">
        <v>485</v>
      </c>
      <c r="J310" t="s">
        <v>486</v>
      </c>
      <c r="K310" t="s">
        <v>487</v>
      </c>
      <c r="L310">
        <v>1368</v>
      </c>
      <c r="N310">
        <v>1011</v>
      </c>
      <c r="O310" t="s">
        <v>463</v>
      </c>
      <c r="P310" t="s">
        <v>463</v>
      </c>
      <c r="Q310">
        <v>1</v>
      </c>
      <c r="W310">
        <v>0</v>
      </c>
      <c r="X310">
        <v>-643591644</v>
      </c>
      <c r="Y310">
        <f>(AT310*1.2)</f>
        <v>5.556</v>
      </c>
      <c r="AA310">
        <v>0</v>
      </c>
      <c r="AB310">
        <v>4.75</v>
      </c>
      <c r="AC310">
        <v>0</v>
      </c>
      <c r="AD310">
        <v>0</v>
      </c>
      <c r="AE310">
        <v>0</v>
      </c>
      <c r="AF310">
        <v>0.47</v>
      </c>
      <c r="AG310">
        <v>0</v>
      </c>
      <c r="AH310">
        <v>0</v>
      </c>
      <c r="AI310">
        <v>1</v>
      </c>
      <c r="AJ310">
        <v>9.66</v>
      </c>
      <c r="AK310">
        <v>1</v>
      </c>
      <c r="AL310">
        <v>1</v>
      </c>
      <c r="AM310">
        <v>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4.63</v>
      </c>
      <c r="AU310" t="s">
        <v>120</v>
      </c>
      <c r="AV310">
        <v>0</v>
      </c>
      <c r="AW310">
        <v>2</v>
      </c>
      <c r="AX310">
        <v>57250139</v>
      </c>
      <c r="AY310">
        <v>1</v>
      </c>
      <c r="AZ310">
        <v>0</v>
      </c>
      <c r="BA310">
        <v>383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f>ROUND(Y310*Source!I251*DO310,9)</f>
        <v>0</v>
      </c>
      <c r="CX310">
        <f>ROUND(Y310*Source!I251,9)</f>
        <v>8.3339999999999996</v>
      </c>
      <c r="CY310">
        <f>AB310</f>
        <v>4.75</v>
      </c>
      <c r="CZ310">
        <f>AF310</f>
        <v>0.47</v>
      </c>
      <c r="DA310">
        <f>AJ310</f>
        <v>9.66</v>
      </c>
      <c r="DB310">
        <f>ROUND((ROUND(AT310*CZ310,2)*1.2),6)</f>
        <v>2.6160000000000001</v>
      </c>
      <c r="DC310">
        <f>ROUND((ROUND(AT310*AG310,2)*1.2),6)</f>
        <v>0</v>
      </c>
      <c r="DD310" t="s">
        <v>3</v>
      </c>
      <c r="DE310" t="s">
        <v>3</v>
      </c>
      <c r="DF310">
        <f t="shared" si="109"/>
        <v>0</v>
      </c>
      <c r="DG310">
        <f>ROUND(ROUND(AF310*AJ310,2)*CX310,2)</f>
        <v>37.840000000000003</v>
      </c>
      <c r="DH310">
        <f t="shared" si="107"/>
        <v>0</v>
      </c>
      <c r="DI310">
        <f t="shared" si="88"/>
        <v>0</v>
      </c>
      <c r="DJ310">
        <f>DG310</f>
        <v>37.840000000000003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ROW(Source!A251)</f>
        <v>251</v>
      </c>
      <c r="B311">
        <v>57248837</v>
      </c>
      <c r="C311">
        <v>57250136</v>
      </c>
      <c r="D311">
        <v>54750968</v>
      </c>
      <c r="E311">
        <v>1</v>
      </c>
      <c r="F311">
        <v>1</v>
      </c>
      <c r="G311">
        <v>1081</v>
      </c>
      <c r="H311">
        <v>3</v>
      </c>
      <c r="I311" t="s">
        <v>379</v>
      </c>
      <c r="J311" t="s">
        <v>381</v>
      </c>
      <c r="K311" t="s">
        <v>380</v>
      </c>
      <c r="L311">
        <v>1301</v>
      </c>
      <c r="N311">
        <v>1003</v>
      </c>
      <c r="O311" t="s">
        <v>341</v>
      </c>
      <c r="P311" t="s">
        <v>341</v>
      </c>
      <c r="Q311">
        <v>1</v>
      </c>
      <c r="W311">
        <v>0</v>
      </c>
      <c r="X311">
        <v>-2061112428</v>
      </c>
      <c r="Y311">
        <f>(AT311*1)</f>
        <v>102</v>
      </c>
      <c r="AA311">
        <v>19</v>
      </c>
      <c r="AB311">
        <v>0</v>
      </c>
      <c r="AC311">
        <v>0</v>
      </c>
      <c r="AD311">
        <v>0</v>
      </c>
      <c r="AE311">
        <v>5.19</v>
      </c>
      <c r="AF311">
        <v>0</v>
      </c>
      <c r="AG311">
        <v>0</v>
      </c>
      <c r="AH311">
        <v>0</v>
      </c>
      <c r="AI311">
        <v>3.66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102</v>
      </c>
      <c r="AU311" t="s">
        <v>119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ROUND(Y311*Source!I251,9)</f>
        <v>153</v>
      </c>
      <c r="CY311">
        <f t="shared" ref="CY311:CY316" si="114">AA311</f>
        <v>19</v>
      </c>
      <c r="CZ311">
        <f t="shared" ref="CZ311:CZ316" si="115">AE311</f>
        <v>5.19</v>
      </c>
      <c r="DA311">
        <f t="shared" ref="DA311:DA316" si="116">AI311</f>
        <v>3.66</v>
      </c>
      <c r="DB311">
        <f>ROUND((ROUND(AT311*CZ311,2)*1),6)</f>
        <v>529.38</v>
      </c>
      <c r="DC311">
        <f>ROUND((ROUND(AT311*AG311,2)*1),6)</f>
        <v>0</v>
      </c>
      <c r="DD311" t="s">
        <v>3</v>
      </c>
      <c r="DE311" t="s">
        <v>3</v>
      </c>
      <c r="DF311">
        <f t="shared" ref="DF311:DF316" si="117">ROUND(ROUND(AE311*AI311,2)*CX311,2)</f>
        <v>2907</v>
      </c>
      <c r="DG311">
        <f t="shared" ref="DG311:DG322" si="118">ROUND(ROUND(AF311,2)*CX311,2)</f>
        <v>0</v>
      </c>
      <c r="DH311">
        <f t="shared" si="107"/>
        <v>0</v>
      </c>
      <c r="DI311">
        <f t="shared" si="88"/>
        <v>0</v>
      </c>
      <c r="DJ311">
        <f t="shared" ref="DJ311:DJ316" si="119">DF311</f>
        <v>2907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ROW(Source!A251)</f>
        <v>251</v>
      </c>
      <c r="B312">
        <v>57248837</v>
      </c>
      <c r="C312">
        <v>57250136</v>
      </c>
      <c r="D312">
        <v>54760333</v>
      </c>
      <c r="E312">
        <v>1</v>
      </c>
      <c r="F312">
        <v>1</v>
      </c>
      <c r="G312">
        <v>1081</v>
      </c>
      <c r="H312">
        <v>3</v>
      </c>
      <c r="I312" t="s">
        <v>543</v>
      </c>
      <c r="J312" t="s">
        <v>544</v>
      </c>
      <c r="K312" t="s">
        <v>545</v>
      </c>
      <c r="L312">
        <v>1356</v>
      </c>
      <c r="N312">
        <v>1010</v>
      </c>
      <c r="O312" t="s">
        <v>348</v>
      </c>
      <c r="P312" t="s">
        <v>348</v>
      </c>
      <c r="Q312">
        <v>1000</v>
      </c>
      <c r="W312">
        <v>0</v>
      </c>
      <c r="X312">
        <v>474149623</v>
      </c>
      <c r="Y312">
        <f>(AT312*1)</f>
        <v>3.1E-2</v>
      </c>
      <c r="AA312">
        <v>1527.69</v>
      </c>
      <c r="AB312">
        <v>0</v>
      </c>
      <c r="AC312">
        <v>0</v>
      </c>
      <c r="AD312">
        <v>0</v>
      </c>
      <c r="AE312">
        <v>226.66</v>
      </c>
      <c r="AF312">
        <v>0</v>
      </c>
      <c r="AG312">
        <v>0</v>
      </c>
      <c r="AH312">
        <v>0</v>
      </c>
      <c r="AI312">
        <v>6.74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3.1E-2</v>
      </c>
      <c r="AU312" t="s">
        <v>119</v>
      </c>
      <c r="AV312">
        <v>0</v>
      </c>
      <c r="AW312">
        <v>2</v>
      </c>
      <c r="AX312">
        <v>57250140</v>
      </c>
      <c r="AY312">
        <v>1</v>
      </c>
      <c r="AZ312">
        <v>0</v>
      </c>
      <c r="BA312">
        <v>384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ROUND(Y312*Source!I251,9)</f>
        <v>4.65E-2</v>
      </c>
      <c r="CY312">
        <f t="shared" si="114"/>
        <v>1527.69</v>
      </c>
      <c r="CZ312">
        <f t="shared" si="115"/>
        <v>226.66</v>
      </c>
      <c r="DA312">
        <f t="shared" si="116"/>
        <v>6.74</v>
      </c>
      <c r="DB312">
        <f>ROUND((ROUND(AT312*CZ312,2)*1),6)</f>
        <v>7.03</v>
      </c>
      <c r="DC312">
        <f>ROUND((ROUND(AT312*AG312,2)*1),6)</f>
        <v>0</v>
      </c>
      <c r="DD312" t="s">
        <v>3</v>
      </c>
      <c r="DE312" t="s">
        <v>3</v>
      </c>
      <c r="DF312">
        <f t="shared" si="117"/>
        <v>71.040000000000006</v>
      </c>
      <c r="DG312">
        <f t="shared" si="118"/>
        <v>0</v>
      </c>
      <c r="DH312">
        <f t="shared" si="107"/>
        <v>0</v>
      </c>
      <c r="DI312">
        <f t="shared" si="88"/>
        <v>0</v>
      </c>
      <c r="DJ312">
        <f t="shared" si="119"/>
        <v>71.040000000000006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ROW(Source!A251)</f>
        <v>251</v>
      </c>
      <c r="B313">
        <v>57248837</v>
      </c>
      <c r="C313">
        <v>57250136</v>
      </c>
      <c r="D313">
        <v>54760579</v>
      </c>
      <c r="E313">
        <v>1</v>
      </c>
      <c r="F313">
        <v>1</v>
      </c>
      <c r="G313">
        <v>1081</v>
      </c>
      <c r="H313">
        <v>3</v>
      </c>
      <c r="I313" t="s">
        <v>382</v>
      </c>
      <c r="J313" t="s">
        <v>384</v>
      </c>
      <c r="K313" t="s">
        <v>383</v>
      </c>
      <c r="L313">
        <v>1356</v>
      </c>
      <c r="N313">
        <v>1010</v>
      </c>
      <c r="O313" t="s">
        <v>348</v>
      </c>
      <c r="P313" t="s">
        <v>348</v>
      </c>
      <c r="Q313">
        <v>1000</v>
      </c>
      <c r="W313">
        <v>0</v>
      </c>
      <c r="X313">
        <v>-1804137467</v>
      </c>
      <c r="Y313">
        <f>(AT313*1)</f>
        <v>0.33333299999999999</v>
      </c>
      <c r="AA313">
        <v>1592.8</v>
      </c>
      <c r="AB313">
        <v>0</v>
      </c>
      <c r="AC313">
        <v>0</v>
      </c>
      <c r="AD313">
        <v>0</v>
      </c>
      <c r="AE313">
        <v>594.33000000000004</v>
      </c>
      <c r="AF313">
        <v>0</v>
      </c>
      <c r="AG313">
        <v>0</v>
      </c>
      <c r="AH313">
        <v>0</v>
      </c>
      <c r="AI313">
        <v>2.68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0.33333299999999999</v>
      </c>
      <c r="AU313" t="s">
        <v>119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ROUND(Y313*Source!I251,9)</f>
        <v>0.49999949999999999</v>
      </c>
      <c r="CY313">
        <f t="shared" si="114"/>
        <v>1592.8</v>
      </c>
      <c r="CZ313">
        <f t="shared" si="115"/>
        <v>594.33000000000004</v>
      </c>
      <c r="DA313">
        <f t="shared" si="116"/>
        <v>2.68</v>
      </c>
      <c r="DB313">
        <f>ROUND((ROUND(AT313*CZ313,2)*1),6)</f>
        <v>198.11</v>
      </c>
      <c r="DC313">
        <f>ROUND((ROUND(AT313*AG313,2)*1),6)</f>
        <v>0</v>
      </c>
      <c r="DD313" t="s">
        <v>3</v>
      </c>
      <c r="DE313" t="s">
        <v>3</v>
      </c>
      <c r="DF313">
        <f t="shared" si="117"/>
        <v>796.4</v>
      </c>
      <c r="DG313">
        <f t="shared" si="118"/>
        <v>0</v>
      </c>
      <c r="DH313">
        <f t="shared" si="107"/>
        <v>0</v>
      </c>
      <c r="DI313">
        <f t="shared" si="88"/>
        <v>0</v>
      </c>
      <c r="DJ313">
        <f t="shared" si="119"/>
        <v>796.4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ROW(Source!A251)</f>
        <v>251</v>
      </c>
      <c r="B314">
        <v>57248837</v>
      </c>
      <c r="C314">
        <v>57250136</v>
      </c>
      <c r="D314">
        <v>54760107</v>
      </c>
      <c r="E314">
        <v>1</v>
      </c>
      <c r="F314">
        <v>1</v>
      </c>
      <c r="G314">
        <v>1081</v>
      </c>
      <c r="H314">
        <v>3</v>
      </c>
      <c r="I314" t="s">
        <v>546</v>
      </c>
      <c r="J314" t="s">
        <v>547</v>
      </c>
      <c r="K314" t="s">
        <v>548</v>
      </c>
      <c r="L314">
        <v>1355</v>
      </c>
      <c r="N314">
        <v>1010</v>
      </c>
      <c r="O314" t="s">
        <v>67</v>
      </c>
      <c r="P314" t="s">
        <v>67</v>
      </c>
      <c r="Q314">
        <v>100</v>
      </c>
      <c r="W314">
        <v>0</v>
      </c>
      <c r="X314">
        <v>1356827684</v>
      </c>
      <c r="Y314">
        <f>(AT314*1)</f>
        <v>0.315</v>
      </c>
      <c r="AA314">
        <v>105.5</v>
      </c>
      <c r="AB314">
        <v>0</v>
      </c>
      <c r="AC314">
        <v>0</v>
      </c>
      <c r="AD314">
        <v>0</v>
      </c>
      <c r="AE314">
        <v>26.71</v>
      </c>
      <c r="AF314">
        <v>0</v>
      </c>
      <c r="AG314">
        <v>0</v>
      </c>
      <c r="AH314">
        <v>0</v>
      </c>
      <c r="AI314">
        <v>3.95</v>
      </c>
      <c r="AJ314">
        <v>1</v>
      </c>
      <c r="AK314">
        <v>1</v>
      </c>
      <c r="AL314">
        <v>1</v>
      </c>
      <c r="AM314">
        <v>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0.315</v>
      </c>
      <c r="AU314" t="s">
        <v>119</v>
      </c>
      <c r="AV314">
        <v>0</v>
      </c>
      <c r="AW314">
        <v>2</v>
      </c>
      <c r="AX314">
        <v>57250141</v>
      </c>
      <c r="AY314">
        <v>1</v>
      </c>
      <c r="AZ314">
        <v>0</v>
      </c>
      <c r="BA314">
        <v>385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ROUND(Y314*Source!I251,9)</f>
        <v>0.47249999999999998</v>
      </c>
      <c r="CY314">
        <f t="shared" si="114"/>
        <v>105.5</v>
      </c>
      <c r="CZ314">
        <f t="shared" si="115"/>
        <v>26.71</v>
      </c>
      <c r="DA314">
        <f t="shared" si="116"/>
        <v>3.95</v>
      </c>
      <c r="DB314">
        <f>ROUND((ROUND(AT314*CZ314,2)*1),6)</f>
        <v>8.41</v>
      </c>
      <c r="DC314">
        <f>ROUND((ROUND(AT314*AG314,2)*1),6)</f>
        <v>0</v>
      </c>
      <c r="DD314" t="s">
        <v>3</v>
      </c>
      <c r="DE314" t="s">
        <v>3</v>
      </c>
      <c r="DF314">
        <f t="shared" si="117"/>
        <v>49.85</v>
      </c>
      <c r="DG314">
        <f t="shared" si="118"/>
        <v>0</v>
      </c>
      <c r="DH314">
        <f t="shared" si="107"/>
        <v>0</v>
      </c>
      <c r="DI314">
        <f t="shared" si="88"/>
        <v>0</v>
      </c>
      <c r="DJ314">
        <f t="shared" si="119"/>
        <v>49.85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ROW(Source!A251)</f>
        <v>251</v>
      </c>
      <c r="B315">
        <v>57248837</v>
      </c>
      <c r="C315">
        <v>57250136</v>
      </c>
      <c r="D315">
        <v>54765139</v>
      </c>
      <c r="E315">
        <v>1</v>
      </c>
      <c r="F315">
        <v>1</v>
      </c>
      <c r="G315">
        <v>1081</v>
      </c>
      <c r="H315">
        <v>3</v>
      </c>
      <c r="I315" t="s">
        <v>389</v>
      </c>
      <c r="J315" t="s">
        <v>391</v>
      </c>
      <c r="K315" t="s">
        <v>826</v>
      </c>
      <c r="L315">
        <v>1303</v>
      </c>
      <c r="N315">
        <v>1003</v>
      </c>
      <c r="O315" t="s">
        <v>390</v>
      </c>
      <c r="P315" t="s">
        <v>390</v>
      </c>
      <c r="Q315">
        <v>1000</v>
      </c>
      <c r="W315">
        <v>0</v>
      </c>
      <c r="X315">
        <v>-2093195521</v>
      </c>
      <c r="Y315">
        <f>AT315</f>
        <v>0.10199999999999999</v>
      </c>
      <c r="AA315">
        <v>64081.45</v>
      </c>
      <c r="AB315">
        <v>0</v>
      </c>
      <c r="AC315">
        <v>0</v>
      </c>
      <c r="AD315">
        <v>0</v>
      </c>
      <c r="AE315">
        <v>19717.37</v>
      </c>
      <c r="AF315">
        <v>0</v>
      </c>
      <c r="AG315">
        <v>0</v>
      </c>
      <c r="AH315">
        <v>0</v>
      </c>
      <c r="AI315">
        <v>3.25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0</v>
      </c>
      <c r="AP315">
        <v>1</v>
      </c>
      <c r="AQ315">
        <v>0</v>
      </c>
      <c r="AR315">
        <v>0</v>
      </c>
      <c r="AS315" t="s">
        <v>3</v>
      </c>
      <c r="AT315">
        <v>0.10199999999999999</v>
      </c>
      <c r="AU315" t="s">
        <v>3</v>
      </c>
      <c r="AV315">
        <v>0</v>
      </c>
      <c r="AW315">
        <v>1</v>
      </c>
      <c r="AX315">
        <v>-1</v>
      </c>
      <c r="AY315">
        <v>0</v>
      </c>
      <c r="AZ315">
        <v>0</v>
      </c>
      <c r="BA315" t="s">
        <v>3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v>0</v>
      </c>
      <c r="CX315">
        <f>ROUND(Y315*Source!I251,9)</f>
        <v>0.153</v>
      </c>
      <c r="CY315">
        <f t="shared" si="114"/>
        <v>64081.45</v>
      </c>
      <c r="CZ315">
        <f t="shared" si="115"/>
        <v>19717.37</v>
      </c>
      <c r="DA315">
        <f t="shared" si="116"/>
        <v>3.25</v>
      </c>
      <c r="DB315">
        <f>ROUND(ROUND(AT315*CZ315,2),6)</f>
        <v>2011.17</v>
      </c>
      <c r="DC315">
        <f>ROUND(ROUND(AT315*AG315,2),6)</f>
        <v>0</v>
      </c>
      <c r="DD315" t="s">
        <v>3</v>
      </c>
      <c r="DE315" t="s">
        <v>3</v>
      </c>
      <c r="DF315">
        <f t="shared" si="117"/>
        <v>9804.4599999999991</v>
      </c>
      <c r="DG315">
        <f t="shared" si="118"/>
        <v>0</v>
      </c>
      <c r="DH315">
        <f t="shared" si="107"/>
        <v>0</v>
      </c>
      <c r="DI315">
        <f t="shared" si="88"/>
        <v>0</v>
      </c>
      <c r="DJ315">
        <f t="shared" si="119"/>
        <v>9804.4599999999991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ROW(Source!A251)</f>
        <v>251</v>
      </c>
      <c r="B316">
        <v>57248837</v>
      </c>
      <c r="C316">
        <v>57250136</v>
      </c>
      <c r="D316">
        <v>54747393</v>
      </c>
      <c r="E316">
        <v>1</v>
      </c>
      <c r="F316">
        <v>1</v>
      </c>
      <c r="G316">
        <v>1081</v>
      </c>
      <c r="H316">
        <v>3</v>
      </c>
      <c r="I316" t="s">
        <v>549</v>
      </c>
      <c r="J316" t="s">
        <v>550</v>
      </c>
      <c r="K316" t="s">
        <v>551</v>
      </c>
      <c r="L316">
        <v>1354</v>
      </c>
      <c r="N316">
        <v>1010</v>
      </c>
      <c r="O316" t="s">
        <v>228</v>
      </c>
      <c r="P316" t="s">
        <v>228</v>
      </c>
      <c r="Q316">
        <v>1</v>
      </c>
      <c r="W316">
        <v>0</v>
      </c>
      <c r="X316">
        <v>955560065</v>
      </c>
      <c r="Y316">
        <f>(AT316*1)</f>
        <v>0.28000000000000003</v>
      </c>
      <c r="AA316">
        <v>165.81</v>
      </c>
      <c r="AB316">
        <v>0</v>
      </c>
      <c r="AC316">
        <v>0</v>
      </c>
      <c r="AD316">
        <v>0</v>
      </c>
      <c r="AE316">
        <v>14.22</v>
      </c>
      <c r="AF316">
        <v>0</v>
      </c>
      <c r="AG316">
        <v>0</v>
      </c>
      <c r="AH316">
        <v>0</v>
      </c>
      <c r="AI316">
        <v>11.66</v>
      </c>
      <c r="AJ316">
        <v>1</v>
      </c>
      <c r="AK316">
        <v>1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0.28000000000000003</v>
      </c>
      <c r="AU316" t="s">
        <v>119</v>
      </c>
      <c r="AV316">
        <v>0</v>
      </c>
      <c r="AW316">
        <v>2</v>
      </c>
      <c r="AX316">
        <v>57250142</v>
      </c>
      <c r="AY316">
        <v>1</v>
      </c>
      <c r="AZ316">
        <v>0</v>
      </c>
      <c r="BA316">
        <v>386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ROUND(Y316*Source!I251,9)</f>
        <v>0.42</v>
      </c>
      <c r="CY316">
        <f t="shared" si="114"/>
        <v>165.81</v>
      </c>
      <c r="CZ316">
        <f t="shared" si="115"/>
        <v>14.22</v>
      </c>
      <c r="DA316">
        <f t="shared" si="116"/>
        <v>11.66</v>
      </c>
      <c r="DB316">
        <f>ROUND((ROUND(AT316*CZ316,2)*1),6)</f>
        <v>3.98</v>
      </c>
      <c r="DC316">
        <f>ROUND((ROUND(AT316*AG316,2)*1),6)</f>
        <v>0</v>
      </c>
      <c r="DD316" t="s">
        <v>3</v>
      </c>
      <c r="DE316" t="s">
        <v>3</v>
      </c>
      <c r="DF316">
        <f t="shared" si="117"/>
        <v>69.64</v>
      </c>
      <c r="DG316">
        <f t="shared" si="118"/>
        <v>0</v>
      </c>
      <c r="DH316">
        <f t="shared" si="107"/>
        <v>0</v>
      </c>
      <c r="DI316">
        <f t="shared" si="88"/>
        <v>0</v>
      </c>
      <c r="DJ316">
        <f t="shared" si="119"/>
        <v>69.64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ROW(Source!A258)</f>
        <v>258</v>
      </c>
      <c r="B317">
        <v>57248835</v>
      </c>
      <c r="C317">
        <v>57251397</v>
      </c>
      <c r="D317">
        <v>54702434</v>
      </c>
      <c r="E317">
        <v>1081</v>
      </c>
      <c r="F317">
        <v>1</v>
      </c>
      <c r="G317">
        <v>1081</v>
      </c>
      <c r="H317">
        <v>1</v>
      </c>
      <c r="I317" t="s">
        <v>457</v>
      </c>
      <c r="J317" t="s">
        <v>3</v>
      </c>
      <c r="K317" t="s">
        <v>458</v>
      </c>
      <c r="L317">
        <v>1191</v>
      </c>
      <c r="N317">
        <v>1013</v>
      </c>
      <c r="O317" t="s">
        <v>459</v>
      </c>
      <c r="P317" t="s">
        <v>459</v>
      </c>
      <c r="Q317">
        <v>1</v>
      </c>
      <c r="W317">
        <v>0</v>
      </c>
      <c r="X317">
        <v>476480486</v>
      </c>
      <c r="Y317">
        <f>(AT317*1.2)</f>
        <v>6.3479999999999999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5.29</v>
      </c>
      <c r="AU317" t="s">
        <v>120</v>
      </c>
      <c r="AV317">
        <v>1</v>
      </c>
      <c r="AW317">
        <v>2</v>
      </c>
      <c r="AX317">
        <v>57251398</v>
      </c>
      <c r="AY317">
        <v>1</v>
      </c>
      <c r="AZ317">
        <v>0</v>
      </c>
      <c r="BA317">
        <v>391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U317">
        <f>ROUND(AT317*Source!I258*AH317*AL317,2)</f>
        <v>0</v>
      </c>
      <c r="CV317">
        <f>ROUND(Y317*Source!I258,9)</f>
        <v>0.25391999999999998</v>
      </c>
      <c r="CW317">
        <v>0</v>
      </c>
      <c r="CX317">
        <f>ROUND(Y317*Source!I258,9)</f>
        <v>0.25391999999999998</v>
      </c>
      <c r="CY317">
        <f>AD317</f>
        <v>0</v>
      </c>
      <c r="CZ317">
        <f>AH317</f>
        <v>0</v>
      </c>
      <c r="DA317">
        <f>AL317</f>
        <v>1</v>
      </c>
      <c r="DB317">
        <f>ROUND((ROUND(AT317*CZ317,2)*1.2),6)</f>
        <v>0</v>
      </c>
      <c r="DC317">
        <f>ROUND((ROUND(AT317*AG317,2)*1.2),6)</f>
        <v>0</v>
      </c>
      <c r="DD317" t="s">
        <v>3</v>
      </c>
      <c r="DE317" t="s">
        <v>3</v>
      </c>
      <c r="DF317">
        <f t="shared" ref="DF317:DF324" si="120">ROUND(ROUND(AE317,2)*CX317,2)</f>
        <v>0</v>
      </c>
      <c r="DG317">
        <f t="shared" si="118"/>
        <v>0</v>
      </c>
      <c r="DH317">
        <f t="shared" ref="DH317:DH322" si="121">ROUND(ROUND(AG317,2)*CX317,2)</f>
        <v>0</v>
      </c>
      <c r="DI317">
        <f t="shared" si="88"/>
        <v>0</v>
      </c>
      <c r="DJ317">
        <f>DI317</f>
        <v>0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ROW(Source!A258)</f>
        <v>258</v>
      </c>
      <c r="B318">
        <v>57248835</v>
      </c>
      <c r="C318">
        <v>57251397</v>
      </c>
      <c r="D318">
        <v>54768339</v>
      </c>
      <c r="E318">
        <v>1</v>
      </c>
      <c r="F318">
        <v>1</v>
      </c>
      <c r="G318">
        <v>1081</v>
      </c>
      <c r="H318">
        <v>2</v>
      </c>
      <c r="I318" t="s">
        <v>497</v>
      </c>
      <c r="J318" t="s">
        <v>498</v>
      </c>
      <c r="K318" t="s">
        <v>499</v>
      </c>
      <c r="L318">
        <v>1368</v>
      </c>
      <c r="N318">
        <v>1011</v>
      </c>
      <c r="O318" t="s">
        <v>463</v>
      </c>
      <c r="P318" t="s">
        <v>463</v>
      </c>
      <c r="Q318">
        <v>1</v>
      </c>
      <c r="W318">
        <v>0</v>
      </c>
      <c r="X318">
        <v>874612079</v>
      </c>
      <c r="Y318">
        <f>(AT318*1.2)</f>
        <v>1.2E-2</v>
      </c>
      <c r="AA318">
        <v>0</v>
      </c>
      <c r="AB318">
        <v>87.01</v>
      </c>
      <c r="AC318">
        <v>13.21</v>
      </c>
      <c r="AD318">
        <v>0</v>
      </c>
      <c r="AE318">
        <v>0</v>
      </c>
      <c r="AF318">
        <v>83.1</v>
      </c>
      <c r="AG318">
        <v>12.62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-2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0.01</v>
      </c>
      <c r="AU318" t="s">
        <v>120</v>
      </c>
      <c r="AV318">
        <v>0</v>
      </c>
      <c r="AW318">
        <v>2</v>
      </c>
      <c r="AX318">
        <v>57251399</v>
      </c>
      <c r="AY318">
        <v>1</v>
      </c>
      <c r="AZ318">
        <v>0</v>
      </c>
      <c r="BA318">
        <v>392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ROUND(Y318*Source!I258*DO318,9)</f>
        <v>6.0575999999999998E-3</v>
      </c>
      <c r="CX318">
        <f>ROUND(Y318*Source!I258,9)</f>
        <v>4.8000000000000001E-4</v>
      </c>
      <c r="CY318">
        <f>AB318</f>
        <v>87.01</v>
      </c>
      <c r="CZ318">
        <f>AF318</f>
        <v>83.1</v>
      </c>
      <c r="DA318">
        <f>AJ318</f>
        <v>1</v>
      </c>
      <c r="DB318">
        <f>ROUND((ROUND(AT318*CZ318,2)*1.2),6)</f>
        <v>0.996</v>
      </c>
      <c r="DC318">
        <f>ROUND((ROUND(AT318*AG318,2)*1.2),6)</f>
        <v>0.156</v>
      </c>
      <c r="DD318" t="s">
        <v>3</v>
      </c>
      <c r="DE318" t="s">
        <v>3</v>
      </c>
      <c r="DF318">
        <f t="shared" si="120"/>
        <v>0</v>
      </c>
      <c r="DG318">
        <f t="shared" si="118"/>
        <v>0.04</v>
      </c>
      <c r="DH318">
        <f t="shared" si="121"/>
        <v>0.01</v>
      </c>
      <c r="DI318">
        <f t="shared" si="88"/>
        <v>0</v>
      </c>
      <c r="DJ318">
        <f>DG318</f>
        <v>0.04</v>
      </c>
      <c r="DK318">
        <v>0</v>
      </c>
      <c r="DL318" t="s">
        <v>500</v>
      </c>
      <c r="DM318">
        <v>0</v>
      </c>
      <c r="DN318" t="s">
        <v>459</v>
      </c>
      <c r="DO318">
        <v>12.62</v>
      </c>
    </row>
    <row r="319" spans="1:119" x14ac:dyDescent="0.2">
      <c r="A319">
        <f>ROW(Source!A258)</f>
        <v>258</v>
      </c>
      <c r="B319">
        <v>57248835</v>
      </c>
      <c r="C319">
        <v>57251397</v>
      </c>
      <c r="D319">
        <v>54767573</v>
      </c>
      <c r="E319">
        <v>1</v>
      </c>
      <c r="F319">
        <v>1</v>
      </c>
      <c r="G319">
        <v>1081</v>
      </c>
      <c r="H319">
        <v>2</v>
      </c>
      <c r="I319" t="s">
        <v>555</v>
      </c>
      <c r="J319" t="s">
        <v>556</v>
      </c>
      <c r="K319" t="s">
        <v>557</v>
      </c>
      <c r="L319">
        <v>1368</v>
      </c>
      <c r="N319">
        <v>1011</v>
      </c>
      <c r="O319" t="s">
        <v>463</v>
      </c>
      <c r="P319" t="s">
        <v>463</v>
      </c>
      <c r="Q319">
        <v>1</v>
      </c>
      <c r="W319">
        <v>0</v>
      </c>
      <c r="X319">
        <v>-44940208</v>
      </c>
      <c r="Y319">
        <f>(AT319*1.2)</f>
        <v>1.2E-2</v>
      </c>
      <c r="AA319">
        <v>0</v>
      </c>
      <c r="AB319">
        <v>187.59</v>
      </c>
      <c r="AC319">
        <v>17.73</v>
      </c>
      <c r="AD319">
        <v>0</v>
      </c>
      <c r="AE319">
        <v>0</v>
      </c>
      <c r="AF319">
        <v>179.17</v>
      </c>
      <c r="AG319">
        <v>16.93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-2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0.01</v>
      </c>
      <c r="AU319" t="s">
        <v>120</v>
      </c>
      <c r="AV319">
        <v>0</v>
      </c>
      <c r="AW319">
        <v>2</v>
      </c>
      <c r="AX319">
        <v>57251400</v>
      </c>
      <c r="AY319">
        <v>1</v>
      </c>
      <c r="AZ319">
        <v>0</v>
      </c>
      <c r="BA319">
        <v>393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ROUND(Y319*Source!I258*DO319,9)</f>
        <v>8.1264000000000006E-3</v>
      </c>
      <c r="CX319">
        <f>ROUND(Y319*Source!I258,9)</f>
        <v>4.8000000000000001E-4</v>
      </c>
      <c r="CY319">
        <f>AB319</f>
        <v>187.59</v>
      </c>
      <c r="CZ319">
        <f>AF319</f>
        <v>179.17</v>
      </c>
      <c r="DA319">
        <f>AJ319</f>
        <v>1</v>
      </c>
      <c r="DB319">
        <f>ROUND((ROUND(AT319*CZ319,2)*1.2),6)</f>
        <v>2.1480000000000001</v>
      </c>
      <c r="DC319">
        <f>ROUND((ROUND(AT319*AG319,2)*1.2),6)</f>
        <v>0.20399999999999999</v>
      </c>
      <c r="DD319" t="s">
        <v>3</v>
      </c>
      <c r="DE319" t="s">
        <v>3</v>
      </c>
      <c r="DF319">
        <f t="shared" si="120"/>
        <v>0</v>
      </c>
      <c r="DG319">
        <f t="shared" si="118"/>
        <v>0.09</v>
      </c>
      <c r="DH319">
        <f t="shared" si="121"/>
        <v>0.01</v>
      </c>
      <c r="DI319">
        <f t="shared" si="88"/>
        <v>0</v>
      </c>
      <c r="DJ319">
        <f>DG319</f>
        <v>0.09</v>
      </c>
      <c r="DK319">
        <v>0</v>
      </c>
      <c r="DL319" t="s">
        <v>500</v>
      </c>
      <c r="DM319">
        <v>0</v>
      </c>
      <c r="DN319" t="s">
        <v>459</v>
      </c>
      <c r="DO319">
        <v>16.93</v>
      </c>
    </row>
    <row r="320" spans="1:119" x14ac:dyDescent="0.2">
      <c r="A320">
        <f>ROW(Source!A258)</f>
        <v>258</v>
      </c>
      <c r="B320">
        <v>57248835</v>
      </c>
      <c r="C320">
        <v>57251397</v>
      </c>
      <c r="D320">
        <v>54760289</v>
      </c>
      <c r="E320">
        <v>1</v>
      </c>
      <c r="F320">
        <v>1</v>
      </c>
      <c r="G320">
        <v>1081</v>
      </c>
      <c r="H320">
        <v>3</v>
      </c>
      <c r="I320" t="s">
        <v>558</v>
      </c>
      <c r="J320" t="s">
        <v>559</v>
      </c>
      <c r="K320" t="s">
        <v>560</v>
      </c>
      <c r="L320">
        <v>1355</v>
      </c>
      <c r="N320">
        <v>1010</v>
      </c>
      <c r="O320" t="s">
        <v>67</v>
      </c>
      <c r="P320" t="s">
        <v>67</v>
      </c>
      <c r="Q320">
        <v>100</v>
      </c>
      <c r="W320">
        <v>0</v>
      </c>
      <c r="X320">
        <v>1662905328</v>
      </c>
      <c r="Y320">
        <f>(AT320*1)</f>
        <v>2.1093999999999999</v>
      </c>
      <c r="AA320">
        <v>59.47</v>
      </c>
      <c r="AB320">
        <v>0</v>
      </c>
      <c r="AC320">
        <v>0</v>
      </c>
      <c r="AD320">
        <v>0</v>
      </c>
      <c r="AE320">
        <v>59.47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-2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2.1093999999999999</v>
      </c>
      <c r="AU320" t="s">
        <v>119</v>
      </c>
      <c r="AV320">
        <v>0</v>
      </c>
      <c r="AW320">
        <v>2</v>
      </c>
      <c r="AX320">
        <v>57251401</v>
      </c>
      <c r="AY320">
        <v>1</v>
      </c>
      <c r="AZ320">
        <v>0</v>
      </c>
      <c r="BA320">
        <v>394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ROUND(Y320*Source!I258,9)</f>
        <v>8.4376000000000007E-2</v>
      </c>
      <c r="CY320">
        <f>AA320</f>
        <v>59.47</v>
      </c>
      <c r="CZ320">
        <f>AE320</f>
        <v>59.47</v>
      </c>
      <c r="DA320">
        <f>AI320</f>
        <v>1</v>
      </c>
      <c r="DB320">
        <f>ROUND((ROUND(AT320*CZ320,2)*1),6)</f>
        <v>125.45</v>
      </c>
      <c r="DC320">
        <f>ROUND((ROUND(AT320*AG320,2)*1),6)</f>
        <v>0</v>
      </c>
      <c r="DD320" t="s">
        <v>3</v>
      </c>
      <c r="DE320" t="s">
        <v>3</v>
      </c>
      <c r="DF320">
        <f t="shared" si="120"/>
        <v>5.0199999999999996</v>
      </c>
      <c r="DG320">
        <f t="shared" si="118"/>
        <v>0</v>
      </c>
      <c r="DH320">
        <f t="shared" si="121"/>
        <v>0</v>
      </c>
      <c r="DI320">
        <f t="shared" si="88"/>
        <v>0</v>
      </c>
      <c r="DJ320">
        <f>DF320</f>
        <v>5.0199999999999996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ROW(Source!A258)</f>
        <v>258</v>
      </c>
      <c r="B321">
        <v>57248835</v>
      </c>
      <c r="C321">
        <v>57251397</v>
      </c>
      <c r="D321">
        <v>54760334</v>
      </c>
      <c r="E321">
        <v>1</v>
      </c>
      <c r="F321">
        <v>1</v>
      </c>
      <c r="G321">
        <v>1081</v>
      </c>
      <c r="H321">
        <v>3</v>
      </c>
      <c r="I321" t="s">
        <v>561</v>
      </c>
      <c r="J321" t="s">
        <v>562</v>
      </c>
      <c r="K321" t="s">
        <v>563</v>
      </c>
      <c r="L321">
        <v>1356</v>
      </c>
      <c r="N321">
        <v>1010</v>
      </c>
      <c r="O321" t="s">
        <v>348</v>
      </c>
      <c r="P321" t="s">
        <v>348</v>
      </c>
      <c r="Q321">
        <v>1000</v>
      </c>
      <c r="W321">
        <v>0</v>
      </c>
      <c r="X321">
        <v>-2085281200</v>
      </c>
      <c r="Y321">
        <f>(AT321*1)</f>
        <v>6.8999999999999999E-3</v>
      </c>
      <c r="AA321">
        <v>56.16</v>
      </c>
      <c r="AB321">
        <v>0</v>
      </c>
      <c r="AC321">
        <v>0</v>
      </c>
      <c r="AD321">
        <v>0</v>
      </c>
      <c r="AE321">
        <v>56.16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6.8999999999999999E-3</v>
      </c>
      <c r="AU321" t="s">
        <v>119</v>
      </c>
      <c r="AV321">
        <v>0</v>
      </c>
      <c r="AW321">
        <v>2</v>
      </c>
      <c r="AX321">
        <v>57251402</v>
      </c>
      <c r="AY321">
        <v>1</v>
      </c>
      <c r="AZ321">
        <v>0</v>
      </c>
      <c r="BA321">
        <v>395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ROUND(Y321*Source!I258,9)</f>
        <v>2.7599999999999999E-4</v>
      </c>
      <c r="CY321">
        <f>AA321</f>
        <v>56.16</v>
      </c>
      <c r="CZ321">
        <f>AE321</f>
        <v>56.16</v>
      </c>
      <c r="DA321">
        <f>AI321</f>
        <v>1</v>
      </c>
      <c r="DB321">
        <f>ROUND((ROUND(AT321*CZ321,2)*1),6)</f>
        <v>0.39</v>
      </c>
      <c r="DC321">
        <f>ROUND((ROUND(AT321*AG321,2)*1),6)</f>
        <v>0</v>
      </c>
      <c r="DD321" t="s">
        <v>3</v>
      </c>
      <c r="DE321" t="s">
        <v>3</v>
      </c>
      <c r="DF321">
        <f t="shared" si="120"/>
        <v>0.02</v>
      </c>
      <c r="DG321">
        <f t="shared" si="118"/>
        <v>0</v>
      </c>
      <c r="DH321">
        <f t="shared" si="121"/>
        <v>0</v>
      </c>
      <c r="DI321">
        <f t="shared" ref="DI321:DI384" si="122">ROUND(ROUND(AH321,2)*CX321,2)</f>
        <v>0</v>
      </c>
      <c r="DJ321">
        <f>DF321</f>
        <v>0.02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ROW(Source!A259)</f>
        <v>259</v>
      </c>
      <c r="B322">
        <v>57248837</v>
      </c>
      <c r="C322">
        <v>57251397</v>
      </c>
      <c r="D322">
        <v>54702434</v>
      </c>
      <c r="E322">
        <v>1081</v>
      </c>
      <c r="F322">
        <v>1</v>
      </c>
      <c r="G322">
        <v>1081</v>
      </c>
      <c r="H322">
        <v>1</v>
      </c>
      <c r="I322" t="s">
        <v>457</v>
      </c>
      <c r="J322" t="s">
        <v>3</v>
      </c>
      <c r="K322" t="s">
        <v>458</v>
      </c>
      <c r="L322">
        <v>1191</v>
      </c>
      <c r="N322">
        <v>1013</v>
      </c>
      <c r="O322" t="s">
        <v>459</v>
      </c>
      <c r="P322" t="s">
        <v>459</v>
      </c>
      <c r="Q322">
        <v>1</v>
      </c>
      <c r="W322">
        <v>0</v>
      </c>
      <c r="X322">
        <v>476480486</v>
      </c>
      <c r="Y322">
        <f>(AT322*1.2)</f>
        <v>6.3479999999999999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5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5.29</v>
      </c>
      <c r="AU322" t="s">
        <v>120</v>
      </c>
      <c r="AV322">
        <v>1</v>
      </c>
      <c r="AW322">
        <v>2</v>
      </c>
      <c r="AX322">
        <v>57251398</v>
      </c>
      <c r="AY322">
        <v>1</v>
      </c>
      <c r="AZ322">
        <v>0</v>
      </c>
      <c r="BA322">
        <v>397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U322">
        <f>ROUND(AT322*Source!I259*AH322*AL322,2)</f>
        <v>0</v>
      </c>
      <c r="CV322">
        <f>ROUND(Y322*Source!I259,9)</f>
        <v>0.25391999999999998</v>
      </c>
      <c r="CW322">
        <v>0</v>
      </c>
      <c r="CX322">
        <f>ROUND(Y322*Source!I259,9)</f>
        <v>0.25391999999999998</v>
      </c>
      <c r="CY322">
        <f>AD322</f>
        <v>0</v>
      </c>
      <c r="CZ322">
        <f>AH322</f>
        <v>0</v>
      </c>
      <c r="DA322">
        <f>AL322</f>
        <v>1</v>
      </c>
      <c r="DB322">
        <f>ROUND((ROUND(AT322*CZ322,2)*1.2),6)</f>
        <v>0</v>
      </c>
      <c r="DC322">
        <f>ROUND((ROUND(AT322*AG322,2)*1.2),6)</f>
        <v>0</v>
      </c>
      <c r="DD322" t="s">
        <v>3</v>
      </c>
      <c r="DE322" t="s">
        <v>3</v>
      </c>
      <c r="DF322">
        <f t="shared" si="120"/>
        <v>0</v>
      </c>
      <c r="DG322">
        <f t="shared" si="118"/>
        <v>0</v>
      </c>
      <c r="DH322">
        <f t="shared" si="121"/>
        <v>0</v>
      </c>
      <c r="DI322">
        <f t="shared" si="122"/>
        <v>0</v>
      </c>
      <c r="DJ322">
        <f>DI322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ROW(Source!A259)</f>
        <v>259</v>
      </c>
      <c r="B323">
        <v>57248837</v>
      </c>
      <c r="C323">
        <v>57251397</v>
      </c>
      <c r="D323">
        <v>54768339</v>
      </c>
      <c r="E323">
        <v>1</v>
      </c>
      <c r="F323">
        <v>1</v>
      </c>
      <c r="G323">
        <v>1081</v>
      </c>
      <c r="H323">
        <v>2</v>
      </c>
      <c r="I323" t="s">
        <v>497</v>
      </c>
      <c r="J323" t="s">
        <v>498</v>
      </c>
      <c r="K323" t="s">
        <v>499</v>
      </c>
      <c r="L323">
        <v>1368</v>
      </c>
      <c r="N323">
        <v>1011</v>
      </c>
      <c r="O323" t="s">
        <v>463</v>
      </c>
      <c r="P323" t="s">
        <v>463</v>
      </c>
      <c r="Q323">
        <v>1</v>
      </c>
      <c r="W323">
        <v>0</v>
      </c>
      <c r="X323">
        <v>874612079</v>
      </c>
      <c r="Y323">
        <f>(AT323*1.2)</f>
        <v>1.2E-2</v>
      </c>
      <c r="AA323">
        <v>0</v>
      </c>
      <c r="AB323">
        <v>1485.19</v>
      </c>
      <c r="AC323">
        <v>744.56</v>
      </c>
      <c r="AD323">
        <v>0</v>
      </c>
      <c r="AE323">
        <v>0</v>
      </c>
      <c r="AF323">
        <v>83.1</v>
      </c>
      <c r="AG323">
        <v>12.62</v>
      </c>
      <c r="AH323">
        <v>0</v>
      </c>
      <c r="AI323">
        <v>1</v>
      </c>
      <c r="AJ323">
        <v>17.07</v>
      </c>
      <c r="AK323">
        <v>56.35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0.01</v>
      </c>
      <c r="AU323" t="s">
        <v>120</v>
      </c>
      <c r="AV323">
        <v>0</v>
      </c>
      <c r="AW323">
        <v>2</v>
      </c>
      <c r="AX323">
        <v>57251399</v>
      </c>
      <c r="AY323">
        <v>1</v>
      </c>
      <c r="AZ323">
        <v>0</v>
      </c>
      <c r="BA323">
        <v>398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ROUND(Y323*Source!I259*DO323,9)</f>
        <v>6.0575999999999998E-3</v>
      </c>
      <c r="CX323">
        <f>ROUND(Y323*Source!I259,9)</f>
        <v>4.8000000000000001E-4</v>
      </c>
      <c r="CY323">
        <f>AB323</f>
        <v>1485.19</v>
      </c>
      <c r="CZ323">
        <f>AF323</f>
        <v>83.1</v>
      </c>
      <c r="DA323">
        <f>AJ323</f>
        <v>17.07</v>
      </c>
      <c r="DB323">
        <f>ROUND((ROUND(AT323*CZ323,2)*1.2),6)</f>
        <v>0.996</v>
      </c>
      <c r="DC323">
        <f>ROUND((ROUND(AT323*AG323,2)*1.2),6)</f>
        <v>0.156</v>
      </c>
      <c r="DD323" t="s">
        <v>3</v>
      </c>
      <c r="DE323" t="s">
        <v>3</v>
      </c>
      <c r="DF323">
        <f t="shared" si="120"/>
        <v>0</v>
      </c>
      <c r="DG323">
        <f>ROUND(ROUND(AF323*AJ323,2)*CX323,2)</f>
        <v>0.68</v>
      </c>
      <c r="DH323">
        <f>ROUND(ROUND(AG323*AK323,2)*CX323,2)</f>
        <v>0.34</v>
      </c>
      <c r="DI323">
        <f t="shared" si="122"/>
        <v>0</v>
      </c>
      <c r="DJ323">
        <f>DG323</f>
        <v>0.68</v>
      </c>
      <c r="DK323">
        <v>0</v>
      </c>
      <c r="DL323" t="s">
        <v>500</v>
      </c>
      <c r="DM323">
        <v>0</v>
      </c>
      <c r="DN323" t="s">
        <v>459</v>
      </c>
      <c r="DO323">
        <v>12.62</v>
      </c>
    </row>
    <row r="324" spans="1:119" x14ac:dyDescent="0.2">
      <c r="A324">
        <f>ROW(Source!A259)</f>
        <v>259</v>
      </c>
      <c r="B324">
        <v>57248837</v>
      </c>
      <c r="C324">
        <v>57251397</v>
      </c>
      <c r="D324">
        <v>54767573</v>
      </c>
      <c r="E324">
        <v>1</v>
      </c>
      <c r="F324">
        <v>1</v>
      </c>
      <c r="G324">
        <v>1081</v>
      </c>
      <c r="H324">
        <v>2</v>
      </c>
      <c r="I324" t="s">
        <v>555</v>
      </c>
      <c r="J324" t="s">
        <v>556</v>
      </c>
      <c r="K324" t="s">
        <v>557</v>
      </c>
      <c r="L324">
        <v>1368</v>
      </c>
      <c r="N324">
        <v>1011</v>
      </c>
      <c r="O324" t="s">
        <v>463</v>
      </c>
      <c r="P324" t="s">
        <v>463</v>
      </c>
      <c r="Q324">
        <v>1</v>
      </c>
      <c r="W324">
        <v>0</v>
      </c>
      <c r="X324">
        <v>-44940208</v>
      </c>
      <c r="Y324">
        <f>(AT324*1.2)</f>
        <v>1.2E-2</v>
      </c>
      <c r="AA324">
        <v>0</v>
      </c>
      <c r="AB324">
        <v>2706.94</v>
      </c>
      <c r="AC324">
        <v>998.84</v>
      </c>
      <c r="AD324">
        <v>0</v>
      </c>
      <c r="AE324">
        <v>0</v>
      </c>
      <c r="AF324">
        <v>179.17</v>
      </c>
      <c r="AG324">
        <v>16.93</v>
      </c>
      <c r="AH324">
        <v>0</v>
      </c>
      <c r="AI324">
        <v>1</v>
      </c>
      <c r="AJ324">
        <v>14.43</v>
      </c>
      <c r="AK324">
        <v>56.35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0.01</v>
      </c>
      <c r="AU324" t="s">
        <v>120</v>
      </c>
      <c r="AV324">
        <v>0</v>
      </c>
      <c r="AW324">
        <v>2</v>
      </c>
      <c r="AX324">
        <v>57251400</v>
      </c>
      <c r="AY324">
        <v>1</v>
      </c>
      <c r="AZ324">
        <v>0</v>
      </c>
      <c r="BA324">
        <v>399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ROUND(Y324*Source!I259*DO324,9)</f>
        <v>8.1264000000000006E-3</v>
      </c>
      <c r="CX324">
        <f>ROUND(Y324*Source!I259,9)</f>
        <v>4.8000000000000001E-4</v>
      </c>
      <c r="CY324">
        <f>AB324</f>
        <v>2706.94</v>
      </c>
      <c r="CZ324">
        <f>AF324</f>
        <v>179.17</v>
      </c>
      <c r="DA324">
        <f>AJ324</f>
        <v>14.43</v>
      </c>
      <c r="DB324">
        <f>ROUND((ROUND(AT324*CZ324,2)*1.2),6)</f>
        <v>2.1480000000000001</v>
      </c>
      <c r="DC324">
        <f>ROUND((ROUND(AT324*AG324,2)*1.2),6)</f>
        <v>0.20399999999999999</v>
      </c>
      <c r="DD324" t="s">
        <v>3</v>
      </c>
      <c r="DE324" t="s">
        <v>3</v>
      </c>
      <c r="DF324">
        <f t="shared" si="120"/>
        <v>0</v>
      </c>
      <c r="DG324">
        <f>ROUND(ROUND(AF324*AJ324,2)*CX324,2)</f>
        <v>1.24</v>
      </c>
      <c r="DH324">
        <f>ROUND(ROUND(AG324*AK324,2)*CX324,2)</f>
        <v>0.46</v>
      </c>
      <c r="DI324">
        <f t="shared" si="122"/>
        <v>0</v>
      </c>
      <c r="DJ324">
        <f>DG324</f>
        <v>1.24</v>
      </c>
      <c r="DK324">
        <v>0</v>
      </c>
      <c r="DL324" t="s">
        <v>500</v>
      </c>
      <c r="DM324">
        <v>0</v>
      </c>
      <c r="DN324" t="s">
        <v>459</v>
      </c>
      <c r="DO324">
        <v>16.93</v>
      </c>
    </row>
    <row r="325" spans="1:119" x14ac:dyDescent="0.2">
      <c r="A325">
        <f>ROW(Source!A259)</f>
        <v>259</v>
      </c>
      <c r="B325">
        <v>57248837</v>
      </c>
      <c r="C325">
        <v>57251397</v>
      </c>
      <c r="D325">
        <v>54760289</v>
      </c>
      <c r="E325">
        <v>1</v>
      </c>
      <c r="F325">
        <v>1</v>
      </c>
      <c r="G325">
        <v>1081</v>
      </c>
      <c r="H325">
        <v>3</v>
      </c>
      <c r="I325" t="s">
        <v>558</v>
      </c>
      <c r="J325" t="s">
        <v>559</v>
      </c>
      <c r="K325" t="s">
        <v>560</v>
      </c>
      <c r="L325">
        <v>1355</v>
      </c>
      <c r="N325">
        <v>1010</v>
      </c>
      <c r="O325" t="s">
        <v>67</v>
      </c>
      <c r="P325" t="s">
        <v>67</v>
      </c>
      <c r="Q325">
        <v>100</v>
      </c>
      <c r="W325">
        <v>0</v>
      </c>
      <c r="X325">
        <v>1662905328</v>
      </c>
      <c r="Y325">
        <f>(AT325*1)</f>
        <v>2.1093999999999999</v>
      </c>
      <c r="AA325">
        <v>223.61</v>
      </c>
      <c r="AB325">
        <v>0</v>
      </c>
      <c r="AC325">
        <v>0</v>
      </c>
      <c r="AD325">
        <v>0</v>
      </c>
      <c r="AE325">
        <v>59.47</v>
      </c>
      <c r="AF325">
        <v>0</v>
      </c>
      <c r="AG325">
        <v>0</v>
      </c>
      <c r="AH325">
        <v>0</v>
      </c>
      <c r="AI325">
        <v>3.76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2.1093999999999999</v>
      </c>
      <c r="AU325" t="s">
        <v>119</v>
      </c>
      <c r="AV325">
        <v>0</v>
      </c>
      <c r="AW325">
        <v>2</v>
      </c>
      <c r="AX325">
        <v>57251401</v>
      </c>
      <c r="AY325">
        <v>1</v>
      </c>
      <c r="AZ325">
        <v>0</v>
      </c>
      <c r="BA325">
        <v>400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ROUND(Y325*Source!I259,9)</f>
        <v>8.4376000000000007E-2</v>
      </c>
      <c r="CY325">
        <f>AA325</f>
        <v>223.61</v>
      </c>
      <c r="CZ325">
        <f>AE325</f>
        <v>59.47</v>
      </c>
      <c r="DA325">
        <f>AI325</f>
        <v>3.76</v>
      </c>
      <c r="DB325">
        <f>ROUND((ROUND(AT325*CZ325,2)*1),6)</f>
        <v>125.45</v>
      </c>
      <c r="DC325">
        <f>ROUND((ROUND(AT325*AG325,2)*1),6)</f>
        <v>0</v>
      </c>
      <c r="DD325" t="s">
        <v>3</v>
      </c>
      <c r="DE325" t="s">
        <v>3</v>
      </c>
      <c r="DF325">
        <f>ROUND(ROUND(AE325*AI325,2)*CX325,2)</f>
        <v>18.87</v>
      </c>
      <c r="DG325">
        <f t="shared" ref="DG325:DG339" si="123">ROUND(ROUND(AF325,2)*CX325,2)</f>
        <v>0</v>
      </c>
      <c r="DH325">
        <f t="shared" ref="DH325:DH340" si="124">ROUND(ROUND(AG325,2)*CX325,2)</f>
        <v>0</v>
      </c>
      <c r="DI325">
        <f t="shared" si="122"/>
        <v>0</v>
      </c>
      <c r="DJ325">
        <f>DF325</f>
        <v>18.87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ROW(Source!A259)</f>
        <v>259</v>
      </c>
      <c r="B326">
        <v>57248837</v>
      </c>
      <c r="C326">
        <v>57251397</v>
      </c>
      <c r="D326">
        <v>54760334</v>
      </c>
      <c r="E326">
        <v>1</v>
      </c>
      <c r="F326">
        <v>1</v>
      </c>
      <c r="G326">
        <v>1081</v>
      </c>
      <c r="H326">
        <v>3</v>
      </c>
      <c r="I326" t="s">
        <v>561</v>
      </c>
      <c r="J326" t="s">
        <v>562</v>
      </c>
      <c r="K326" t="s">
        <v>563</v>
      </c>
      <c r="L326">
        <v>1356</v>
      </c>
      <c r="N326">
        <v>1010</v>
      </c>
      <c r="O326" t="s">
        <v>348</v>
      </c>
      <c r="P326" t="s">
        <v>348</v>
      </c>
      <c r="Q326">
        <v>1000</v>
      </c>
      <c r="W326">
        <v>0</v>
      </c>
      <c r="X326">
        <v>-2085281200</v>
      </c>
      <c r="Y326">
        <f>(AT326*1)</f>
        <v>6.8999999999999999E-3</v>
      </c>
      <c r="AA326">
        <v>614.39</v>
      </c>
      <c r="AB326">
        <v>0</v>
      </c>
      <c r="AC326">
        <v>0</v>
      </c>
      <c r="AD326">
        <v>0</v>
      </c>
      <c r="AE326">
        <v>56.16</v>
      </c>
      <c r="AF326">
        <v>0</v>
      </c>
      <c r="AG326">
        <v>0</v>
      </c>
      <c r="AH326">
        <v>0</v>
      </c>
      <c r="AI326">
        <v>10.94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6.8999999999999999E-3</v>
      </c>
      <c r="AU326" t="s">
        <v>119</v>
      </c>
      <c r="AV326">
        <v>0</v>
      </c>
      <c r="AW326">
        <v>2</v>
      </c>
      <c r="AX326">
        <v>57251402</v>
      </c>
      <c r="AY326">
        <v>1</v>
      </c>
      <c r="AZ326">
        <v>0</v>
      </c>
      <c r="BA326">
        <v>401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ROUND(Y326*Source!I259,9)</f>
        <v>2.7599999999999999E-4</v>
      </c>
      <c r="CY326">
        <f>AA326</f>
        <v>614.39</v>
      </c>
      <c r="CZ326">
        <f>AE326</f>
        <v>56.16</v>
      </c>
      <c r="DA326">
        <f>AI326</f>
        <v>10.94</v>
      </c>
      <c r="DB326">
        <f>ROUND((ROUND(AT326*CZ326,2)*1),6)</f>
        <v>0.39</v>
      </c>
      <c r="DC326">
        <f>ROUND((ROUND(AT326*AG326,2)*1),6)</f>
        <v>0</v>
      </c>
      <c r="DD326" t="s">
        <v>3</v>
      </c>
      <c r="DE326" t="s">
        <v>3</v>
      </c>
      <c r="DF326">
        <f>ROUND(ROUND(AE326*AI326,2)*CX326,2)</f>
        <v>0.17</v>
      </c>
      <c r="DG326">
        <f t="shared" si="123"/>
        <v>0</v>
      </c>
      <c r="DH326">
        <f t="shared" si="124"/>
        <v>0</v>
      </c>
      <c r="DI326">
        <f t="shared" si="122"/>
        <v>0</v>
      </c>
      <c r="DJ326">
        <f>DF326</f>
        <v>0.17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ROW(Source!A262)</f>
        <v>262</v>
      </c>
      <c r="B327">
        <v>57248835</v>
      </c>
      <c r="C327">
        <v>57249458</v>
      </c>
      <c r="D327">
        <v>54702434</v>
      </c>
      <c r="E327">
        <v>1081</v>
      </c>
      <c r="F327">
        <v>1</v>
      </c>
      <c r="G327">
        <v>1081</v>
      </c>
      <c r="H327">
        <v>1</v>
      </c>
      <c r="I327" t="s">
        <v>457</v>
      </c>
      <c r="J327" t="s">
        <v>3</v>
      </c>
      <c r="K327" t="s">
        <v>458</v>
      </c>
      <c r="L327">
        <v>1191</v>
      </c>
      <c r="N327">
        <v>1013</v>
      </c>
      <c r="O327" t="s">
        <v>459</v>
      </c>
      <c r="P327" t="s">
        <v>459</v>
      </c>
      <c r="Q327">
        <v>1</v>
      </c>
      <c r="W327">
        <v>0</v>
      </c>
      <c r="X327">
        <v>476480486</v>
      </c>
      <c r="Y327">
        <f>(AT327*1.2)</f>
        <v>19.8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1</v>
      </c>
      <c r="AK327">
        <v>1</v>
      </c>
      <c r="AL327">
        <v>1</v>
      </c>
      <c r="AM327">
        <v>-2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16.5</v>
      </c>
      <c r="AU327" t="s">
        <v>120</v>
      </c>
      <c r="AV327">
        <v>1</v>
      </c>
      <c r="AW327">
        <v>2</v>
      </c>
      <c r="AX327">
        <v>57249471</v>
      </c>
      <c r="AY327">
        <v>1</v>
      </c>
      <c r="AZ327">
        <v>0</v>
      </c>
      <c r="BA327">
        <v>403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U327">
        <f>ROUND(AT327*Source!I262*AH327*AL327,2)</f>
        <v>0</v>
      </c>
      <c r="CV327">
        <f>ROUND(Y327*Source!I262,9)</f>
        <v>0.39600000000000002</v>
      </c>
      <c r="CW327">
        <v>0</v>
      </c>
      <c r="CX327">
        <f>ROUND(Y327*Source!I262,9)</f>
        <v>0.39600000000000002</v>
      </c>
      <c r="CY327">
        <f>AD327</f>
        <v>0</v>
      </c>
      <c r="CZ327">
        <f>AH327</f>
        <v>0</v>
      </c>
      <c r="DA327">
        <f>AL327</f>
        <v>1</v>
      </c>
      <c r="DB327">
        <f>ROUND((ROUND(AT327*CZ327,2)*1.2),6)</f>
        <v>0</v>
      </c>
      <c r="DC327">
        <f>ROUND((ROUND(AT327*AG327,2)*1.2),6)</f>
        <v>0</v>
      </c>
      <c r="DD327" t="s">
        <v>3</v>
      </c>
      <c r="DE327" t="s">
        <v>3</v>
      </c>
      <c r="DF327">
        <f t="shared" ref="DF327:DF341" si="125">ROUND(ROUND(AE327,2)*CX327,2)</f>
        <v>0</v>
      </c>
      <c r="DG327">
        <f t="shared" si="123"/>
        <v>0</v>
      </c>
      <c r="DH327">
        <f t="shared" si="124"/>
        <v>0</v>
      </c>
      <c r="DI327">
        <f t="shared" si="122"/>
        <v>0</v>
      </c>
      <c r="DJ327">
        <f>DI327</f>
        <v>0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ROW(Source!A262)</f>
        <v>262</v>
      </c>
      <c r="B328">
        <v>57248835</v>
      </c>
      <c r="C328">
        <v>57249458</v>
      </c>
      <c r="D328">
        <v>54768040</v>
      </c>
      <c r="E328">
        <v>1</v>
      </c>
      <c r="F328">
        <v>1</v>
      </c>
      <c r="G328">
        <v>1081</v>
      </c>
      <c r="H328">
        <v>2</v>
      </c>
      <c r="I328" t="s">
        <v>564</v>
      </c>
      <c r="J328" t="s">
        <v>565</v>
      </c>
      <c r="K328" t="s">
        <v>566</v>
      </c>
      <c r="L328">
        <v>1368</v>
      </c>
      <c r="N328">
        <v>1011</v>
      </c>
      <c r="O328" t="s">
        <v>463</v>
      </c>
      <c r="P328" t="s">
        <v>463</v>
      </c>
      <c r="Q328">
        <v>1</v>
      </c>
      <c r="W328">
        <v>0</v>
      </c>
      <c r="X328">
        <v>1498588441</v>
      </c>
      <c r="Y328">
        <f>(AT328*1.2)</f>
        <v>4.3920000000000003</v>
      </c>
      <c r="AA328">
        <v>0</v>
      </c>
      <c r="AB328">
        <v>7.44</v>
      </c>
      <c r="AC328">
        <v>0</v>
      </c>
      <c r="AD328">
        <v>0</v>
      </c>
      <c r="AE328">
        <v>0</v>
      </c>
      <c r="AF328">
        <v>7.11</v>
      </c>
      <c r="AG328">
        <v>0</v>
      </c>
      <c r="AH328">
        <v>0</v>
      </c>
      <c r="AI328">
        <v>1</v>
      </c>
      <c r="AJ328">
        <v>1</v>
      </c>
      <c r="AK328">
        <v>1</v>
      </c>
      <c r="AL328">
        <v>1</v>
      </c>
      <c r="AM328">
        <v>-2</v>
      </c>
      <c r="AN328">
        <v>0</v>
      </c>
      <c r="AO328">
        <v>1</v>
      </c>
      <c r="AP328">
        <v>1</v>
      </c>
      <c r="AQ328">
        <v>0</v>
      </c>
      <c r="AR328">
        <v>0</v>
      </c>
      <c r="AS328" t="s">
        <v>3</v>
      </c>
      <c r="AT328">
        <v>3.66</v>
      </c>
      <c r="AU328" t="s">
        <v>120</v>
      </c>
      <c r="AV328">
        <v>0</v>
      </c>
      <c r="AW328">
        <v>2</v>
      </c>
      <c r="AX328">
        <v>57249472</v>
      </c>
      <c r="AY328">
        <v>1</v>
      </c>
      <c r="AZ328">
        <v>0</v>
      </c>
      <c r="BA328">
        <v>404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f>ROUND(Y328*Source!I262*DO328,9)</f>
        <v>0</v>
      </c>
      <c r="CX328">
        <f>ROUND(Y328*Source!I262,9)</f>
        <v>8.7840000000000001E-2</v>
      </c>
      <c r="CY328">
        <f>AB328</f>
        <v>7.44</v>
      </c>
      <c r="CZ328">
        <f>AF328</f>
        <v>7.11</v>
      </c>
      <c r="DA328">
        <f>AJ328</f>
        <v>1</v>
      </c>
      <c r="DB328">
        <f>ROUND((ROUND(AT328*CZ328,2)*1.2),6)</f>
        <v>31.224</v>
      </c>
      <c r="DC328">
        <f>ROUND((ROUND(AT328*AG328,2)*1.2),6)</f>
        <v>0</v>
      </c>
      <c r="DD328" t="s">
        <v>3</v>
      </c>
      <c r="DE328" t="s">
        <v>3</v>
      </c>
      <c r="DF328">
        <f t="shared" si="125"/>
        <v>0</v>
      </c>
      <c r="DG328">
        <f t="shared" si="123"/>
        <v>0.62</v>
      </c>
      <c r="DH328">
        <f t="shared" si="124"/>
        <v>0</v>
      </c>
      <c r="DI328">
        <f t="shared" si="122"/>
        <v>0</v>
      </c>
      <c r="DJ328">
        <f>DG328</f>
        <v>0.62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ROW(Source!A262)</f>
        <v>262</v>
      </c>
      <c r="B329">
        <v>57248835</v>
      </c>
      <c r="C329">
        <v>57249458</v>
      </c>
      <c r="D329">
        <v>54768339</v>
      </c>
      <c r="E329">
        <v>1</v>
      </c>
      <c r="F329">
        <v>1</v>
      </c>
      <c r="G329">
        <v>1081</v>
      </c>
      <c r="H329">
        <v>2</v>
      </c>
      <c r="I329" t="s">
        <v>497</v>
      </c>
      <c r="J329" t="s">
        <v>498</v>
      </c>
      <c r="K329" t="s">
        <v>499</v>
      </c>
      <c r="L329">
        <v>1368</v>
      </c>
      <c r="N329">
        <v>1011</v>
      </c>
      <c r="O329" t="s">
        <v>463</v>
      </c>
      <c r="P329" t="s">
        <v>463</v>
      </c>
      <c r="Q329">
        <v>1</v>
      </c>
      <c r="W329">
        <v>0</v>
      </c>
      <c r="X329">
        <v>874612079</v>
      </c>
      <c r="Y329">
        <f>(AT329*1.2)</f>
        <v>0.51600000000000001</v>
      </c>
      <c r="AA329">
        <v>0</v>
      </c>
      <c r="AB329">
        <v>87.01</v>
      </c>
      <c r="AC329">
        <v>13.21</v>
      </c>
      <c r="AD329">
        <v>0</v>
      </c>
      <c r="AE329">
        <v>0</v>
      </c>
      <c r="AF329">
        <v>83.1</v>
      </c>
      <c r="AG329">
        <v>12.62</v>
      </c>
      <c r="AH329">
        <v>0</v>
      </c>
      <c r="AI329">
        <v>1</v>
      </c>
      <c r="AJ329">
        <v>1</v>
      </c>
      <c r="AK329">
        <v>1</v>
      </c>
      <c r="AL329">
        <v>1</v>
      </c>
      <c r="AM329">
        <v>-2</v>
      </c>
      <c r="AN329">
        <v>0</v>
      </c>
      <c r="AO329">
        <v>1</v>
      </c>
      <c r="AP329">
        <v>1</v>
      </c>
      <c r="AQ329">
        <v>0</v>
      </c>
      <c r="AR329">
        <v>0</v>
      </c>
      <c r="AS329" t="s">
        <v>3</v>
      </c>
      <c r="AT329">
        <v>0.43</v>
      </c>
      <c r="AU329" t="s">
        <v>120</v>
      </c>
      <c r="AV329">
        <v>0</v>
      </c>
      <c r="AW329">
        <v>2</v>
      </c>
      <c r="AX329">
        <v>57249473</v>
      </c>
      <c r="AY329">
        <v>1</v>
      </c>
      <c r="AZ329">
        <v>0</v>
      </c>
      <c r="BA329">
        <v>405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f>ROUND(Y329*Source!I262*DO329,9)</f>
        <v>0.1302384</v>
      </c>
      <c r="CX329">
        <f>ROUND(Y329*Source!I262,9)</f>
        <v>1.0319999999999999E-2</v>
      </c>
      <c r="CY329">
        <f>AB329</f>
        <v>87.01</v>
      </c>
      <c r="CZ329">
        <f>AF329</f>
        <v>83.1</v>
      </c>
      <c r="DA329">
        <f>AJ329</f>
        <v>1</v>
      </c>
      <c r="DB329">
        <f>ROUND((ROUND(AT329*CZ329,2)*1.2),6)</f>
        <v>42.875999999999998</v>
      </c>
      <c r="DC329">
        <f>ROUND((ROUND(AT329*AG329,2)*1.2),6)</f>
        <v>6.516</v>
      </c>
      <c r="DD329" t="s">
        <v>3</v>
      </c>
      <c r="DE329" t="s">
        <v>3</v>
      </c>
      <c r="DF329">
        <f t="shared" si="125"/>
        <v>0</v>
      </c>
      <c r="DG329">
        <f t="shared" si="123"/>
        <v>0.86</v>
      </c>
      <c r="DH329">
        <f t="shared" si="124"/>
        <v>0.13</v>
      </c>
      <c r="DI329">
        <f t="shared" si="122"/>
        <v>0</v>
      </c>
      <c r="DJ329">
        <f>DG329</f>
        <v>0.86</v>
      </c>
      <c r="DK329">
        <v>0</v>
      </c>
      <c r="DL329" t="s">
        <v>500</v>
      </c>
      <c r="DM329">
        <v>0</v>
      </c>
      <c r="DN329" t="s">
        <v>459</v>
      </c>
      <c r="DO329">
        <v>12.62</v>
      </c>
    </row>
    <row r="330" spans="1:119" x14ac:dyDescent="0.2">
      <c r="A330">
        <f>ROW(Source!A262)</f>
        <v>262</v>
      </c>
      <c r="B330">
        <v>57248835</v>
      </c>
      <c r="C330">
        <v>57249458</v>
      </c>
      <c r="D330">
        <v>54738510</v>
      </c>
      <c r="E330">
        <v>1</v>
      </c>
      <c r="F330">
        <v>1</v>
      </c>
      <c r="G330">
        <v>1081</v>
      </c>
      <c r="H330">
        <v>3</v>
      </c>
      <c r="I330" t="s">
        <v>567</v>
      </c>
      <c r="J330" t="s">
        <v>568</v>
      </c>
      <c r="K330" t="s">
        <v>569</v>
      </c>
      <c r="L330">
        <v>1348</v>
      </c>
      <c r="N330">
        <v>1009</v>
      </c>
      <c r="O330" t="s">
        <v>298</v>
      </c>
      <c r="P330" t="s">
        <v>298</v>
      </c>
      <c r="Q330">
        <v>1000</v>
      </c>
      <c r="W330">
        <v>0</v>
      </c>
      <c r="X330">
        <v>277309194</v>
      </c>
      <c r="Y330">
        <f t="shared" ref="Y330:Y338" si="126">(AT330*1)</f>
        <v>1.0499999999999999E-3</v>
      </c>
      <c r="AA330">
        <v>8590.86</v>
      </c>
      <c r="AB330">
        <v>0</v>
      </c>
      <c r="AC330">
        <v>0</v>
      </c>
      <c r="AD330">
        <v>0</v>
      </c>
      <c r="AE330">
        <v>8590.86</v>
      </c>
      <c r="AF330">
        <v>0</v>
      </c>
      <c r="AG330">
        <v>0</v>
      </c>
      <c r="AH330">
        <v>0</v>
      </c>
      <c r="AI330">
        <v>1</v>
      </c>
      <c r="AJ330">
        <v>1</v>
      </c>
      <c r="AK330">
        <v>1</v>
      </c>
      <c r="AL330">
        <v>1</v>
      </c>
      <c r="AM330">
        <v>-2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1.0499999999999999E-3</v>
      </c>
      <c r="AU330" t="s">
        <v>119</v>
      </c>
      <c r="AV330">
        <v>0</v>
      </c>
      <c r="AW330">
        <v>2</v>
      </c>
      <c r="AX330">
        <v>57249474</v>
      </c>
      <c r="AY330">
        <v>1</v>
      </c>
      <c r="AZ330">
        <v>0</v>
      </c>
      <c r="BA330">
        <v>406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ROUND(Y330*Source!I262,9)</f>
        <v>2.0999999999999999E-5</v>
      </c>
      <c r="CY330">
        <f t="shared" ref="CY330:CY338" si="127">AA330</f>
        <v>8590.86</v>
      </c>
      <c r="CZ330">
        <f t="shared" ref="CZ330:CZ338" si="128">AE330</f>
        <v>8590.86</v>
      </c>
      <c r="DA330">
        <f t="shared" ref="DA330:DA338" si="129">AI330</f>
        <v>1</v>
      </c>
      <c r="DB330">
        <f t="shared" ref="DB330:DB338" si="130">ROUND((ROUND(AT330*CZ330,2)*1),6)</f>
        <v>9.02</v>
      </c>
      <c r="DC330">
        <f t="shared" ref="DC330:DC338" si="131">ROUND((ROUND(AT330*AG330,2)*1),6)</f>
        <v>0</v>
      </c>
      <c r="DD330" t="s">
        <v>3</v>
      </c>
      <c r="DE330" t="s">
        <v>3</v>
      </c>
      <c r="DF330">
        <f t="shared" si="125"/>
        <v>0.18</v>
      </c>
      <c r="DG330">
        <f t="shared" si="123"/>
        <v>0</v>
      </c>
      <c r="DH330">
        <f t="shared" si="124"/>
        <v>0</v>
      </c>
      <c r="DI330">
        <f t="shared" si="122"/>
        <v>0</v>
      </c>
      <c r="DJ330">
        <f t="shared" ref="DJ330:DJ338" si="132">DF330</f>
        <v>0.18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ROW(Source!A262)</f>
        <v>262</v>
      </c>
      <c r="B331">
        <v>57248835</v>
      </c>
      <c r="C331">
        <v>57249458</v>
      </c>
      <c r="D331">
        <v>54737469</v>
      </c>
      <c r="E331">
        <v>1</v>
      </c>
      <c r="F331">
        <v>1</v>
      </c>
      <c r="G331">
        <v>1081</v>
      </c>
      <c r="H331">
        <v>3</v>
      </c>
      <c r="I331" t="s">
        <v>570</v>
      </c>
      <c r="J331" t="s">
        <v>571</v>
      </c>
      <c r="K331" t="s">
        <v>572</v>
      </c>
      <c r="L331">
        <v>1354</v>
      </c>
      <c r="N331">
        <v>1010</v>
      </c>
      <c r="O331" t="s">
        <v>228</v>
      </c>
      <c r="P331" t="s">
        <v>228</v>
      </c>
      <c r="Q331">
        <v>1</v>
      </c>
      <c r="W331">
        <v>0</v>
      </c>
      <c r="X331">
        <v>1424298623</v>
      </c>
      <c r="Y331">
        <f t="shared" si="126"/>
        <v>122</v>
      </c>
      <c r="AA331">
        <v>3.86</v>
      </c>
      <c r="AB331">
        <v>0</v>
      </c>
      <c r="AC331">
        <v>0</v>
      </c>
      <c r="AD331">
        <v>0</v>
      </c>
      <c r="AE331">
        <v>3.86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122</v>
      </c>
      <c r="AU331" t="s">
        <v>119</v>
      </c>
      <c r="AV331">
        <v>0</v>
      </c>
      <c r="AW331">
        <v>2</v>
      </c>
      <c r="AX331">
        <v>57249475</v>
      </c>
      <c r="AY331">
        <v>1</v>
      </c>
      <c r="AZ331">
        <v>0</v>
      </c>
      <c r="BA331">
        <v>407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V331">
        <v>0</v>
      </c>
      <c r="CW331">
        <v>0</v>
      </c>
      <c r="CX331">
        <f>ROUND(Y331*Source!I262,9)</f>
        <v>2.44</v>
      </c>
      <c r="CY331">
        <f t="shared" si="127"/>
        <v>3.86</v>
      </c>
      <c r="CZ331">
        <f t="shared" si="128"/>
        <v>3.86</v>
      </c>
      <c r="DA331">
        <f t="shared" si="129"/>
        <v>1</v>
      </c>
      <c r="DB331">
        <f t="shared" si="130"/>
        <v>470.92</v>
      </c>
      <c r="DC331">
        <f t="shared" si="131"/>
        <v>0</v>
      </c>
      <c r="DD331" t="s">
        <v>3</v>
      </c>
      <c r="DE331" t="s">
        <v>3</v>
      </c>
      <c r="DF331">
        <f t="shared" si="125"/>
        <v>9.42</v>
      </c>
      <c r="DG331">
        <f t="shared" si="123"/>
        <v>0</v>
      </c>
      <c r="DH331">
        <f t="shared" si="124"/>
        <v>0</v>
      </c>
      <c r="DI331">
        <f t="shared" si="122"/>
        <v>0</v>
      </c>
      <c r="DJ331">
        <f t="shared" si="132"/>
        <v>9.42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ROW(Source!A262)</f>
        <v>262</v>
      </c>
      <c r="B332">
        <v>57248835</v>
      </c>
      <c r="C332">
        <v>57249458</v>
      </c>
      <c r="D332">
        <v>54739835</v>
      </c>
      <c r="E332">
        <v>1</v>
      </c>
      <c r="F332">
        <v>1</v>
      </c>
      <c r="G332">
        <v>1081</v>
      </c>
      <c r="H332">
        <v>3</v>
      </c>
      <c r="I332" t="s">
        <v>573</v>
      </c>
      <c r="J332" t="s">
        <v>574</v>
      </c>
      <c r="K332" t="s">
        <v>575</v>
      </c>
      <c r="L332">
        <v>1346</v>
      </c>
      <c r="N332">
        <v>1009</v>
      </c>
      <c r="O332" t="s">
        <v>320</v>
      </c>
      <c r="P332" t="s">
        <v>320</v>
      </c>
      <c r="Q332">
        <v>1</v>
      </c>
      <c r="W332">
        <v>0</v>
      </c>
      <c r="X332">
        <v>731843586</v>
      </c>
      <c r="Y332">
        <f t="shared" si="126"/>
        <v>0.03</v>
      </c>
      <c r="AA332">
        <v>520.51</v>
      </c>
      <c r="AB332">
        <v>0</v>
      </c>
      <c r="AC332">
        <v>0</v>
      </c>
      <c r="AD332">
        <v>0</v>
      </c>
      <c r="AE332">
        <v>520.51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0.03</v>
      </c>
      <c r="AU332" t="s">
        <v>119</v>
      </c>
      <c r="AV332">
        <v>0</v>
      </c>
      <c r="AW332">
        <v>2</v>
      </c>
      <c r="AX332">
        <v>57249476</v>
      </c>
      <c r="AY332">
        <v>1</v>
      </c>
      <c r="AZ332">
        <v>0</v>
      </c>
      <c r="BA332">
        <v>408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ROUND(Y332*Source!I262,9)</f>
        <v>5.9999999999999995E-4</v>
      </c>
      <c r="CY332">
        <f t="shared" si="127"/>
        <v>520.51</v>
      </c>
      <c r="CZ332">
        <f t="shared" si="128"/>
        <v>520.51</v>
      </c>
      <c r="DA332">
        <f t="shared" si="129"/>
        <v>1</v>
      </c>
      <c r="DB332">
        <f t="shared" si="130"/>
        <v>15.62</v>
      </c>
      <c r="DC332">
        <f t="shared" si="131"/>
        <v>0</v>
      </c>
      <c r="DD332" t="s">
        <v>3</v>
      </c>
      <c r="DE332" t="s">
        <v>3</v>
      </c>
      <c r="DF332">
        <f t="shared" si="125"/>
        <v>0.31</v>
      </c>
      <c r="DG332">
        <f t="shared" si="123"/>
        <v>0</v>
      </c>
      <c r="DH332">
        <f t="shared" si="124"/>
        <v>0</v>
      </c>
      <c r="DI332">
        <f t="shared" si="122"/>
        <v>0</v>
      </c>
      <c r="DJ332">
        <f t="shared" si="132"/>
        <v>0.31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ROW(Source!A262)</f>
        <v>262</v>
      </c>
      <c r="B333">
        <v>57248835</v>
      </c>
      <c r="C333">
        <v>57249458</v>
      </c>
      <c r="D333">
        <v>54737945</v>
      </c>
      <c r="E333">
        <v>1</v>
      </c>
      <c r="F333">
        <v>1</v>
      </c>
      <c r="G333">
        <v>1081</v>
      </c>
      <c r="H333">
        <v>3</v>
      </c>
      <c r="I333" t="s">
        <v>576</v>
      </c>
      <c r="J333" t="s">
        <v>577</v>
      </c>
      <c r="K333" t="s">
        <v>578</v>
      </c>
      <c r="L333">
        <v>1348</v>
      </c>
      <c r="N333">
        <v>1009</v>
      </c>
      <c r="O333" t="s">
        <v>298</v>
      </c>
      <c r="P333" t="s">
        <v>298</v>
      </c>
      <c r="Q333">
        <v>1000</v>
      </c>
      <c r="W333">
        <v>0</v>
      </c>
      <c r="X333">
        <v>-557692701</v>
      </c>
      <c r="Y333">
        <f t="shared" si="126"/>
        <v>2.0999999999999999E-3</v>
      </c>
      <c r="AA333">
        <v>7973.67</v>
      </c>
      <c r="AB333">
        <v>0</v>
      </c>
      <c r="AC333">
        <v>0</v>
      </c>
      <c r="AD333">
        <v>0</v>
      </c>
      <c r="AE333">
        <v>7973.67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2.0999999999999999E-3</v>
      </c>
      <c r="AU333" t="s">
        <v>119</v>
      </c>
      <c r="AV333">
        <v>0</v>
      </c>
      <c r="AW333">
        <v>2</v>
      </c>
      <c r="AX333">
        <v>57249477</v>
      </c>
      <c r="AY333">
        <v>1</v>
      </c>
      <c r="AZ333">
        <v>0</v>
      </c>
      <c r="BA333">
        <v>409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ROUND(Y333*Source!I262,9)</f>
        <v>4.1999999999999998E-5</v>
      </c>
      <c r="CY333">
        <f t="shared" si="127"/>
        <v>7973.67</v>
      </c>
      <c r="CZ333">
        <f t="shared" si="128"/>
        <v>7973.67</v>
      </c>
      <c r="DA333">
        <f t="shared" si="129"/>
        <v>1</v>
      </c>
      <c r="DB333">
        <f t="shared" si="130"/>
        <v>16.739999999999998</v>
      </c>
      <c r="DC333">
        <f t="shared" si="131"/>
        <v>0</v>
      </c>
      <c r="DD333" t="s">
        <v>3</v>
      </c>
      <c r="DE333" t="s">
        <v>3</v>
      </c>
      <c r="DF333">
        <f t="shared" si="125"/>
        <v>0.33</v>
      </c>
      <c r="DG333">
        <f t="shared" si="123"/>
        <v>0</v>
      </c>
      <c r="DH333">
        <f t="shared" si="124"/>
        <v>0</v>
      </c>
      <c r="DI333">
        <f t="shared" si="122"/>
        <v>0</v>
      </c>
      <c r="DJ333">
        <f t="shared" si="132"/>
        <v>0.33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ROW(Source!A262)</f>
        <v>262</v>
      </c>
      <c r="B334">
        <v>57248835</v>
      </c>
      <c r="C334">
        <v>57249458</v>
      </c>
      <c r="D334">
        <v>54749840</v>
      </c>
      <c r="E334">
        <v>1</v>
      </c>
      <c r="F334">
        <v>1</v>
      </c>
      <c r="G334">
        <v>1081</v>
      </c>
      <c r="H334">
        <v>3</v>
      </c>
      <c r="I334" t="s">
        <v>405</v>
      </c>
      <c r="J334" t="s">
        <v>407</v>
      </c>
      <c r="K334" t="s">
        <v>406</v>
      </c>
      <c r="L334">
        <v>1301</v>
      </c>
      <c r="N334">
        <v>1003</v>
      </c>
      <c r="O334" t="s">
        <v>341</v>
      </c>
      <c r="P334" t="s">
        <v>341</v>
      </c>
      <c r="Q334">
        <v>1</v>
      </c>
      <c r="W334">
        <v>0</v>
      </c>
      <c r="X334">
        <v>-511472295</v>
      </c>
      <c r="Y334">
        <f t="shared" si="126"/>
        <v>103</v>
      </c>
      <c r="AA334">
        <v>32.96</v>
      </c>
      <c r="AB334">
        <v>0</v>
      </c>
      <c r="AC334">
        <v>0</v>
      </c>
      <c r="AD334">
        <v>0</v>
      </c>
      <c r="AE334">
        <v>32.96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103</v>
      </c>
      <c r="AU334" t="s">
        <v>119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ROUND(Y334*Source!I262,9)</f>
        <v>2.06</v>
      </c>
      <c r="CY334">
        <f t="shared" si="127"/>
        <v>32.96</v>
      </c>
      <c r="CZ334">
        <f t="shared" si="128"/>
        <v>32.96</v>
      </c>
      <c r="DA334">
        <f t="shared" si="129"/>
        <v>1</v>
      </c>
      <c r="DB334">
        <f t="shared" si="130"/>
        <v>3394.88</v>
      </c>
      <c r="DC334">
        <f t="shared" si="131"/>
        <v>0</v>
      </c>
      <c r="DD334" t="s">
        <v>3</v>
      </c>
      <c r="DE334" t="s">
        <v>3</v>
      </c>
      <c r="DF334">
        <f t="shared" si="125"/>
        <v>67.900000000000006</v>
      </c>
      <c r="DG334">
        <f t="shared" si="123"/>
        <v>0</v>
      </c>
      <c r="DH334">
        <f t="shared" si="124"/>
        <v>0</v>
      </c>
      <c r="DI334">
        <f t="shared" si="122"/>
        <v>0</v>
      </c>
      <c r="DJ334">
        <f t="shared" si="132"/>
        <v>67.900000000000006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ROW(Source!A262)</f>
        <v>262</v>
      </c>
      <c r="B335">
        <v>57248835</v>
      </c>
      <c r="C335">
        <v>57249458</v>
      </c>
      <c r="D335">
        <v>54760653</v>
      </c>
      <c r="E335">
        <v>1</v>
      </c>
      <c r="F335">
        <v>1</v>
      </c>
      <c r="G335">
        <v>1081</v>
      </c>
      <c r="H335">
        <v>3</v>
      </c>
      <c r="I335" t="s">
        <v>579</v>
      </c>
      <c r="J335" t="s">
        <v>580</v>
      </c>
      <c r="K335" t="s">
        <v>581</v>
      </c>
      <c r="L335">
        <v>1358</v>
      </c>
      <c r="N335">
        <v>1010</v>
      </c>
      <c r="O335" t="s">
        <v>82</v>
      </c>
      <c r="P335" t="s">
        <v>82</v>
      </c>
      <c r="Q335">
        <v>10</v>
      </c>
      <c r="W335">
        <v>0</v>
      </c>
      <c r="X335">
        <v>-101314250</v>
      </c>
      <c r="Y335">
        <f t="shared" si="126"/>
        <v>1.02</v>
      </c>
      <c r="AA335">
        <v>5.46</v>
      </c>
      <c r="AB335">
        <v>0</v>
      </c>
      <c r="AC335">
        <v>0</v>
      </c>
      <c r="AD335">
        <v>0</v>
      </c>
      <c r="AE335">
        <v>5.46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1.02</v>
      </c>
      <c r="AU335" t="s">
        <v>119</v>
      </c>
      <c r="AV335">
        <v>0</v>
      </c>
      <c r="AW335">
        <v>2</v>
      </c>
      <c r="AX335">
        <v>57249478</v>
      </c>
      <c r="AY335">
        <v>1</v>
      </c>
      <c r="AZ335">
        <v>0</v>
      </c>
      <c r="BA335">
        <v>410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ROUND(Y335*Source!I262,9)</f>
        <v>2.0400000000000001E-2</v>
      </c>
      <c r="CY335">
        <f t="shared" si="127"/>
        <v>5.46</v>
      </c>
      <c r="CZ335">
        <f t="shared" si="128"/>
        <v>5.46</v>
      </c>
      <c r="DA335">
        <f t="shared" si="129"/>
        <v>1</v>
      </c>
      <c r="DB335">
        <f t="shared" si="130"/>
        <v>5.57</v>
      </c>
      <c r="DC335">
        <f t="shared" si="131"/>
        <v>0</v>
      </c>
      <c r="DD335" t="s">
        <v>3</v>
      </c>
      <c r="DE335" t="s">
        <v>3</v>
      </c>
      <c r="DF335">
        <f t="shared" si="125"/>
        <v>0.11</v>
      </c>
      <c r="DG335">
        <f t="shared" si="123"/>
        <v>0</v>
      </c>
      <c r="DH335">
        <f t="shared" si="124"/>
        <v>0</v>
      </c>
      <c r="DI335">
        <f t="shared" si="122"/>
        <v>0</v>
      </c>
      <c r="DJ335">
        <f t="shared" si="132"/>
        <v>0.11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ROW(Source!A262)</f>
        <v>262</v>
      </c>
      <c r="B336">
        <v>57248835</v>
      </c>
      <c r="C336">
        <v>57249458</v>
      </c>
      <c r="D336">
        <v>54760731</v>
      </c>
      <c r="E336">
        <v>1</v>
      </c>
      <c r="F336">
        <v>1</v>
      </c>
      <c r="G336">
        <v>1081</v>
      </c>
      <c r="H336">
        <v>3</v>
      </c>
      <c r="I336" t="s">
        <v>582</v>
      </c>
      <c r="J336" t="s">
        <v>583</v>
      </c>
      <c r="K336" t="s">
        <v>584</v>
      </c>
      <c r="L336">
        <v>1354</v>
      </c>
      <c r="N336">
        <v>1010</v>
      </c>
      <c r="O336" t="s">
        <v>228</v>
      </c>
      <c r="P336" t="s">
        <v>228</v>
      </c>
      <c r="Q336">
        <v>1</v>
      </c>
      <c r="W336">
        <v>0</v>
      </c>
      <c r="X336">
        <v>-852943543</v>
      </c>
      <c r="Y336">
        <f t="shared" si="126"/>
        <v>6</v>
      </c>
      <c r="AA336">
        <v>180.02</v>
      </c>
      <c r="AB336">
        <v>0</v>
      </c>
      <c r="AC336">
        <v>0</v>
      </c>
      <c r="AD336">
        <v>0</v>
      </c>
      <c r="AE336">
        <v>180.02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-2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6</v>
      </c>
      <c r="AU336" t="s">
        <v>119</v>
      </c>
      <c r="AV336">
        <v>0</v>
      </c>
      <c r="AW336">
        <v>2</v>
      </c>
      <c r="AX336">
        <v>57249479</v>
      </c>
      <c r="AY336">
        <v>1</v>
      </c>
      <c r="AZ336">
        <v>0</v>
      </c>
      <c r="BA336">
        <v>411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v>0</v>
      </c>
      <c r="CX336">
        <f>ROUND(Y336*Source!I262,9)</f>
        <v>0.12</v>
      </c>
      <c r="CY336">
        <f t="shared" si="127"/>
        <v>180.02</v>
      </c>
      <c r="CZ336">
        <f t="shared" si="128"/>
        <v>180.02</v>
      </c>
      <c r="DA336">
        <f t="shared" si="129"/>
        <v>1</v>
      </c>
      <c r="DB336">
        <f t="shared" si="130"/>
        <v>1080.1199999999999</v>
      </c>
      <c r="DC336">
        <f t="shared" si="131"/>
        <v>0</v>
      </c>
      <c r="DD336" t="s">
        <v>3</v>
      </c>
      <c r="DE336" t="s">
        <v>3</v>
      </c>
      <c r="DF336">
        <f t="shared" si="125"/>
        <v>21.6</v>
      </c>
      <c r="DG336">
        <f t="shared" si="123"/>
        <v>0</v>
      </c>
      <c r="DH336">
        <f t="shared" si="124"/>
        <v>0</v>
      </c>
      <c r="DI336">
        <f t="shared" si="122"/>
        <v>0</v>
      </c>
      <c r="DJ336">
        <f t="shared" si="132"/>
        <v>21.6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ROW(Source!A262)</f>
        <v>262</v>
      </c>
      <c r="B337">
        <v>57248835</v>
      </c>
      <c r="C337">
        <v>57249458</v>
      </c>
      <c r="D337">
        <v>54760747</v>
      </c>
      <c r="E337">
        <v>1</v>
      </c>
      <c r="F337">
        <v>1</v>
      </c>
      <c r="G337">
        <v>1081</v>
      </c>
      <c r="H337">
        <v>3</v>
      </c>
      <c r="I337" t="s">
        <v>585</v>
      </c>
      <c r="J337" t="s">
        <v>586</v>
      </c>
      <c r="K337" t="s">
        <v>587</v>
      </c>
      <c r="L337">
        <v>1354</v>
      </c>
      <c r="N337">
        <v>1010</v>
      </c>
      <c r="O337" t="s">
        <v>228</v>
      </c>
      <c r="P337" t="s">
        <v>228</v>
      </c>
      <c r="Q337">
        <v>1</v>
      </c>
      <c r="W337">
        <v>0</v>
      </c>
      <c r="X337">
        <v>-1189947653</v>
      </c>
      <c r="Y337">
        <f t="shared" si="126"/>
        <v>6</v>
      </c>
      <c r="AA337">
        <v>14.99</v>
      </c>
      <c r="AB337">
        <v>0</v>
      </c>
      <c r="AC337">
        <v>0</v>
      </c>
      <c r="AD337">
        <v>0</v>
      </c>
      <c r="AE337">
        <v>14.99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-2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6</v>
      </c>
      <c r="AU337" t="s">
        <v>119</v>
      </c>
      <c r="AV337">
        <v>0</v>
      </c>
      <c r="AW337">
        <v>2</v>
      </c>
      <c r="AX337">
        <v>57249480</v>
      </c>
      <c r="AY337">
        <v>1</v>
      </c>
      <c r="AZ337">
        <v>0</v>
      </c>
      <c r="BA337">
        <v>412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ROUND(Y337*Source!I262,9)</f>
        <v>0.12</v>
      </c>
      <c r="CY337">
        <f t="shared" si="127"/>
        <v>14.99</v>
      </c>
      <c r="CZ337">
        <f t="shared" si="128"/>
        <v>14.99</v>
      </c>
      <c r="DA337">
        <f t="shared" si="129"/>
        <v>1</v>
      </c>
      <c r="DB337">
        <f t="shared" si="130"/>
        <v>89.94</v>
      </c>
      <c r="DC337">
        <f t="shared" si="131"/>
        <v>0</v>
      </c>
      <c r="DD337" t="s">
        <v>3</v>
      </c>
      <c r="DE337" t="s">
        <v>3</v>
      </c>
      <c r="DF337">
        <f t="shared" si="125"/>
        <v>1.8</v>
      </c>
      <c r="DG337">
        <f t="shared" si="123"/>
        <v>0</v>
      </c>
      <c r="DH337">
        <f t="shared" si="124"/>
        <v>0</v>
      </c>
      <c r="DI337">
        <f t="shared" si="122"/>
        <v>0</v>
      </c>
      <c r="DJ337">
        <f t="shared" si="132"/>
        <v>1.8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ROW(Source!A262)</f>
        <v>262</v>
      </c>
      <c r="B338">
        <v>57248835</v>
      </c>
      <c r="C338">
        <v>57249458</v>
      </c>
      <c r="D338">
        <v>54744826</v>
      </c>
      <c r="E338">
        <v>1</v>
      </c>
      <c r="F338">
        <v>1</v>
      </c>
      <c r="G338">
        <v>1081</v>
      </c>
      <c r="H338">
        <v>3</v>
      </c>
      <c r="I338" t="s">
        <v>588</v>
      </c>
      <c r="J338" t="s">
        <v>589</v>
      </c>
      <c r="K338" t="s">
        <v>590</v>
      </c>
      <c r="L338">
        <v>1339</v>
      </c>
      <c r="N338">
        <v>1007</v>
      </c>
      <c r="O338" t="s">
        <v>591</v>
      </c>
      <c r="P338" t="s">
        <v>591</v>
      </c>
      <c r="Q338">
        <v>1</v>
      </c>
      <c r="W338">
        <v>0</v>
      </c>
      <c r="X338">
        <v>-762874257</v>
      </c>
      <c r="Y338">
        <f t="shared" si="126"/>
        <v>2E-3</v>
      </c>
      <c r="AA338">
        <v>439.5</v>
      </c>
      <c r="AB338">
        <v>0</v>
      </c>
      <c r="AC338">
        <v>0</v>
      </c>
      <c r="AD338">
        <v>0</v>
      </c>
      <c r="AE338">
        <v>439.5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1</v>
      </c>
      <c r="AL338">
        <v>1</v>
      </c>
      <c r="AM338">
        <v>-2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2E-3</v>
      </c>
      <c r="AU338" t="s">
        <v>119</v>
      </c>
      <c r="AV338">
        <v>0</v>
      </c>
      <c r="AW338">
        <v>2</v>
      </c>
      <c r="AX338">
        <v>57249481</v>
      </c>
      <c r="AY338">
        <v>1</v>
      </c>
      <c r="AZ338">
        <v>0</v>
      </c>
      <c r="BA338">
        <v>413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ROUND(Y338*Source!I262,9)</f>
        <v>4.0000000000000003E-5</v>
      </c>
      <c r="CY338">
        <f t="shared" si="127"/>
        <v>439.5</v>
      </c>
      <c r="CZ338">
        <f t="shared" si="128"/>
        <v>439.5</v>
      </c>
      <c r="DA338">
        <f t="shared" si="129"/>
        <v>1</v>
      </c>
      <c r="DB338">
        <f t="shared" si="130"/>
        <v>0.88</v>
      </c>
      <c r="DC338">
        <f t="shared" si="131"/>
        <v>0</v>
      </c>
      <c r="DD338" t="s">
        <v>3</v>
      </c>
      <c r="DE338" t="s">
        <v>3</v>
      </c>
      <c r="DF338">
        <f t="shared" si="125"/>
        <v>0.02</v>
      </c>
      <c r="DG338">
        <f t="shared" si="123"/>
        <v>0</v>
      </c>
      <c r="DH338">
        <f t="shared" si="124"/>
        <v>0</v>
      </c>
      <c r="DI338">
        <f t="shared" si="122"/>
        <v>0</v>
      </c>
      <c r="DJ338">
        <f t="shared" si="132"/>
        <v>0.02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ROW(Source!A263)</f>
        <v>263</v>
      </c>
      <c r="B339">
        <v>57248837</v>
      </c>
      <c r="C339">
        <v>57249458</v>
      </c>
      <c r="D339">
        <v>54702434</v>
      </c>
      <c r="E339">
        <v>1081</v>
      </c>
      <c r="F339">
        <v>1</v>
      </c>
      <c r="G339">
        <v>1081</v>
      </c>
      <c r="H339">
        <v>1</v>
      </c>
      <c r="I339" t="s">
        <v>457</v>
      </c>
      <c r="J339" t="s">
        <v>3</v>
      </c>
      <c r="K339" t="s">
        <v>458</v>
      </c>
      <c r="L339">
        <v>1191</v>
      </c>
      <c r="N339">
        <v>1013</v>
      </c>
      <c r="O339" t="s">
        <v>459</v>
      </c>
      <c r="P339" t="s">
        <v>459</v>
      </c>
      <c r="Q339">
        <v>1</v>
      </c>
      <c r="W339">
        <v>0</v>
      </c>
      <c r="X339">
        <v>476480486</v>
      </c>
      <c r="Y339">
        <f>(AT339*1.2)</f>
        <v>19.8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5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16.5</v>
      </c>
      <c r="AU339" t="s">
        <v>120</v>
      </c>
      <c r="AV339">
        <v>1</v>
      </c>
      <c r="AW339">
        <v>2</v>
      </c>
      <c r="AX339">
        <v>57249471</v>
      </c>
      <c r="AY339">
        <v>1</v>
      </c>
      <c r="AZ339">
        <v>0</v>
      </c>
      <c r="BA339">
        <v>419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ROUND(AT339*Source!I263*AH339*AL339,2)</f>
        <v>0</v>
      </c>
      <c r="CV339">
        <f>ROUND(Y339*Source!I263,9)</f>
        <v>0.39600000000000002</v>
      </c>
      <c r="CW339">
        <v>0</v>
      </c>
      <c r="CX339">
        <f>ROUND(Y339*Source!I263,9)</f>
        <v>0.39600000000000002</v>
      </c>
      <c r="CY339">
        <f>AD339</f>
        <v>0</v>
      </c>
      <c r="CZ339">
        <f>AH339</f>
        <v>0</v>
      </c>
      <c r="DA339">
        <f>AL339</f>
        <v>1</v>
      </c>
      <c r="DB339">
        <f>ROUND((ROUND(AT339*CZ339,2)*1.2),6)</f>
        <v>0</v>
      </c>
      <c r="DC339">
        <f>ROUND((ROUND(AT339*AG339,2)*1.2),6)</f>
        <v>0</v>
      </c>
      <c r="DD339" t="s">
        <v>3</v>
      </c>
      <c r="DE339" t="s">
        <v>3</v>
      </c>
      <c r="DF339">
        <f t="shared" si="125"/>
        <v>0</v>
      </c>
      <c r="DG339">
        <f t="shared" si="123"/>
        <v>0</v>
      </c>
      <c r="DH339">
        <f t="shared" si="124"/>
        <v>0</v>
      </c>
      <c r="DI339">
        <f t="shared" si="122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ROW(Source!A263)</f>
        <v>263</v>
      </c>
      <c r="B340">
        <v>57248837</v>
      </c>
      <c r="C340">
        <v>57249458</v>
      </c>
      <c r="D340">
        <v>54768040</v>
      </c>
      <c r="E340">
        <v>1</v>
      </c>
      <c r="F340">
        <v>1</v>
      </c>
      <c r="G340">
        <v>1081</v>
      </c>
      <c r="H340">
        <v>2</v>
      </c>
      <c r="I340" t="s">
        <v>564</v>
      </c>
      <c r="J340" t="s">
        <v>565</v>
      </c>
      <c r="K340" t="s">
        <v>566</v>
      </c>
      <c r="L340">
        <v>1368</v>
      </c>
      <c r="N340">
        <v>1011</v>
      </c>
      <c r="O340" t="s">
        <v>463</v>
      </c>
      <c r="P340" t="s">
        <v>463</v>
      </c>
      <c r="Q340">
        <v>1</v>
      </c>
      <c r="W340">
        <v>0</v>
      </c>
      <c r="X340">
        <v>1498588441</v>
      </c>
      <c r="Y340">
        <f>(AT340*1.2)</f>
        <v>4.3920000000000003</v>
      </c>
      <c r="AA340">
        <v>0</v>
      </c>
      <c r="AB340">
        <v>100.2</v>
      </c>
      <c r="AC340">
        <v>0</v>
      </c>
      <c r="AD340">
        <v>0</v>
      </c>
      <c r="AE340">
        <v>0</v>
      </c>
      <c r="AF340">
        <v>7.11</v>
      </c>
      <c r="AG340">
        <v>0</v>
      </c>
      <c r="AH340">
        <v>0</v>
      </c>
      <c r="AI340">
        <v>1</v>
      </c>
      <c r="AJ340">
        <v>13.46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3.66</v>
      </c>
      <c r="AU340" t="s">
        <v>120</v>
      </c>
      <c r="AV340">
        <v>0</v>
      </c>
      <c r="AW340">
        <v>2</v>
      </c>
      <c r="AX340">
        <v>57249472</v>
      </c>
      <c r="AY340">
        <v>1</v>
      </c>
      <c r="AZ340">
        <v>0</v>
      </c>
      <c r="BA340">
        <v>420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ROUND(Y340*Source!I263*DO340,9)</f>
        <v>0</v>
      </c>
      <c r="CX340">
        <f>ROUND(Y340*Source!I263,9)</f>
        <v>8.7840000000000001E-2</v>
      </c>
      <c r="CY340">
        <f>AB340</f>
        <v>100.2</v>
      </c>
      <c r="CZ340">
        <f>AF340</f>
        <v>7.11</v>
      </c>
      <c r="DA340">
        <f>AJ340</f>
        <v>13.46</v>
      </c>
      <c r="DB340">
        <f>ROUND((ROUND(AT340*CZ340,2)*1.2),6)</f>
        <v>31.224</v>
      </c>
      <c r="DC340">
        <f>ROUND((ROUND(AT340*AG340,2)*1.2),6)</f>
        <v>0</v>
      </c>
      <c r="DD340" t="s">
        <v>3</v>
      </c>
      <c r="DE340" t="s">
        <v>3</v>
      </c>
      <c r="DF340">
        <f t="shared" si="125"/>
        <v>0</v>
      </c>
      <c r="DG340">
        <f>ROUND(ROUND(AF340*AJ340,2)*CX340,2)</f>
        <v>8.41</v>
      </c>
      <c r="DH340">
        <f t="shared" si="124"/>
        <v>0</v>
      </c>
      <c r="DI340">
        <f t="shared" si="122"/>
        <v>0</v>
      </c>
      <c r="DJ340">
        <f>DG340</f>
        <v>8.41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ROW(Source!A263)</f>
        <v>263</v>
      </c>
      <c r="B341">
        <v>57248837</v>
      </c>
      <c r="C341">
        <v>57249458</v>
      </c>
      <c r="D341">
        <v>54768339</v>
      </c>
      <c r="E341">
        <v>1</v>
      </c>
      <c r="F341">
        <v>1</v>
      </c>
      <c r="G341">
        <v>1081</v>
      </c>
      <c r="H341">
        <v>2</v>
      </c>
      <c r="I341" t="s">
        <v>497</v>
      </c>
      <c r="J341" t="s">
        <v>498</v>
      </c>
      <c r="K341" t="s">
        <v>499</v>
      </c>
      <c r="L341">
        <v>1368</v>
      </c>
      <c r="N341">
        <v>1011</v>
      </c>
      <c r="O341" t="s">
        <v>463</v>
      </c>
      <c r="P341" t="s">
        <v>463</v>
      </c>
      <c r="Q341">
        <v>1</v>
      </c>
      <c r="W341">
        <v>0</v>
      </c>
      <c r="X341">
        <v>874612079</v>
      </c>
      <c r="Y341">
        <f>(AT341*1.2)</f>
        <v>0.51600000000000001</v>
      </c>
      <c r="AA341">
        <v>0</v>
      </c>
      <c r="AB341">
        <v>1485.19</v>
      </c>
      <c r="AC341">
        <v>744.56</v>
      </c>
      <c r="AD341">
        <v>0</v>
      </c>
      <c r="AE341">
        <v>0</v>
      </c>
      <c r="AF341">
        <v>83.1</v>
      </c>
      <c r="AG341">
        <v>12.62</v>
      </c>
      <c r="AH341">
        <v>0</v>
      </c>
      <c r="AI341">
        <v>1</v>
      </c>
      <c r="AJ341">
        <v>17.07</v>
      </c>
      <c r="AK341">
        <v>56.35</v>
      </c>
      <c r="AL341">
        <v>1</v>
      </c>
      <c r="AM341">
        <v>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0.43</v>
      </c>
      <c r="AU341" t="s">
        <v>120</v>
      </c>
      <c r="AV341">
        <v>0</v>
      </c>
      <c r="AW341">
        <v>2</v>
      </c>
      <c r="AX341">
        <v>57249473</v>
      </c>
      <c r="AY341">
        <v>1</v>
      </c>
      <c r="AZ341">
        <v>0</v>
      </c>
      <c r="BA341">
        <v>421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ROUND(Y341*Source!I263*DO341,9)</f>
        <v>0.1302384</v>
      </c>
      <c r="CX341">
        <f>ROUND(Y341*Source!I263,9)</f>
        <v>1.0319999999999999E-2</v>
      </c>
      <c r="CY341">
        <f>AB341</f>
        <v>1485.19</v>
      </c>
      <c r="CZ341">
        <f>AF341</f>
        <v>83.1</v>
      </c>
      <c r="DA341">
        <f>AJ341</f>
        <v>17.07</v>
      </c>
      <c r="DB341">
        <f>ROUND((ROUND(AT341*CZ341,2)*1.2),6)</f>
        <v>42.875999999999998</v>
      </c>
      <c r="DC341">
        <f>ROUND((ROUND(AT341*AG341,2)*1.2),6)</f>
        <v>6.516</v>
      </c>
      <c r="DD341" t="s">
        <v>3</v>
      </c>
      <c r="DE341" t="s">
        <v>3</v>
      </c>
      <c r="DF341">
        <f t="shared" si="125"/>
        <v>0</v>
      </c>
      <c r="DG341">
        <f>ROUND(ROUND(AF341*AJ341,2)*CX341,2)</f>
        <v>14.64</v>
      </c>
      <c r="DH341">
        <f>ROUND(ROUND(AG341*AK341,2)*CX341,2)</f>
        <v>7.34</v>
      </c>
      <c r="DI341">
        <f t="shared" si="122"/>
        <v>0</v>
      </c>
      <c r="DJ341">
        <f>DG341</f>
        <v>14.64</v>
      </c>
      <c r="DK341">
        <v>0</v>
      </c>
      <c r="DL341" t="s">
        <v>500</v>
      </c>
      <c r="DM341">
        <v>0</v>
      </c>
      <c r="DN341" t="s">
        <v>459</v>
      </c>
      <c r="DO341">
        <v>12.62</v>
      </c>
    </row>
    <row r="342" spans="1:119" x14ac:dyDescent="0.2">
      <c r="A342">
        <f>ROW(Source!A263)</f>
        <v>263</v>
      </c>
      <c r="B342">
        <v>57248837</v>
      </c>
      <c r="C342">
        <v>57249458</v>
      </c>
      <c r="D342">
        <v>54738510</v>
      </c>
      <c r="E342">
        <v>1</v>
      </c>
      <c r="F342">
        <v>1</v>
      </c>
      <c r="G342">
        <v>1081</v>
      </c>
      <c r="H342">
        <v>3</v>
      </c>
      <c r="I342" t="s">
        <v>567</v>
      </c>
      <c r="J342" t="s">
        <v>568</v>
      </c>
      <c r="K342" t="s">
        <v>569</v>
      </c>
      <c r="L342">
        <v>1348</v>
      </c>
      <c r="N342">
        <v>1009</v>
      </c>
      <c r="O342" t="s">
        <v>298</v>
      </c>
      <c r="P342" t="s">
        <v>298</v>
      </c>
      <c r="Q342">
        <v>1000</v>
      </c>
      <c r="W342">
        <v>0</v>
      </c>
      <c r="X342">
        <v>277309194</v>
      </c>
      <c r="Y342">
        <f t="shared" ref="Y342:Y350" si="133">(AT342*1)</f>
        <v>1.0499999999999999E-3</v>
      </c>
      <c r="AA342">
        <v>141233.74</v>
      </c>
      <c r="AB342">
        <v>0</v>
      </c>
      <c r="AC342">
        <v>0</v>
      </c>
      <c r="AD342">
        <v>0</v>
      </c>
      <c r="AE342">
        <v>8590.86</v>
      </c>
      <c r="AF342">
        <v>0</v>
      </c>
      <c r="AG342">
        <v>0</v>
      </c>
      <c r="AH342">
        <v>0</v>
      </c>
      <c r="AI342">
        <v>16.440000000000001</v>
      </c>
      <c r="AJ342">
        <v>1</v>
      </c>
      <c r="AK342">
        <v>1</v>
      </c>
      <c r="AL342">
        <v>1</v>
      </c>
      <c r="AM342">
        <v>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1.0499999999999999E-3</v>
      </c>
      <c r="AU342" t="s">
        <v>119</v>
      </c>
      <c r="AV342">
        <v>0</v>
      </c>
      <c r="AW342">
        <v>2</v>
      </c>
      <c r="AX342">
        <v>57249474</v>
      </c>
      <c r="AY342">
        <v>1</v>
      </c>
      <c r="AZ342">
        <v>0</v>
      </c>
      <c r="BA342">
        <v>422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ROUND(Y342*Source!I263,9)</f>
        <v>2.0999999999999999E-5</v>
      </c>
      <c r="CY342">
        <f t="shared" ref="CY342:CY350" si="134">AA342</f>
        <v>141233.74</v>
      </c>
      <c r="CZ342">
        <f t="shared" ref="CZ342:CZ350" si="135">AE342</f>
        <v>8590.86</v>
      </c>
      <c r="DA342">
        <f t="shared" ref="DA342:DA350" si="136">AI342</f>
        <v>16.440000000000001</v>
      </c>
      <c r="DB342">
        <f t="shared" ref="DB342:DB350" si="137">ROUND((ROUND(AT342*CZ342,2)*1),6)</f>
        <v>9.02</v>
      </c>
      <c r="DC342">
        <f t="shared" ref="DC342:DC350" si="138">ROUND((ROUND(AT342*AG342,2)*1),6)</f>
        <v>0</v>
      </c>
      <c r="DD342" t="s">
        <v>3</v>
      </c>
      <c r="DE342" t="s">
        <v>3</v>
      </c>
      <c r="DF342">
        <f t="shared" ref="DF342:DF350" si="139">ROUND(ROUND(AE342*AI342,2)*CX342,2)</f>
        <v>2.97</v>
      </c>
      <c r="DG342">
        <f t="shared" ref="DG342:DG360" si="140">ROUND(ROUND(AF342,2)*CX342,2)</f>
        <v>0</v>
      </c>
      <c r="DH342">
        <f t="shared" ref="DH342:DH360" si="141">ROUND(ROUND(AG342,2)*CX342,2)</f>
        <v>0</v>
      </c>
      <c r="DI342">
        <f t="shared" si="122"/>
        <v>0</v>
      </c>
      <c r="DJ342">
        <f t="shared" ref="DJ342:DJ350" si="142">DF342</f>
        <v>2.97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ROW(Source!A263)</f>
        <v>263</v>
      </c>
      <c r="B343">
        <v>57248837</v>
      </c>
      <c r="C343">
        <v>57249458</v>
      </c>
      <c r="D343">
        <v>54737469</v>
      </c>
      <c r="E343">
        <v>1</v>
      </c>
      <c r="F343">
        <v>1</v>
      </c>
      <c r="G343">
        <v>1081</v>
      </c>
      <c r="H343">
        <v>3</v>
      </c>
      <c r="I343" t="s">
        <v>570</v>
      </c>
      <c r="J343" t="s">
        <v>571</v>
      </c>
      <c r="K343" t="s">
        <v>572</v>
      </c>
      <c r="L343">
        <v>1354</v>
      </c>
      <c r="N343">
        <v>1010</v>
      </c>
      <c r="O343" t="s">
        <v>228</v>
      </c>
      <c r="P343" t="s">
        <v>228</v>
      </c>
      <c r="Q343">
        <v>1</v>
      </c>
      <c r="W343">
        <v>0</v>
      </c>
      <c r="X343">
        <v>1424298623</v>
      </c>
      <c r="Y343">
        <f t="shared" si="133"/>
        <v>122</v>
      </c>
      <c r="AA343">
        <v>7.57</v>
      </c>
      <c r="AB343">
        <v>0</v>
      </c>
      <c r="AC343">
        <v>0</v>
      </c>
      <c r="AD343">
        <v>0</v>
      </c>
      <c r="AE343">
        <v>3.86</v>
      </c>
      <c r="AF343">
        <v>0</v>
      </c>
      <c r="AG343">
        <v>0</v>
      </c>
      <c r="AH343">
        <v>0</v>
      </c>
      <c r="AI343">
        <v>1.96</v>
      </c>
      <c r="AJ343">
        <v>1</v>
      </c>
      <c r="AK343">
        <v>1</v>
      </c>
      <c r="AL343">
        <v>1</v>
      </c>
      <c r="AM343">
        <v>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122</v>
      </c>
      <c r="AU343" t="s">
        <v>119</v>
      </c>
      <c r="AV343">
        <v>0</v>
      </c>
      <c r="AW343">
        <v>2</v>
      </c>
      <c r="AX343">
        <v>57249475</v>
      </c>
      <c r="AY343">
        <v>1</v>
      </c>
      <c r="AZ343">
        <v>0</v>
      </c>
      <c r="BA343">
        <v>423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ROUND(Y343*Source!I263,9)</f>
        <v>2.44</v>
      </c>
      <c r="CY343">
        <f t="shared" si="134"/>
        <v>7.57</v>
      </c>
      <c r="CZ343">
        <f t="shared" si="135"/>
        <v>3.86</v>
      </c>
      <c r="DA343">
        <f t="shared" si="136"/>
        <v>1.96</v>
      </c>
      <c r="DB343">
        <f t="shared" si="137"/>
        <v>470.92</v>
      </c>
      <c r="DC343">
        <f t="shared" si="138"/>
        <v>0</v>
      </c>
      <c r="DD343" t="s">
        <v>3</v>
      </c>
      <c r="DE343" t="s">
        <v>3</v>
      </c>
      <c r="DF343">
        <f t="shared" si="139"/>
        <v>18.47</v>
      </c>
      <c r="DG343">
        <f t="shared" si="140"/>
        <v>0</v>
      </c>
      <c r="DH343">
        <f t="shared" si="141"/>
        <v>0</v>
      </c>
      <c r="DI343">
        <f t="shared" si="122"/>
        <v>0</v>
      </c>
      <c r="DJ343">
        <f t="shared" si="142"/>
        <v>18.47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ROW(Source!A263)</f>
        <v>263</v>
      </c>
      <c r="B344">
        <v>57248837</v>
      </c>
      <c r="C344">
        <v>57249458</v>
      </c>
      <c r="D344">
        <v>54739835</v>
      </c>
      <c r="E344">
        <v>1</v>
      </c>
      <c r="F344">
        <v>1</v>
      </c>
      <c r="G344">
        <v>1081</v>
      </c>
      <c r="H344">
        <v>3</v>
      </c>
      <c r="I344" t="s">
        <v>573</v>
      </c>
      <c r="J344" t="s">
        <v>574</v>
      </c>
      <c r="K344" t="s">
        <v>575</v>
      </c>
      <c r="L344">
        <v>1346</v>
      </c>
      <c r="N344">
        <v>1009</v>
      </c>
      <c r="O344" t="s">
        <v>320</v>
      </c>
      <c r="P344" t="s">
        <v>320</v>
      </c>
      <c r="Q344">
        <v>1</v>
      </c>
      <c r="W344">
        <v>0</v>
      </c>
      <c r="X344">
        <v>731843586</v>
      </c>
      <c r="Y344">
        <f t="shared" si="133"/>
        <v>0.03</v>
      </c>
      <c r="AA344">
        <v>978.56</v>
      </c>
      <c r="AB344">
        <v>0</v>
      </c>
      <c r="AC344">
        <v>0</v>
      </c>
      <c r="AD344">
        <v>0</v>
      </c>
      <c r="AE344">
        <v>520.51</v>
      </c>
      <c r="AF344">
        <v>0</v>
      </c>
      <c r="AG344">
        <v>0</v>
      </c>
      <c r="AH344">
        <v>0</v>
      </c>
      <c r="AI344">
        <v>1.88</v>
      </c>
      <c r="AJ344">
        <v>1</v>
      </c>
      <c r="AK344">
        <v>1</v>
      </c>
      <c r="AL344">
        <v>1</v>
      </c>
      <c r="AM344">
        <v>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0.03</v>
      </c>
      <c r="AU344" t="s">
        <v>119</v>
      </c>
      <c r="AV344">
        <v>0</v>
      </c>
      <c r="AW344">
        <v>2</v>
      </c>
      <c r="AX344">
        <v>57249476</v>
      </c>
      <c r="AY344">
        <v>1</v>
      </c>
      <c r="AZ344">
        <v>0</v>
      </c>
      <c r="BA344">
        <v>424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ROUND(Y344*Source!I263,9)</f>
        <v>5.9999999999999995E-4</v>
      </c>
      <c r="CY344">
        <f t="shared" si="134"/>
        <v>978.56</v>
      </c>
      <c r="CZ344">
        <f t="shared" si="135"/>
        <v>520.51</v>
      </c>
      <c r="DA344">
        <f t="shared" si="136"/>
        <v>1.88</v>
      </c>
      <c r="DB344">
        <f t="shared" si="137"/>
        <v>15.62</v>
      </c>
      <c r="DC344">
        <f t="shared" si="138"/>
        <v>0</v>
      </c>
      <c r="DD344" t="s">
        <v>3</v>
      </c>
      <c r="DE344" t="s">
        <v>3</v>
      </c>
      <c r="DF344">
        <f t="shared" si="139"/>
        <v>0.59</v>
      </c>
      <c r="DG344">
        <f t="shared" si="140"/>
        <v>0</v>
      </c>
      <c r="DH344">
        <f t="shared" si="141"/>
        <v>0</v>
      </c>
      <c r="DI344">
        <f t="shared" si="122"/>
        <v>0</v>
      </c>
      <c r="DJ344">
        <f t="shared" si="142"/>
        <v>0.59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ROW(Source!A263)</f>
        <v>263</v>
      </c>
      <c r="B345">
        <v>57248837</v>
      </c>
      <c r="C345">
        <v>57249458</v>
      </c>
      <c r="D345">
        <v>54737945</v>
      </c>
      <c r="E345">
        <v>1</v>
      </c>
      <c r="F345">
        <v>1</v>
      </c>
      <c r="G345">
        <v>1081</v>
      </c>
      <c r="H345">
        <v>3</v>
      </c>
      <c r="I345" t="s">
        <v>576</v>
      </c>
      <c r="J345" t="s">
        <v>577</v>
      </c>
      <c r="K345" t="s">
        <v>578</v>
      </c>
      <c r="L345">
        <v>1348</v>
      </c>
      <c r="N345">
        <v>1009</v>
      </c>
      <c r="O345" t="s">
        <v>298</v>
      </c>
      <c r="P345" t="s">
        <v>298</v>
      </c>
      <c r="Q345">
        <v>1000</v>
      </c>
      <c r="W345">
        <v>0</v>
      </c>
      <c r="X345">
        <v>-557692701</v>
      </c>
      <c r="Y345">
        <f t="shared" si="133"/>
        <v>2.0999999999999999E-3</v>
      </c>
      <c r="AA345">
        <v>72799.61</v>
      </c>
      <c r="AB345">
        <v>0</v>
      </c>
      <c r="AC345">
        <v>0</v>
      </c>
      <c r="AD345">
        <v>0</v>
      </c>
      <c r="AE345">
        <v>7973.67</v>
      </c>
      <c r="AF345">
        <v>0</v>
      </c>
      <c r="AG345">
        <v>0</v>
      </c>
      <c r="AH345">
        <v>0</v>
      </c>
      <c r="AI345">
        <v>9.1300000000000008</v>
      </c>
      <c r="AJ345">
        <v>1</v>
      </c>
      <c r="AK345">
        <v>1</v>
      </c>
      <c r="AL345">
        <v>1</v>
      </c>
      <c r="AM345">
        <v>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2.0999999999999999E-3</v>
      </c>
      <c r="AU345" t="s">
        <v>119</v>
      </c>
      <c r="AV345">
        <v>0</v>
      </c>
      <c r="AW345">
        <v>2</v>
      </c>
      <c r="AX345">
        <v>57249477</v>
      </c>
      <c r="AY345">
        <v>1</v>
      </c>
      <c r="AZ345">
        <v>0</v>
      </c>
      <c r="BA345">
        <v>425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ROUND(Y345*Source!I263,9)</f>
        <v>4.1999999999999998E-5</v>
      </c>
      <c r="CY345">
        <f t="shared" si="134"/>
        <v>72799.61</v>
      </c>
      <c r="CZ345">
        <f t="shared" si="135"/>
        <v>7973.67</v>
      </c>
      <c r="DA345">
        <f t="shared" si="136"/>
        <v>9.1300000000000008</v>
      </c>
      <c r="DB345">
        <f t="shared" si="137"/>
        <v>16.739999999999998</v>
      </c>
      <c r="DC345">
        <f t="shared" si="138"/>
        <v>0</v>
      </c>
      <c r="DD345" t="s">
        <v>3</v>
      </c>
      <c r="DE345" t="s">
        <v>3</v>
      </c>
      <c r="DF345">
        <f t="shared" si="139"/>
        <v>3.06</v>
      </c>
      <c r="DG345">
        <f t="shared" si="140"/>
        <v>0</v>
      </c>
      <c r="DH345">
        <f t="shared" si="141"/>
        <v>0</v>
      </c>
      <c r="DI345">
        <f t="shared" si="122"/>
        <v>0</v>
      </c>
      <c r="DJ345">
        <f t="shared" si="142"/>
        <v>3.06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ROW(Source!A263)</f>
        <v>263</v>
      </c>
      <c r="B346">
        <v>57248837</v>
      </c>
      <c r="C346">
        <v>57249458</v>
      </c>
      <c r="D346">
        <v>54749840</v>
      </c>
      <c r="E346">
        <v>1</v>
      </c>
      <c r="F346">
        <v>1</v>
      </c>
      <c r="G346">
        <v>1081</v>
      </c>
      <c r="H346">
        <v>3</v>
      </c>
      <c r="I346" t="s">
        <v>405</v>
      </c>
      <c r="J346" t="s">
        <v>407</v>
      </c>
      <c r="K346" t="s">
        <v>406</v>
      </c>
      <c r="L346">
        <v>1301</v>
      </c>
      <c r="N346">
        <v>1003</v>
      </c>
      <c r="O346" t="s">
        <v>341</v>
      </c>
      <c r="P346" t="s">
        <v>341</v>
      </c>
      <c r="Q346">
        <v>1</v>
      </c>
      <c r="W346">
        <v>0</v>
      </c>
      <c r="X346">
        <v>-511472295</v>
      </c>
      <c r="Y346">
        <f t="shared" si="133"/>
        <v>103</v>
      </c>
      <c r="AA346">
        <v>55.04</v>
      </c>
      <c r="AB346">
        <v>0</v>
      </c>
      <c r="AC346">
        <v>0</v>
      </c>
      <c r="AD346">
        <v>0</v>
      </c>
      <c r="AE346">
        <v>32.96</v>
      </c>
      <c r="AF346">
        <v>0</v>
      </c>
      <c r="AG346">
        <v>0</v>
      </c>
      <c r="AH346">
        <v>0</v>
      </c>
      <c r="AI346">
        <v>1.67</v>
      </c>
      <c r="AJ346">
        <v>1</v>
      </c>
      <c r="AK346">
        <v>1</v>
      </c>
      <c r="AL346">
        <v>1</v>
      </c>
      <c r="AM346">
        <v>0</v>
      </c>
      <c r="AN346">
        <v>0</v>
      </c>
      <c r="AO346">
        <v>0</v>
      </c>
      <c r="AP346">
        <v>1</v>
      </c>
      <c r="AQ346">
        <v>0</v>
      </c>
      <c r="AR346">
        <v>0</v>
      </c>
      <c r="AS346" t="s">
        <v>3</v>
      </c>
      <c r="AT346">
        <v>103</v>
      </c>
      <c r="AU346" t="s">
        <v>119</v>
      </c>
      <c r="AV346">
        <v>0</v>
      </c>
      <c r="AW346">
        <v>1</v>
      </c>
      <c r="AX346">
        <v>-1</v>
      </c>
      <c r="AY346">
        <v>0</v>
      </c>
      <c r="AZ346">
        <v>0</v>
      </c>
      <c r="BA346" t="s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V346">
        <v>0</v>
      </c>
      <c r="CW346">
        <v>0</v>
      </c>
      <c r="CX346">
        <f>ROUND(Y346*Source!I263,9)</f>
        <v>2.06</v>
      </c>
      <c r="CY346">
        <f t="shared" si="134"/>
        <v>55.04</v>
      </c>
      <c r="CZ346">
        <f t="shared" si="135"/>
        <v>32.96</v>
      </c>
      <c r="DA346">
        <f t="shared" si="136"/>
        <v>1.67</v>
      </c>
      <c r="DB346">
        <f t="shared" si="137"/>
        <v>3394.88</v>
      </c>
      <c r="DC346">
        <f t="shared" si="138"/>
        <v>0</v>
      </c>
      <c r="DD346" t="s">
        <v>3</v>
      </c>
      <c r="DE346" t="s">
        <v>3</v>
      </c>
      <c r="DF346">
        <f t="shared" si="139"/>
        <v>113.38</v>
      </c>
      <c r="DG346">
        <f t="shared" si="140"/>
        <v>0</v>
      </c>
      <c r="DH346">
        <f t="shared" si="141"/>
        <v>0</v>
      </c>
      <c r="DI346">
        <f t="shared" si="122"/>
        <v>0</v>
      </c>
      <c r="DJ346">
        <f t="shared" si="142"/>
        <v>113.38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ROW(Source!A263)</f>
        <v>263</v>
      </c>
      <c r="B347">
        <v>57248837</v>
      </c>
      <c r="C347">
        <v>57249458</v>
      </c>
      <c r="D347">
        <v>54760653</v>
      </c>
      <c r="E347">
        <v>1</v>
      </c>
      <c r="F347">
        <v>1</v>
      </c>
      <c r="G347">
        <v>1081</v>
      </c>
      <c r="H347">
        <v>3</v>
      </c>
      <c r="I347" t="s">
        <v>579</v>
      </c>
      <c r="J347" t="s">
        <v>580</v>
      </c>
      <c r="K347" t="s">
        <v>581</v>
      </c>
      <c r="L347">
        <v>1358</v>
      </c>
      <c r="N347">
        <v>1010</v>
      </c>
      <c r="O347" t="s">
        <v>82</v>
      </c>
      <c r="P347" t="s">
        <v>82</v>
      </c>
      <c r="Q347">
        <v>10</v>
      </c>
      <c r="W347">
        <v>0</v>
      </c>
      <c r="X347">
        <v>-101314250</v>
      </c>
      <c r="Y347">
        <f t="shared" si="133"/>
        <v>1.02</v>
      </c>
      <c r="AA347">
        <v>43.35</v>
      </c>
      <c r="AB347">
        <v>0</v>
      </c>
      <c r="AC347">
        <v>0</v>
      </c>
      <c r="AD347">
        <v>0</v>
      </c>
      <c r="AE347">
        <v>5.46</v>
      </c>
      <c r="AF347">
        <v>0</v>
      </c>
      <c r="AG347">
        <v>0</v>
      </c>
      <c r="AH347">
        <v>0</v>
      </c>
      <c r="AI347">
        <v>7.94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1.02</v>
      </c>
      <c r="AU347" t="s">
        <v>119</v>
      </c>
      <c r="AV347">
        <v>0</v>
      </c>
      <c r="AW347">
        <v>2</v>
      </c>
      <c r="AX347">
        <v>57249478</v>
      </c>
      <c r="AY347">
        <v>1</v>
      </c>
      <c r="AZ347">
        <v>0</v>
      </c>
      <c r="BA347">
        <v>426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ROUND(Y347*Source!I263,9)</f>
        <v>2.0400000000000001E-2</v>
      </c>
      <c r="CY347">
        <f t="shared" si="134"/>
        <v>43.35</v>
      </c>
      <c r="CZ347">
        <f t="shared" si="135"/>
        <v>5.46</v>
      </c>
      <c r="DA347">
        <f t="shared" si="136"/>
        <v>7.94</v>
      </c>
      <c r="DB347">
        <f t="shared" si="137"/>
        <v>5.57</v>
      </c>
      <c r="DC347">
        <f t="shared" si="138"/>
        <v>0</v>
      </c>
      <c r="DD347" t="s">
        <v>3</v>
      </c>
      <c r="DE347" t="s">
        <v>3</v>
      </c>
      <c r="DF347">
        <f t="shared" si="139"/>
        <v>0.88</v>
      </c>
      <c r="DG347">
        <f t="shared" si="140"/>
        <v>0</v>
      </c>
      <c r="DH347">
        <f t="shared" si="141"/>
        <v>0</v>
      </c>
      <c r="DI347">
        <f t="shared" si="122"/>
        <v>0</v>
      </c>
      <c r="DJ347">
        <f t="shared" si="142"/>
        <v>0.88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ROW(Source!A263)</f>
        <v>263</v>
      </c>
      <c r="B348">
        <v>57248837</v>
      </c>
      <c r="C348">
        <v>57249458</v>
      </c>
      <c r="D348">
        <v>54760731</v>
      </c>
      <c r="E348">
        <v>1</v>
      </c>
      <c r="F348">
        <v>1</v>
      </c>
      <c r="G348">
        <v>1081</v>
      </c>
      <c r="H348">
        <v>3</v>
      </c>
      <c r="I348" t="s">
        <v>582</v>
      </c>
      <c r="J348" t="s">
        <v>583</v>
      </c>
      <c r="K348" t="s">
        <v>584</v>
      </c>
      <c r="L348">
        <v>1354</v>
      </c>
      <c r="N348">
        <v>1010</v>
      </c>
      <c r="O348" t="s">
        <v>228</v>
      </c>
      <c r="P348" t="s">
        <v>228</v>
      </c>
      <c r="Q348">
        <v>1</v>
      </c>
      <c r="W348">
        <v>0</v>
      </c>
      <c r="X348">
        <v>-852943543</v>
      </c>
      <c r="Y348">
        <f t="shared" si="133"/>
        <v>6</v>
      </c>
      <c r="AA348">
        <v>1008.11</v>
      </c>
      <c r="AB348">
        <v>0</v>
      </c>
      <c r="AC348">
        <v>0</v>
      </c>
      <c r="AD348">
        <v>0</v>
      </c>
      <c r="AE348">
        <v>180.02</v>
      </c>
      <c r="AF348">
        <v>0</v>
      </c>
      <c r="AG348">
        <v>0</v>
      </c>
      <c r="AH348">
        <v>0</v>
      </c>
      <c r="AI348">
        <v>5.6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6</v>
      </c>
      <c r="AU348" t="s">
        <v>119</v>
      </c>
      <c r="AV348">
        <v>0</v>
      </c>
      <c r="AW348">
        <v>2</v>
      </c>
      <c r="AX348">
        <v>57249479</v>
      </c>
      <c r="AY348">
        <v>1</v>
      </c>
      <c r="AZ348">
        <v>0</v>
      </c>
      <c r="BA348">
        <v>427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ROUND(Y348*Source!I263,9)</f>
        <v>0.12</v>
      </c>
      <c r="CY348">
        <f t="shared" si="134"/>
        <v>1008.11</v>
      </c>
      <c r="CZ348">
        <f t="shared" si="135"/>
        <v>180.02</v>
      </c>
      <c r="DA348">
        <f t="shared" si="136"/>
        <v>5.6</v>
      </c>
      <c r="DB348">
        <f t="shared" si="137"/>
        <v>1080.1199999999999</v>
      </c>
      <c r="DC348">
        <f t="shared" si="138"/>
        <v>0</v>
      </c>
      <c r="DD348" t="s">
        <v>3</v>
      </c>
      <c r="DE348" t="s">
        <v>3</v>
      </c>
      <c r="DF348">
        <f t="shared" si="139"/>
        <v>120.97</v>
      </c>
      <c r="DG348">
        <f t="shared" si="140"/>
        <v>0</v>
      </c>
      <c r="DH348">
        <f t="shared" si="141"/>
        <v>0</v>
      </c>
      <c r="DI348">
        <f t="shared" si="122"/>
        <v>0</v>
      </c>
      <c r="DJ348">
        <f t="shared" si="142"/>
        <v>120.97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ROW(Source!A263)</f>
        <v>263</v>
      </c>
      <c r="B349">
        <v>57248837</v>
      </c>
      <c r="C349">
        <v>57249458</v>
      </c>
      <c r="D349">
        <v>54760747</v>
      </c>
      <c r="E349">
        <v>1</v>
      </c>
      <c r="F349">
        <v>1</v>
      </c>
      <c r="G349">
        <v>1081</v>
      </c>
      <c r="H349">
        <v>3</v>
      </c>
      <c r="I349" t="s">
        <v>585</v>
      </c>
      <c r="J349" t="s">
        <v>586</v>
      </c>
      <c r="K349" t="s">
        <v>587</v>
      </c>
      <c r="L349">
        <v>1354</v>
      </c>
      <c r="N349">
        <v>1010</v>
      </c>
      <c r="O349" t="s">
        <v>228</v>
      </c>
      <c r="P349" t="s">
        <v>228</v>
      </c>
      <c r="Q349">
        <v>1</v>
      </c>
      <c r="W349">
        <v>0</v>
      </c>
      <c r="X349">
        <v>-1189947653</v>
      </c>
      <c r="Y349">
        <f t="shared" si="133"/>
        <v>6</v>
      </c>
      <c r="AA349">
        <v>123.97</v>
      </c>
      <c r="AB349">
        <v>0</v>
      </c>
      <c r="AC349">
        <v>0</v>
      </c>
      <c r="AD349">
        <v>0</v>
      </c>
      <c r="AE349">
        <v>14.99</v>
      </c>
      <c r="AF349">
        <v>0</v>
      </c>
      <c r="AG349">
        <v>0</v>
      </c>
      <c r="AH349">
        <v>0</v>
      </c>
      <c r="AI349">
        <v>8.27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6</v>
      </c>
      <c r="AU349" t="s">
        <v>119</v>
      </c>
      <c r="AV349">
        <v>0</v>
      </c>
      <c r="AW349">
        <v>2</v>
      </c>
      <c r="AX349">
        <v>57249480</v>
      </c>
      <c r="AY349">
        <v>1</v>
      </c>
      <c r="AZ349">
        <v>0</v>
      </c>
      <c r="BA349">
        <v>428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ROUND(Y349*Source!I263,9)</f>
        <v>0.12</v>
      </c>
      <c r="CY349">
        <f t="shared" si="134"/>
        <v>123.97</v>
      </c>
      <c r="CZ349">
        <f t="shared" si="135"/>
        <v>14.99</v>
      </c>
      <c r="DA349">
        <f t="shared" si="136"/>
        <v>8.27</v>
      </c>
      <c r="DB349">
        <f t="shared" si="137"/>
        <v>89.94</v>
      </c>
      <c r="DC349">
        <f t="shared" si="138"/>
        <v>0</v>
      </c>
      <c r="DD349" t="s">
        <v>3</v>
      </c>
      <c r="DE349" t="s">
        <v>3</v>
      </c>
      <c r="DF349">
        <f t="shared" si="139"/>
        <v>14.88</v>
      </c>
      <c r="DG349">
        <f t="shared" si="140"/>
        <v>0</v>
      </c>
      <c r="DH349">
        <f t="shared" si="141"/>
        <v>0</v>
      </c>
      <c r="DI349">
        <f t="shared" si="122"/>
        <v>0</v>
      </c>
      <c r="DJ349">
        <f t="shared" si="142"/>
        <v>14.88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ROW(Source!A263)</f>
        <v>263</v>
      </c>
      <c r="B350">
        <v>57248837</v>
      </c>
      <c r="C350">
        <v>57249458</v>
      </c>
      <c r="D350">
        <v>54744826</v>
      </c>
      <c r="E350">
        <v>1</v>
      </c>
      <c r="F350">
        <v>1</v>
      </c>
      <c r="G350">
        <v>1081</v>
      </c>
      <c r="H350">
        <v>3</v>
      </c>
      <c r="I350" t="s">
        <v>588</v>
      </c>
      <c r="J350" t="s">
        <v>589</v>
      </c>
      <c r="K350" t="s">
        <v>590</v>
      </c>
      <c r="L350">
        <v>1339</v>
      </c>
      <c r="N350">
        <v>1007</v>
      </c>
      <c r="O350" t="s">
        <v>591</v>
      </c>
      <c r="P350" t="s">
        <v>591</v>
      </c>
      <c r="Q350">
        <v>1</v>
      </c>
      <c r="W350">
        <v>0</v>
      </c>
      <c r="X350">
        <v>-762874257</v>
      </c>
      <c r="Y350">
        <f t="shared" si="133"/>
        <v>2E-3</v>
      </c>
      <c r="AA350">
        <v>4746.6000000000004</v>
      </c>
      <c r="AB350">
        <v>0</v>
      </c>
      <c r="AC350">
        <v>0</v>
      </c>
      <c r="AD350">
        <v>0</v>
      </c>
      <c r="AE350">
        <v>439.5</v>
      </c>
      <c r="AF350">
        <v>0</v>
      </c>
      <c r="AG350">
        <v>0</v>
      </c>
      <c r="AH350">
        <v>0</v>
      </c>
      <c r="AI350">
        <v>10.8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2E-3</v>
      </c>
      <c r="AU350" t="s">
        <v>119</v>
      </c>
      <c r="AV350">
        <v>0</v>
      </c>
      <c r="AW350">
        <v>2</v>
      </c>
      <c r="AX350">
        <v>57249481</v>
      </c>
      <c r="AY350">
        <v>1</v>
      </c>
      <c r="AZ350">
        <v>0</v>
      </c>
      <c r="BA350">
        <v>429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ROUND(Y350*Source!I263,9)</f>
        <v>4.0000000000000003E-5</v>
      </c>
      <c r="CY350">
        <f t="shared" si="134"/>
        <v>4746.6000000000004</v>
      </c>
      <c r="CZ350">
        <f t="shared" si="135"/>
        <v>439.5</v>
      </c>
      <c r="DA350">
        <f t="shared" si="136"/>
        <v>10.8</v>
      </c>
      <c r="DB350">
        <f t="shared" si="137"/>
        <v>0.88</v>
      </c>
      <c r="DC350">
        <f t="shared" si="138"/>
        <v>0</v>
      </c>
      <c r="DD350" t="s">
        <v>3</v>
      </c>
      <c r="DE350" t="s">
        <v>3</v>
      </c>
      <c r="DF350">
        <f t="shared" si="139"/>
        <v>0.19</v>
      </c>
      <c r="DG350">
        <f t="shared" si="140"/>
        <v>0</v>
      </c>
      <c r="DH350">
        <f t="shared" si="141"/>
        <v>0</v>
      </c>
      <c r="DI350">
        <f t="shared" si="122"/>
        <v>0</v>
      </c>
      <c r="DJ350">
        <f t="shared" si="142"/>
        <v>0.19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ROW(Source!A266)</f>
        <v>266</v>
      </c>
      <c r="B351">
        <v>57248835</v>
      </c>
      <c r="C351">
        <v>57249488</v>
      </c>
      <c r="D351">
        <v>54702434</v>
      </c>
      <c r="E351">
        <v>1081</v>
      </c>
      <c r="F351">
        <v>1</v>
      </c>
      <c r="G351">
        <v>1081</v>
      </c>
      <c r="H351">
        <v>1</v>
      </c>
      <c r="I351" t="s">
        <v>457</v>
      </c>
      <c r="J351" t="s">
        <v>3</v>
      </c>
      <c r="K351" t="s">
        <v>458</v>
      </c>
      <c r="L351">
        <v>1191</v>
      </c>
      <c r="N351">
        <v>1013</v>
      </c>
      <c r="O351" t="s">
        <v>459</v>
      </c>
      <c r="P351" t="s">
        <v>459</v>
      </c>
      <c r="Q351">
        <v>1</v>
      </c>
      <c r="W351">
        <v>0</v>
      </c>
      <c r="X351">
        <v>476480486</v>
      </c>
      <c r="Y351">
        <f>(AT351*1.2)</f>
        <v>5.3879999999999999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4.49</v>
      </c>
      <c r="AU351" t="s">
        <v>120</v>
      </c>
      <c r="AV351">
        <v>1</v>
      </c>
      <c r="AW351">
        <v>2</v>
      </c>
      <c r="AX351">
        <v>57249498</v>
      </c>
      <c r="AY351">
        <v>1</v>
      </c>
      <c r="AZ351">
        <v>0</v>
      </c>
      <c r="BA351">
        <v>435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ROUND(AT351*Source!I266*AH351*AL351,2)</f>
        <v>0</v>
      </c>
      <c r="CV351">
        <f>ROUND(Y351*Source!I266,9)</f>
        <v>42.780720000000002</v>
      </c>
      <c r="CW351">
        <v>0</v>
      </c>
      <c r="CX351">
        <f>ROUND(Y351*Source!I266,9)</f>
        <v>42.780720000000002</v>
      </c>
      <c r="CY351">
        <f>AD351</f>
        <v>0</v>
      </c>
      <c r="CZ351">
        <f>AH351</f>
        <v>0</v>
      </c>
      <c r="DA351">
        <f>AL351</f>
        <v>1</v>
      </c>
      <c r="DB351">
        <f>ROUND((ROUND(AT351*CZ351,2)*1.2),6)</f>
        <v>0</v>
      </c>
      <c r="DC351">
        <f>ROUND((ROUND(AT351*AG351,2)*1.2),6)</f>
        <v>0</v>
      </c>
      <c r="DD351" t="s">
        <v>3</v>
      </c>
      <c r="DE351" t="s">
        <v>3</v>
      </c>
      <c r="DF351">
        <f t="shared" ref="DF351:DF362" si="143">ROUND(ROUND(AE351,2)*CX351,2)</f>
        <v>0</v>
      </c>
      <c r="DG351">
        <f t="shared" si="140"/>
        <v>0</v>
      </c>
      <c r="DH351">
        <f t="shared" si="141"/>
        <v>0</v>
      </c>
      <c r="DI351">
        <f t="shared" si="122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ROW(Source!A266)</f>
        <v>266</v>
      </c>
      <c r="B352">
        <v>57248835</v>
      </c>
      <c r="C352">
        <v>57249488</v>
      </c>
      <c r="D352">
        <v>54768339</v>
      </c>
      <c r="E352">
        <v>1</v>
      </c>
      <c r="F352">
        <v>1</v>
      </c>
      <c r="G352">
        <v>1081</v>
      </c>
      <c r="H352">
        <v>2</v>
      </c>
      <c r="I352" t="s">
        <v>497</v>
      </c>
      <c r="J352" t="s">
        <v>498</v>
      </c>
      <c r="K352" t="s">
        <v>499</v>
      </c>
      <c r="L352">
        <v>1368</v>
      </c>
      <c r="N352">
        <v>1011</v>
      </c>
      <c r="O352" t="s">
        <v>463</v>
      </c>
      <c r="P352" t="s">
        <v>463</v>
      </c>
      <c r="Q352">
        <v>1</v>
      </c>
      <c r="W352">
        <v>0</v>
      </c>
      <c r="X352">
        <v>874612079</v>
      </c>
      <c r="Y352">
        <f>(AT352*1.2)</f>
        <v>1.2E-2</v>
      </c>
      <c r="AA352">
        <v>0</v>
      </c>
      <c r="AB352">
        <v>87.01</v>
      </c>
      <c r="AC352">
        <v>13.21</v>
      </c>
      <c r="AD352">
        <v>0</v>
      </c>
      <c r="AE352">
        <v>0</v>
      </c>
      <c r="AF352">
        <v>83.1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0.01</v>
      </c>
      <c r="AU352" t="s">
        <v>120</v>
      </c>
      <c r="AV352">
        <v>0</v>
      </c>
      <c r="AW352">
        <v>2</v>
      </c>
      <c r="AX352">
        <v>57249499</v>
      </c>
      <c r="AY352">
        <v>1</v>
      </c>
      <c r="AZ352">
        <v>0</v>
      </c>
      <c r="BA352">
        <v>436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ROUND(Y352*Source!I266*DO352,9)</f>
        <v>1.2024336</v>
      </c>
      <c r="CX352">
        <f>ROUND(Y352*Source!I266,9)</f>
        <v>9.5280000000000004E-2</v>
      </c>
      <c r="CY352">
        <f>AB352</f>
        <v>87.01</v>
      </c>
      <c r="CZ352">
        <f>AF352</f>
        <v>83.1</v>
      </c>
      <c r="DA352">
        <f>AJ352</f>
        <v>1</v>
      </c>
      <c r="DB352">
        <f>ROUND((ROUND(AT352*CZ352,2)*1.2),6)</f>
        <v>0.996</v>
      </c>
      <c r="DC352">
        <f>ROUND((ROUND(AT352*AG352,2)*1.2),6)</f>
        <v>0.156</v>
      </c>
      <c r="DD352" t="s">
        <v>3</v>
      </c>
      <c r="DE352" t="s">
        <v>3</v>
      </c>
      <c r="DF352">
        <f t="shared" si="143"/>
        <v>0</v>
      </c>
      <c r="DG352">
        <f t="shared" si="140"/>
        <v>7.92</v>
      </c>
      <c r="DH352">
        <f t="shared" si="141"/>
        <v>1.2</v>
      </c>
      <c r="DI352">
        <f t="shared" si="122"/>
        <v>0</v>
      </c>
      <c r="DJ352">
        <f>DG352</f>
        <v>7.92</v>
      </c>
      <c r="DK352">
        <v>0</v>
      </c>
      <c r="DL352" t="s">
        <v>500</v>
      </c>
      <c r="DM352">
        <v>0</v>
      </c>
      <c r="DN352" t="s">
        <v>459</v>
      </c>
      <c r="DO352">
        <v>12.62</v>
      </c>
    </row>
    <row r="353" spans="1:119" x14ac:dyDescent="0.2">
      <c r="A353">
        <f>ROW(Source!A266)</f>
        <v>266</v>
      </c>
      <c r="B353">
        <v>57248835</v>
      </c>
      <c r="C353">
        <v>57249488</v>
      </c>
      <c r="D353">
        <v>54767573</v>
      </c>
      <c r="E353">
        <v>1</v>
      </c>
      <c r="F353">
        <v>1</v>
      </c>
      <c r="G353">
        <v>1081</v>
      </c>
      <c r="H353">
        <v>2</v>
      </c>
      <c r="I353" t="s">
        <v>555</v>
      </c>
      <c r="J353" t="s">
        <v>556</v>
      </c>
      <c r="K353" t="s">
        <v>557</v>
      </c>
      <c r="L353">
        <v>1368</v>
      </c>
      <c r="N353">
        <v>1011</v>
      </c>
      <c r="O353" t="s">
        <v>463</v>
      </c>
      <c r="P353" t="s">
        <v>463</v>
      </c>
      <c r="Q353">
        <v>1</v>
      </c>
      <c r="W353">
        <v>0</v>
      </c>
      <c r="X353">
        <v>-44940208</v>
      </c>
      <c r="Y353">
        <f>(AT353*1.2)</f>
        <v>1.2E-2</v>
      </c>
      <c r="AA353">
        <v>0</v>
      </c>
      <c r="AB353">
        <v>187.59</v>
      </c>
      <c r="AC353">
        <v>17.73</v>
      </c>
      <c r="AD353">
        <v>0</v>
      </c>
      <c r="AE353">
        <v>0</v>
      </c>
      <c r="AF353">
        <v>179.17</v>
      </c>
      <c r="AG353">
        <v>16.93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0.01</v>
      </c>
      <c r="AU353" t="s">
        <v>120</v>
      </c>
      <c r="AV353">
        <v>0</v>
      </c>
      <c r="AW353">
        <v>2</v>
      </c>
      <c r="AX353">
        <v>57249500</v>
      </c>
      <c r="AY353">
        <v>1</v>
      </c>
      <c r="AZ353">
        <v>0</v>
      </c>
      <c r="BA353">
        <v>437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f>ROUND(Y353*Source!I266*DO353,9)</f>
        <v>1.6130903999999999</v>
      </c>
      <c r="CX353">
        <f>ROUND(Y353*Source!I266,9)</f>
        <v>9.5280000000000004E-2</v>
      </c>
      <c r="CY353">
        <f>AB353</f>
        <v>187.59</v>
      </c>
      <c r="CZ353">
        <f>AF353</f>
        <v>179.17</v>
      </c>
      <c r="DA353">
        <f>AJ353</f>
        <v>1</v>
      </c>
      <c r="DB353">
        <f>ROUND((ROUND(AT353*CZ353,2)*1.2),6)</f>
        <v>2.1480000000000001</v>
      </c>
      <c r="DC353">
        <f>ROUND((ROUND(AT353*AG353,2)*1.2),6)</f>
        <v>0.20399999999999999</v>
      </c>
      <c r="DD353" t="s">
        <v>3</v>
      </c>
      <c r="DE353" t="s">
        <v>3</v>
      </c>
      <c r="DF353">
        <f t="shared" si="143"/>
        <v>0</v>
      </c>
      <c r="DG353">
        <f t="shared" si="140"/>
        <v>17.07</v>
      </c>
      <c r="DH353">
        <f t="shared" si="141"/>
        <v>1.61</v>
      </c>
      <c r="DI353">
        <f t="shared" si="122"/>
        <v>0</v>
      </c>
      <c r="DJ353">
        <f>DG353</f>
        <v>17.07</v>
      </c>
      <c r="DK353">
        <v>0</v>
      </c>
      <c r="DL353" t="s">
        <v>500</v>
      </c>
      <c r="DM353">
        <v>0</v>
      </c>
      <c r="DN353" t="s">
        <v>459</v>
      </c>
      <c r="DO353">
        <v>16.93</v>
      </c>
    </row>
    <row r="354" spans="1:119" x14ac:dyDescent="0.2">
      <c r="A354">
        <f>ROW(Source!A266)</f>
        <v>266</v>
      </c>
      <c r="B354">
        <v>57248835</v>
      </c>
      <c r="C354">
        <v>57249488</v>
      </c>
      <c r="D354">
        <v>54738163</v>
      </c>
      <c r="E354">
        <v>1</v>
      </c>
      <c r="F354">
        <v>1</v>
      </c>
      <c r="G354">
        <v>1081</v>
      </c>
      <c r="H354">
        <v>3</v>
      </c>
      <c r="I354" t="s">
        <v>592</v>
      </c>
      <c r="J354" t="s">
        <v>593</v>
      </c>
      <c r="K354" t="s">
        <v>594</v>
      </c>
      <c r="L354">
        <v>1346</v>
      </c>
      <c r="N354">
        <v>1009</v>
      </c>
      <c r="O354" t="s">
        <v>320</v>
      </c>
      <c r="P354" t="s">
        <v>320</v>
      </c>
      <c r="Q354">
        <v>1</v>
      </c>
      <c r="W354">
        <v>0</v>
      </c>
      <c r="X354">
        <v>-1364668115</v>
      </c>
      <c r="Y354">
        <f t="shared" ref="Y354:Y359" si="144">(AT354*1)</f>
        <v>0.43</v>
      </c>
      <c r="AA354">
        <v>1.38</v>
      </c>
      <c r="AB354">
        <v>0</v>
      </c>
      <c r="AC354">
        <v>0</v>
      </c>
      <c r="AD354">
        <v>0</v>
      </c>
      <c r="AE354">
        <v>1.38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0.43</v>
      </c>
      <c r="AU354" t="s">
        <v>119</v>
      </c>
      <c r="AV354">
        <v>0</v>
      </c>
      <c r="AW354">
        <v>2</v>
      </c>
      <c r="AX354">
        <v>57249501</v>
      </c>
      <c r="AY354">
        <v>1</v>
      </c>
      <c r="AZ354">
        <v>0</v>
      </c>
      <c r="BA354">
        <v>438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ROUND(Y354*Source!I266,9)</f>
        <v>3.4142000000000001</v>
      </c>
      <c r="CY354">
        <f t="shared" ref="CY354:CY359" si="145">AA354</f>
        <v>1.38</v>
      </c>
      <c r="CZ354">
        <f t="shared" ref="CZ354:CZ359" si="146">AE354</f>
        <v>1.38</v>
      </c>
      <c r="DA354">
        <f t="shared" ref="DA354:DA359" si="147">AI354</f>
        <v>1</v>
      </c>
      <c r="DB354">
        <f t="shared" ref="DB354:DB359" si="148">ROUND((ROUND(AT354*CZ354,2)*1),6)</f>
        <v>0.59</v>
      </c>
      <c r="DC354">
        <f t="shared" ref="DC354:DC359" si="149">ROUND((ROUND(AT354*AG354,2)*1),6)</f>
        <v>0</v>
      </c>
      <c r="DD354" t="s">
        <v>3</v>
      </c>
      <c r="DE354" t="s">
        <v>3</v>
      </c>
      <c r="DF354">
        <f t="shared" si="143"/>
        <v>4.71</v>
      </c>
      <c r="DG354">
        <f t="shared" si="140"/>
        <v>0</v>
      </c>
      <c r="DH354">
        <f t="shared" si="141"/>
        <v>0</v>
      </c>
      <c r="DI354">
        <f t="shared" si="122"/>
        <v>0</v>
      </c>
      <c r="DJ354">
        <f t="shared" ref="DJ354:DJ359" si="150">DF354</f>
        <v>4.71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ROW(Source!A266)</f>
        <v>266</v>
      </c>
      <c r="B355">
        <v>57248835</v>
      </c>
      <c r="C355">
        <v>57249488</v>
      </c>
      <c r="D355">
        <v>54738554</v>
      </c>
      <c r="E355">
        <v>1</v>
      </c>
      <c r="F355">
        <v>1</v>
      </c>
      <c r="G355">
        <v>1081</v>
      </c>
      <c r="H355">
        <v>3</v>
      </c>
      <c r="I355" t="s">
        <v>504</v>
      </c>
      <c r="J355" t="s">
        <v>505</v>
      </c>
      <c r="K355" t="s">
        <v>506</v>
      </c>
      <c r="L355">
        <v>1346</v>
      </c>
      <c r="N355">
        <v>1009</v>
      </c>
      <c r="O355" t="s">
        <v>320</v>
      </c>
      <c r="P355" t="s">
        <v>320</v>
      </c>
      <c r="Q355">
        <v>1</v>
      </c>
      <c r="W355">
        <v>0</v>
      </c>
      <c r="X355">
        <v>1309298634</v>
      </c>
      <c r="Y355">
        <f t="shared" si="144"/>
        <v>0.16</v>
      </c>
      <c r="AA355">
        <v>159.06</v>
      </c>
      <c r="AB355">
        <v>0</v>
      </c>
      <c r="AC355">
        <v>0</v>
      </c>
      <c r="AD355">
        <v>0</v>
      </c>
      <c r="AE355">
        <v>159.06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0.16</v>
      </c>
      <c r="AU355" t="s">
        <v>119</v>
      </c>
      <c r="AV355">
        <v>0</v>
      </c>
      <c r="AW355">
        <v>2</v>
      </c>
      <c r="AX355">
        <v>57249502</v>
      </c>
      <c r="AY355">
        <v>1</v>
      </c>
      <c r="AZ355">
        <v>0</v>
      </c>
      <c r="BA355">
        <v>439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ROUND(Y355*Source!I266,9)</f>
        <v>1.2704</v>
      </c>
      <c r="CY355">
        <f t="shared" si="145"/>
        <v>159.06</v>
      </c>
      <c r="CZ355">
        <f t="shared" si="146"/>
        <v>159.06</v>
      </c>
      <c r="DA355">
        <f t="shared" si="147"/>
        <v>1</v>
      </c>
      <c r="DB355">
        <f t="shared" si="148"/>
        <v>25.45</v>
      </c>
      <c r="DC355">
        <f t="shared" si="149"/>
        <v>0</v>
      </c>
      <c r="DD355" t="s">
        <v>3</v>
      </c>
      <c r="DE355" t="s">
        <v>3</v>
      </c>
      <c r="DF355">
        <f t="shared" si="143"/>
        <v>202.07</v>
      </c>
      <c r="DG355">
        <f t="shared" si="140"/>
        <v>0</v>
      </c>
      <c r="DH355">
        <f t="shared" si="141"/>
        <v>0</v>
      </c>
      <c r="DI355">
        <f t="shared" si="122"/>
        <v>0</v>
      </c>
      <c r="DJ355">
        <f t="shared" si="150"/>
        <v>202.07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ROW(Source!A266)</f>
        <v>266</v>
      </c>
      <c r="B356">
        <v>57248835</v>
      </c>
      <c r="C356">
        <v>57249488</v>
      </c>
      <c r="D356">
        <v>54760635</v>
      </c>
      <c r="E356">
        <v>1</v>
      </c>
      <c r="F356">
        <v>1</v>
      </c>
      <c r="G356">
        <v>1081</v>
      </c>
      <c r="H356">
        <v>3</v>
      </c>
      <c r="I356" t="s">
        <v>595</v>
      </c>
      <c r="J356" t="s">
        <v>596</v>
      </c>
      <c r="K356" t="s">
        <v>597</v>
      </c>
      <c r="L356">
        <v>1355</v>
      </c>
      <c r="N356">
        <v>1010</v>
      </c>
      <c r="O356" t="s">
        <v>67</v>
      </c>
      <c r="P356" t="s">
        <v>67</v>
      </c>
      <c r="Q356">
        <v>100</v>
      </c>
      <c r="W356">
        <v>0</v>
      </c>
      <c r="X356">
        <v>1198965026</v>
      </c>
      <c r="Y356">
        <f t="shared" si="144"/>
        <v>0.05</v>
      </c>
      <c r="AA356">
        <v>68.819999999999993</v>
      </c>
      <c r="AB356">
        <v>0</v>
      </c>
      <c r="AC356">
        <v>0</v>
      </c>
      <c r="AD356">
        <v>0</v>
      </c>
      <c r="AE356">
        <v>68.819999999999993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0.05</v>
      </c>
      <c r="AU356" t="s">
        <v>119</v>
      </c>
      <c r="AV356">
        <v>0</v>
      </c>
      <c r="AW356">
        <v>2</v>
      </c>
      <c r="AX356">
        <v>57249503</v>
      </c>
      <c r="AY356">
        <v>1</v>
      </c>
      <c r="AZ356">
        <v>0</v>
      </c>
      <c r="BA356">
        <v>440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ROUND(Y356*Source!I266,9)</f>
        <v>0.39700000000000002</v>
      </c>
      <c r="CY356">
        <f t="shared" si="145"/>
        <v>68.819999999999993</v>
      </c>
      <c r="CZ356">
        <f t="shared" si="146"/>
        <v>68.819999999999993</v>
      </c>
      <c r="DA356">
        <f t="shared" si="147"/>
        <v>1</v>
      </c>
      <c r="DB356">
        <f t="shared" si="148"/>
        <v>3.44</v>
      </c>
      <c r="DC356">
        <f t="shared" si="149"/>
        <v>0</v>
      </c>
      <c r="DD356" t="s">
        <v>3</v>
      </c>
      <c r="DE356" t="s">
        <v>3</v>
      </c>
      <c r="DF356">
        <f t="shared" si="143"/>
        <v>27.32</v>
      </c>
      <c r="DG356">
        <f t="shared" si="140"/>
        <v>0</v>
      </c>
      <c r="DH356">
        <f t="shared" si="141"/>
        <v>0</v>
      </c>
      <c r="DI356">
        <f t="shared" si="122"/>
        <v>0</v>
      </c>
      <c r="DJ356">
        <f t="shared" si="150"/>
        <v>27.32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ROW(Source!A266)</f>
        <v>266</v>
      </c>
      <c r="B357">
        <v>57248835</v>
      </c>
      <c r="C357">
        <v>57249488</v>
      </c>
      <c r="D357">
        <v>54760646</v>
      </c>
      <c r="E357">
        <v>1</v>
      </c>
      <c r="F357">
        <v>1</v>
      </c>
      <c r="G357">
        <v>1081</v>
      </c>
      <c r="H357">
        <v>3</v>
      </c>
      <c r="I357" t="s">
        <v>598</v>
      </c>
      <c r="J357" t="s">
        <v>599</v>
      </c>
      <c r="K357" t="s">
        <v>600</v>
      </c>
      <c r="L357">
        <v>1356</v>
      </c>
      <c r="N357">
        <v>1010</v>
      </c>
      <c r="O357" t="s">
        <v>348</v>
      </c>
      <c r="P357" t="s">
        <v>348</v>
      </c>
      <c r="Q357">
        <v>1000</v>
      </c>
      <c r="W357">
        <v>0</v>
      </c>
      <c r="X357">
        <v>472025271</v>
      </c>
      <c r="Y357">
        <f t="shared" si="144"/>
        <v>1.2200000000000001E-2</v>
      </c>
      <c r="AA357">
        <v>183.4</v>
      </c>
      <c r="AB357">
        <v>0</v>
      </c>
      <c r="AC357">
        <v>0</v>
      </c>
      <c r="AD357">
        <v>0</v>
      </c>
      <c r="AE357">
        <v>183.4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1.2200000000000001E-2</v>
      </c>
      <c r="AU357" t="s">
        <v>119</v>
      </c>
      <c r="AV357">
        <v>0</v>
      </c>
      <c r="AW357">
        <v>2</v>
      </c>
      <c r="AX357">
        <v>57249504</v>
      </c>
      <c r="AY357">
        <v>1</v>
      </c>
      <c r="AZ357">
        <v>0</v>
      </c>
      <c r="BA357">
        <v>441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ROUND(Y357*Source!I266,9)</f>
        <v>9.6867999999999996E-2</v>
      </c>
      <c r="CY357">
        <f t="shared" si="145"/>
        <v>183.4</v>
      </c>
      <c r="CZ357">
        <f t="shared" si="146"/>
        <v>183.4</v>
      </c>
      <c r="DA357">
        <f t="shared" si="147"/>
        <v>1</v>
      </c>
      <c r="DB357">
        <f t="shared" si="148"/>
        <v>2.2400000000000002</v>
      </c>
      <c r="DC357">
        <f t="shared" si="149"/>
        <v>0</v>
      </c>
      <c r="DD357" t="s">
        <v>3</v>
      </c>
      <c r="DE357" t="s">
        <v>3</v>
      </c>
      <c r="DF357">
        <f t="shared" si="143"/>
        <v>17.77</v>
      </c>
      <c r="DG357">
        <f t="shared" si="140"/>
        <v>0</v>
      </c>
      <c r="DH357">
        <f t="shared" si="141"/>
        <v>0</v>
      </c>
      <c r="DI357">
        <f t="shared" si="122"/>
        <v>0</v>
      </c>
      <c r="DJ357">
        <f t="shared" si="150"/>
        <v>17.77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ROW(Source!A266)</f>
        <v>266</v>
      </c>
      <c r="B358">
        <v>57248835</v>
      </c>
      <c r="C358">
        <v>57249488</v>
      </c>
      <c r="D358">
        <v>54759972</v>
      </c>
      <c r="E358">
        <v>1</v>
      </c>
      <c r="F358">
        <v>1</v>
      </c>
      <c r="G358">
        <v>1081</v>
      </c>
      <c r="H358">
        <v>3</v>
      </c>
      <c r="I358" t="s">
        <v>601</v>
      </c>
      <c r="J358" t="s">
        <v>602</v>
      </c>
      <c r="K358" t="s">
        <v>603</v>
      </c>
      <c r="L358">
        <v>1354</v>
      </c>
      <c r="N358">
        <v>1010</v>
      </c>
      <c r="O358" t="s">
        <v>228</v>
      </c>
      <c r="P358" t="s">
        <v>228</v>
      </c>
      <c r="Q358">
        <v>1</v>
      </c>
      <c r="W358">
        <v>0</v>
      </c>
      <c r="X358">
        <v>-1424681180</v>
      </c>
      <c r="Y358">
        <f t="shared" si="144"/>
        <v>3.1</v>
      </c>
      <c r="AA358">
        <v>6.94</v>
      </c>
      <c r="AB358">
        <v>0</v>
      </c>
      <c r="AC358">
        <v>0</v>
      </c>
      <c r="AD358">
        <v>0</v>
      </c>
      <c r="AE358">
        <v>6.94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-2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3.1</v>
      </c>
      <c r="AU358" t="s">
        <v>119</v>
      </c>
      <c r="AV358">
        <v>0</v>
      </c>
      <c r="AW358">
        <v>2</v>
      </c>
      <c r="AX358">
        <v>57249505</v>
      </c>
      <c r="AY358">
        <v>1</v>
      </c>
      <c r="AZ358">
        <v>0</v>
      </c>
      <c r="BA358">
        <v>442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ROUND(Y358*Source!I266,9)</f>
        <v>24.614000000000001</v>
      </c>
      <c r="CY358">
        <f t="shared" si="145"/>
        <v>6.94</v>
      </c>
      <c r="CZ358">
        <f t="shared" si="146"/>
        <v>6.94</v>
      </c>
      <c r="DA358">
        <f t="shared" si="147"/>
        <v>1</v>
      </c>
      <c r="DB358">
        <f t="shared" si="148"/>
        <v>21.51</v>
      </c>
      <c r="DC358">
        <f t="shared" si="149"/>
        <v>0</v>
      </c>
      <c r="DD358" t="s">
        <v>3</v>
      </c>
      <c r="DE358" t="s">
        <v>3</v>
      </c>
      <c r="DF358">
        <f t="shared" si="143"/>
        <v>170.82</v>
      </c>
      <c r="DG358">
        <f t="shared" si="140"/>
        <v>0</v>
      </c>
      <c r="DH358">
        <f t="shared" si="141"/>
        <v>0</v>
      </c>
      <c r="DI358">
        <f t="shared" si="122"/>
        <v>0</v>
      </c>
      <c r="DJ358">
        <f t="shared" si="150"/>
        <v>170.82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ROW(Source!A266)</f>
        <v>266</v>
      </c>
      <c r="B359">
        <v>57248835</v>
      </c>
      <c r="C359">
        <v>57249488</v>
      </c>
      <c r="D359">
        <v>54759979</v>
      </c>
      <c r="E359">
        <v>1</v>
      </c>
      <c r="F359">
        <v>1</v>
      </c>
      <c r="G359">
        <v>1081</v>
      </c>
      <c r="H359">
        <v>3</v>
      </c>
      <c r="I359" t="s">
        <v>604</v>
      </c>
      <c r="J359" t="s">
        <v>605</v>
      </c>
      <c r="K359" t="s">
        <v>606</v>
      </c>
      <c r="L359">
        <v>1356</v>
      </c>
      <c r="N359">
        <v>1010</v>
      </c>
      <c r="O359" t="s">
        <v>348</v>
      </c>
      <c r="P359" t="s">
        <v>348</v>
      </c>
      <c r="Q359">
        <v>1000</v>
      </c>
      <c r="W359">
        <v>0</v>
      </c>
      <c r="X359">
        <v>-41723139</v>
      </c>
      <c r="Y359">
        <f t="shared" si="144"/>
        <v>8.0000000000000002E-3</v>
      </c>
      <c r="AA359">
        <v>614.09</v>
      </c>
      <c r="AB359">
        <v>0</v>
      </c>
      <c r="AC359">
        <v>0</v>
      </c>
      <c r="AD359">
        <v>0</v>
      </c>
      <c r="AE359">
        <v>614.09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-2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8.0000000000000002E-3</v>
      </c>
      <c r="AU359" t="s">
        <v>119</v>
      </c>
      <c r="AV359">
        <v>0</v>
      </c>
      <c r="AW359">
        <v>2</v>
      </c>
      <c r="AX359">
        <v>57249506</v>
      </c>
      <c r="AY359">
        <v>1</v>
      </c>
      <c r="AZ359">
        <v>0</v>
      </c>
      <c r="BA359">
        <v>443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ROUND(Y359*Source!I266,9)</f>
        <v>6.3519999999999993E-2</v>
      </c>
      <c r="CY359">
        <f t="shared" si="145"/>
        <v>614.09</v>
      </c>
      <c r="CZ359">
        <f t="shared" si="146"/>
        <v>614.09</v>
      </c>
      <c r="DA359">
        <f t="shared" si="147"/>
        <v>1</v>
      </c>
      <c r="DB359">
        <f t="shared" si="148"/>
        <v>4.91</v>
      </c>
      <c r="DC359">
        <f t="shared" si="149"/>
        <v>0</v>
      </c>
      <c r="DD359" t="s">
        <v>3</v>
      </c>
      <c r="DE359" t="s">
        <v>3</v>
      </c>
      <c r="DF359">
        <f t="shared" si="143"/>
        <v>39.01</v>
      </c>
      <c r="DG359">
        <f t="shared" si="140"/>
        <v>0</v>
      </c>
      <c r="DH359">
        <f t="shared" si="141"/>
        <v>0</v>
      </c>
      <c r="DI359">
        <f t="shared" si="122"/>
        <v>0</v>
      </c>
      <c r="DJ359">
        <f t="shared" si="150"/>
        <v>39.01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ROW(Source!A267)</f>
        <v>267</v>
      </c>
      <c r="B360">
        <v>57248837</v>
      </c>
      <c r="C360">
        <v>57249488</v>
      </c>
      <c r="D360">
        <v>54702434</v>
      </c>
      <c r="E360">
        <v>1081</v>
      </c>
      <c r="F360">
        <v>1</v>
      </c>
      <c r="G360">
        <v>1081</v>
      </c>
      <c r="H360">
        <v>1</v>
      </c>
      <c r="I360" t="s">
        <v>457</v>
      </c>
      <c r="J360" t="s">
        <v>3</v>
      </c>
      <c r="K360" t="s">
        <v>458</v>
      </c>
      <c r="L360">
        <v>1191</v>
      </c>
      <c r="N360">
        <v>1013</v>
      </c>
      <c r="O360" t="s">
        <v>459</v>
      </c>
      <c r="P360" t="s">
        <v>459</v>
      </c>
      <c r="Q360">
        <v>1</v>
      </c>
      <c r="W360">
        <v>0</v>
      </c>
      <c r="X360">
        <v>476480486</v>
      </c>
      <c r="Y360">
        <f>(AT360*1.2)</f>
        <v>5.3879999999999999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5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4.49</v>
      </c>
      <c r="AU360" t="s">
        <v>120</v>
      </c>
      <c r="AV360">
        <v>1</v>
      </c>
      <c r="AW360">
        <v>2</v>
      </c>
      <c r="AX360">
        <v>57249498</v>
      </c>
      <c r="AY360">
        <v>1</v>
      </c>
      <c r="AZ360">
        <v>0</v>
      </c>
      <c r="BA360">
        <v>445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U360">
        <f>ROUND(AT360*Source!I267*AH360*AL360,2)</f>
        <v>0</v>
      </c>
      <c r="CV360">
        <f>ROUND(Y360*Source!I267,9)</f>
        <v>42.780720000000002</v>
      </c>
      <c r="CW360">
        <v>0</v>
      </c>
      <c r="CX360">
        <f>ROUND(Y360*Source!I267,9)</f>
        <v>42.780720000000002</v>
      </c>
      <c r="CY360">
        <f>AD360</f>
        <v>0</v>
      </c>
      <c r="CZ360">
        <f>AH360</f>
        <v>0</v>
      </c>
      <c r="DA360">
        <f>AL360</f>
        <v>1</v>
      </c>
      <c r="DB360">
        <f>ROUND((ROUND(AT360*CZ360,2)*1.2),6)</f>
        <v>0</v>
      </c>
      <c r="DC360">
        <f>ROUND((ROUND(AT360*AG360,2)*1.2),6)</f>
        <v>0</v>
      </c>
      <c r="DD360" t="s">
        <v>3</v>
      </c>
      <c r="DE360" t="s">
        <v>3</v>
      </c>
      <c r="DF360">
        <f t="shared" si="143"/>
        <v>0</v>
      </c>
      <c r="DG360">
        <f t="shared" si="140"/>
        <v>0</v>
      </c>
      <c r="DH360">
        <f t="shared" si="141"/>
        <v>0</v>
      </c>
      <c r="DI360">
        <f t="shared" si="122"/>
        <v>0</v>
      </c>
      <c r="DJ360">
        <f>DI360</f>
        <v>0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ROW(Source!A267)</f>
        <v>267</v>
      </c>
      <c r="B361">
        <v>57248837</v>
      </c>
      <c r="C361">
        <v>57249488</v>
      </c>
      <c r="D361">
        <v>54768339</v>
      </c>
      <c r="E361">
        <v>1</v>
      </c>
      <c r="F361">
        <v>1</v>
      </c>
      <c r="G361">
        <v>1081</v>
      </c>
      <c r="H361">
        <v>2</v>
      </c>
      <c r="I361" t="s">
        <v>497</v>
      </c>
      <c r="J361" t="s">
        <v>498</v>
      </c>
      <c r="K361" t="s">
        <v>499</v>
      </c>
      <c r="L361">
        <v>1368</v>
      </c>
      <c r="N361">
        <v>1011</v>
      </c>
      <c r="O361" t="s">
        <v>463</v>
      </c>
      <c r="P361" t="s">
        <v>463</v>
      </c>
      <c r="Q361">
        <v>1</v>
      </c>
      <c r="W361">
        <v>0</v>
      </c>
      <c r="X361">
        <v>874612079</v>
      </c>
      <c r="Y361">
        <f>(AT361*1.2)</f>
        <v>1.2E-2</v>
      </c>
      <c r="AA361">
        <v>0</v>
      </c>
      <c r="AB361">
        <v>1485.19</v>
      </c>
      <c r="AC361">
        <v>744.56</v>
      </c>
      <c r="AD361">
        <v>0</v>
      </c>
      <c r="AE361">
        <v>0</v>
      </c>
      <c r="AF361">
        <v>83.1</v>
      </c>
      <c r="AG361">
        <v>12.62</v>
      </c>
      <c r="AH361">
        <v>0</v>
      </c>
      <c r="AI361">
        <v>1</v>
      </c>
      <c r="AJ361">
        <v>17.07</v>
      </c>
      <c r="AK361">
        <v>56.35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0.01</v>
      </c>
      <c r="AU361" t="s">
        <v>120</v>
      </c>
      <c r="AV361">
        <v>0</v>
      </c>
      <c r="AW361">
        <v>2</v>
      </c>
      <c r="AX361">
        <v>57249499</v>
      </c>
      <c r="AY361">
        <v>1</v>
      </c>
      <c r="AZ361">
        <v>0</v>
      </c>
      <c r="BA361">
        <v>446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f>ROUND(Y361*Source!I267*DO361,9)</f>
        <v>1.2024336</v>
      </c>
      <c r="CX361">
        <f>ROUND(Y361*Source!I267,9)</f>
        <v>9.5280000000000004E-2</v>
      </c>
      <c r="CY361">
        <f>AB361</f>
        <v>1485.19</v>
      </c>
      <c r="CZ361">
        <f>AF361</f>
        <v>83.1</v>
      </c>
      <c r="DA361">
        <f>AJ361</f>
        <v>17.07</v>
      </c>
      <c r="DB361">
        <f>ROUND((ROUND(AT361*CZ361,2)*1.2),6)</f>
        <v>0.996</v>
      </c>
      <c r="DC361">
        <f>ROUND((ROUND(AT361*AG361,2)*1.2),6)</f>
        <v>0.156</v>
      </c>
      <c r="DD361" t="s">
        <v>3</v>
      </c>
      <c r="DE361" t="s">
        <v>3</v>
      </c>
      <c r="DF361">
        <f t="shared" si="143"/>
        <v>0</v>
      </c>
      <c r="DG361">
        <f>ROUND(ROUND(AF361*AJ361,2)*CX361,2)</f>
        <v>135.16</v>
      </c>
      <c r="DH361">
        <f>ROUND(ROUND(AG361*AK361,2)*CX361,2)</f>
        <v>67.760000000000005</v>
      </c>
      <c r="DI361">
        <f t="shared" si="122"/>
        <v>0</v>
      </c>
      <c r="DJ361">
        <f>DG361</f>
        <v>135.16</v>
      </c>
      <c r="DK361">
        <v>0</v>
      </c>
      <c r="DL361" t="s">
        <v>500</v>
      </c>
      <c r="DM361">
        <v>0</v>
      </c>
      <c r="DN361" t="s">
        <v>459</v>
      </c>
      <c r="DO361">
        <v>12.62</v>
      </c>
    </row>
    <row r="362" spans="1:119" x14ac:dyDescent="0.2">
      <c r="A362">
        <f>ROW(Source!A267)</f>
        <v>267</v>
      </c>
      <c r="B362">
        <v>57248837</v>
      </c>
      <c r="C362">
        <v>57249488</v>
      </c>
      <c r="D362">
        <v>54767573</v>
      </c>
      <c r="E362">
        <v>1</v>
      </c>
      <c r="F362">
        <v>1</v>
      </c>
      <c r="G362">
        <v>1081</v>
      </c>
      <c r="H362">
        <v>2</v>
      </c>
      <c r="I362" t="s">
        <v>555</v>
      </c>
      <c r="J362" t="s">
        <v>556</v>
      </c>
      <c r="K362" t="s">
        <v>557</v>
      </c>
      <c r="L362">
        <v>1368</v>
      </c>
      <c r="N362">
        <v>1011</v>
      </c>
      <c r="O362" t="s">
        <v>463</v>
      </c>
      <c r="P362" t="s">
        <v>463</v>
      </c>
      <c r="Q362">
        <v>1</v>
      </c>
      <c r="W362">
        <v>0</v>
      </c>
      <c r="X362">
        <v>-44940208</v>
      </c>
      <c r="Y362">
        <f>(AT362*1.2)</f>
        <v>1.2E-2</v>
      </c>
      <c r="AA362">
        <v>0</v>
      </c>
      <c r="AB362">
        <v>2706.94</v>
      </c>
      <c r="AC362">
        <v>998.84</v>
      </c>
      <c r="AD362">
        <v>0</v>
      </c>
      <c r="AE362">
        <v>0</v>
      </c>
      <c r="AF362">
        <v>179.17</v>
      </c>
      <c r="AG362">
        <v>16.93</v>
      </c>
      <c r="AH362">
        <v>0</v>
      </c>
      <c r="AI362">
        <v>1</v>
      </c>
      <c r="AJ362">
        <v>14.43</v>
      </c>
      <c r="AK362">
        <v>56.35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0.01</v>
      </c>
      <c r="AU362" t="s">
        <v>120</v>
      </c>
      <c r="AV362">
        <v>0</v>
      </c>
      <c r="AW362">
        <v>2</v>
      </c>
      <c r="AX362">
        <v>57249500</v>
      </c>
      <c r="AY362">
        <v>1</v>
      </c>
      <c r="AZ362">
        <v>0</v>
      </c>
      <c r="BA362">
        <v>447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f>ROUND(Y362*Source!I267*DO362,9)</f>
        <v>1.6130903999999999</v>
      </c>
      <c r="CX362">
        <f>ROUND(Y362*Source!I267,9)</f>
        <v>9.5280000000000004E-2</v>
      </c>
      <c r="CY362">
        <f>AB362</f>
        <v>2706.94</v>
      </c>
      <c r="CZ362">
        <f>AF362</f>
        <v>179.17</v>
      </c>
      <c r="DA362">
        <f>AJ362</f>
        <v>14.43</v>
      </c>
      <c r="DB362">
        <f>ROUND((ROUND(AT362*CZ362,2)*1.2),6)</f>
        <v>2.1480000000000001</v>
      </c>
      <c r="DC362">
        <f>ROUND((ROUND(AT362*AG362,2)*1.2),6)</f>
        <v>0.20399999999999999</v>
      </c>
      <c r="DD362" t="s">
        <v>3</v>
      </c>
      <c r="DE362" t="s">
        <v>3</v>
      </c>
      <c r="DF362">
        <f t="shared" si="143"/>
        <v>0</v>
      </c>
      <c r="DG362">
        <f>ROUND(ROUND(AF362*AJ362,2)*CX362,2)</f>
        <v>246.34</v>
      </c>
      <c r="DH362">
        <f>ROUND(ROUND(AG362*AK362,2)*CX362,2)</f>
        <v>90.9</v>
      </c>
      <c r="DI362">
        <f t="shared" si="122"/>
        <v>0</v>
      </c>
      <c r="DJ362">
        <f>DG362</f>
        <v>246.34</v>
      </c>
      <c r="DK362">
        <v>0</v>
      </c>
      <c r="DL362" t="s">
        <v>500</v>
      </c>
      <c r="DM362">
        <v>0</v>
      </c>
      <c r="DN362" t="s">
        <v>459</v>
      </c>
      <c r="DO362">
        <v>16.93</v>
      </c>
    </row>
    <row r="363" spans="1:119" x14ac:dyDescent="0.2">
      <c r="A363">
        <f>ROW(Source!A267)</f>
        <v>267</v>
      </c>
      <c r="B363">
        <v>57248837</v>
      </c>
      <c r="C363">
        <v>57249488</v>
      </c>
      <c r="D363">
        <v>54738163</v>
      </c>
      <c r="E363">
        <v>1</v>
      </c>
      <c r="F363">
        <v>1</v>
      </c>
      <c r="G363">
        <v>1081</v>
      </c>
      <c r="H363">
        <v>3</v>
      </c>
      <c r="I363" t="s">
        <v>592</v>
      </c>
      <c r="J363" t="s">
        <v>593</v>
      </c>
      <c r="K363" t="s">
        <v>594</v>
      </c>
      <c r="L363">
        <v>1346</v>
      </c>
      <c r="N363">
        <v>1009</v>
      </c>
      <c r="O363" t="s">
        <v>320</v>
      </c>
      <c r="P363" t="s">
        <v>320</v>
      </c>
      <c r="Q363">
        <v>1</v>
      </c>
      <c r="W363">
        <v>0</v>
      </c>
      <c r="X363">
        <v>-1364668115</v>
      </c>
      <c r="Y363">
        <f t="shared" ref="Y363:Y368" si="151">(AT363*1)</f>
        <v>0.43</v>
      </c>
      <c r="AA363">
        <v>33.64</v>
      </c>
      <c r="AB363">
        <v>0</v>
      </c>
      <c r="AC363">
        <v>0</v>
      </c>
      <c r="AD363">
        <v>0</v>
      </c>
      <c r="AE363">
        <v>1.38</v>
      </c>
      <c r="AF363">
        <v>0</v>
      </c>
      <c r="AG363">
        <v>0</v>
      </c>
      <c r="AH363">
        <v>0</v>
      </c>
      <c r="AI363">
        <v>24.38</v>
      </c>
      <c r="AJ363">
        <v>1</v>
      </c>
      <c r="AK363">
        <v>1</v>
      </c>
      <c r="AL363">
        <v>1</v>
      </c>
      <c r="AM363">
        <v>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0.43</v>
      </c>
      <c r="AU363" t="s">
        <v>119</v>
      </c>
      <c r="AV363">
        <v>0</v>
      </c>
      <c r="AW363">
        <v>2</v>
      </c>
      <c r="AX363">
        <v>57249501</v>
      </c>
      <c r="AY363">
        <v>1</v>
      </c>
      <c r="AZ363">
        <v>0</v>
      </c>
      <c r="BA363">
        <v>448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ROUND(Y363*Source!I267,9)</f>
        <v>3.4142000000000001</v>
      </c>
      <c r="CY363">
        <f t="shared" ref="CY363:CY368" si="152">AA363</f>
        <v>33.64</v>
      </c>
      <c r="CZ363">
        <f t="shared" ref="CZ363:CZ368" si="153">AE363</f>
        <v>1.38</v>
      </c>
      <c r="DA363">
        <f t="shared" ref="DA363:DA368" si="154">AI363</f>
        <v>24.38</v>
      </c>
      <c r="DB363">
        <f t="shared" ref="DB363:DB368" si="155">ROUND((ROUND(AT363*CZ363,2)*1),6)</f>
        <v>0.59</v>
      </c>
      <c r="DC363">
        <f t="shared" ref="DC363:DC368" si="156">ROUND((ROUND(AT363*AG363,2)*1),6)</f>
        <v>0</v>
      </c>
      <c r="DD363" t="s">
        <v>3</v>
      </c>
      <c r="DE363" t="s">
        <v>3</v>
      </c>
      <c r="DF363">
        <f t="shared" ref="DF363:DF368" si="157">ROUND(ROUND(AE363*AI363,2)*CX363,2)</f>
        <v>114.85</v>
      </c>
      <c r="DG363">
        <f t="shared" ref="DG363:DG377" si="158">ROUND(ROUND(AF363,2)*CX363,2)</f>
        <v>0</v>
      </c>
      <c r="DH363">
        <f t="shared" ref="DH363:DH377" si="159">ROUND(ROUND(AG363,2)*CX363,2)</f>
        <v>0</v>
      </c>
      <c r="DI363">
        <f t="shared" si="122"/>
        <v>0</v>
      </c>
      <c r="DJ363">
        <f t="shared" ref="DJ363:DJ368" si="160">DF363</f>
        <v>114.85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ROW(Source!A267)</f>
        <v>267</v>
      </c>
      <c r="B364">
        <v>57248837</v>
      </c>
      <c r="C364">
        <v>57249488</v>
      </c>
      <c r="D364">
        <v>54738554</v>
      </c>
      <c r="E364">
        <v>1</v>
      </c>
      <c r="F364">
        <v>1</v>
      </c>
      <c r="G364">
        <v>1081</v>
      </c>
      <c r="H364">
        <v>3</v>
      </c>
      <c r="I364" t="s">
        <v>504</v>
      </c>
      <c r="J364" t="s">
        <v>505</v>
      </c>
      <c r="K364" t="s">
        <v>506</v>
      </c>
      <c r="L364">
        <v>1346</v>
      </c>
      <c r="N364">
        <v>1009</v>
      </c>
      <c r="O364" t="s">
        <v>320</v>
      </c>
      <c r="P364" t="s">
        <v>320</v>
      </c>
      <c r="Q364">
        <v>1</v>
      </c>
      <c r="W364">
        <v>0</v>
      </c>
      <c r="X364">
        <v>1309298634</v>
      </c>
      <c r="Y364">
        <f t="shared" si="151"/>
        <v>0.16</v>
      </c>
      <c r="AA364">
        <v>286.31</v>
      </c>
      <c r="AB364">
        <v>0</v>
      </c>
      <c r="AC364">
        <v>0</v>
      </c>
      <c r="AD364">
        <v>0</v>
      </c>
      <c r="AE364">
        <v>159.06</v>
      </c>
      <c r="AF364">
        <v>0</v>
      </c>
      <c r="AG364">
        <v>0</v>
      </c>
      <c r="AH364">
        <v>0</v>
      </c>
      <c r="AI364">
        <v>1.8</v>
      </c>
      <c r="AJ364">
        <v>1</v>
      </c>
      <c r="AK364">
        <v>1</v>
      </c>
      <c r="AL364">
        <v>1</v>
      </c>
      <c r="AM364">
        <v>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0.16</v>
      </c>
      <c r="AU364" t="s">
        <v>119</v>
      </c>
      <c r="AV364">
        <v>0</v>
      </c>
      <c r="AW364">
        <v>2</v>
      </c>
      <c r="AX364">
        <v>57249502</v>
      </c>
      <c r="AY364">
        <v>1</v>
      </c>
      <c r="AZ364">
        <v>0</v>
      </c>
      <c r="BA364">
        <v>449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v>0</v>
      </c>
      <c r="CX364">
        <f>ROUND(Y364*Source!I267,9)</f>
        <v>1.2704</v>
      </c>
      <c r="CY364">
        <f t="shared" si="152"/>
        <v>286.31</v>
      </c>
      <c r="CZ364">
        <f t="shared" si="153"/>
        <v>159.06</v>
      </c>
      <c r="DA364">
        <f t="shared" si="154"/>
        <v>1.8</v>
      </c>
      <c r="DB364">
        <f t="shared" si="155"/>
        <v>25.45</v>
      </c>
      <c r="DC364">
        <f t="shared" si="156"/>
        <v>0</v>
      </c>
      <c r="DD364" t="s">
        <v>3</v>
      </c>
      <c r="DE364" t="s">
        <v>3</v>
      </c>
      <c r="DF364">
        <f t="shared" si="157"/>
        <v>363.73</v>
      </c>
      <c r="DG364">
        <f t="shared" si="158"/>
        <v>0</v>
      </c>
      <c r="DH364">
        <f t="shared" si="159"/>
        <v>0</v>
      </c>
      <c r="DI364">
        <f t="shared" si="122"/>
        <v>0</v>
      </c>
      <c r="DJ364">
        <f t="shared" si="160"/>
        <v>363.73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ROW(Source!A267)</f>
        <v>267</v>
      </c>
      <c r="B365">
        <v>57248837</v>
      </c>
      <c r="C365">
        <v>57249488</v>
      </c>
      <c r="D365">
        <v>54760635</v>
      </c>
      <c r="E365">
        <v>1</v>
      </c>
      <c r="F365">
        <v>1</v>
      </c>
      <c r="G365">
        <v>1081</v>
      </c>
      <c r="H365">
        <v>3</v>
      </c>
      <c r="I365" t="s">
        <v>595</v>
      </c>
      <c r="J365" t="s">
        <v>596</v>
      </c>
      <c r="K365" t="s">
        <v>597</v>
      </c>
      <c r="L365">
        <v>1355</v>
      </c>
      <c r="N365">
        <v>1010</v>
      </c>
      <c r="O365" t="s">
        <v>67</v>
      </c>
      <c r="P365" t="s">
        <v>67</v>
      </c>
      <c r="Q365">
        <v>100</v>
      </c>
      <c r="W365">
        <v>0</v>
      </c>
      <c r="X365">
        <v>1198965026</v>
      </c>
      <c r="Y365">
        <f t="shared" si="151"/>
        <v>0.05</v>
      </c>
      <c r="AA365">
        <v>1102.5</v>
      </c>
      <c r="AB365">
        <v>0</v>
      </c>
      <c r="AC365">
        <v>0</v>
      </c>
      <c r="AD365">
        <v>0</v>
      </c>
      <c r="AE365">
        <v>68.819999999999993</v>
      </c>
      <c r="AF365">
        <v>0</v>
      </c>
      <c r="AG365">
        <v>0</v>
      </c>
      <c r="AH365">
        <v>0</v>
      </c>
      <c r="AI365">
        <v>16.02</v>
      </c>
      <c r="AJ365">
        <v>1</v>
      </c>
      <c r="AK365">
        <v>1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0.05</v>
      </c>
      <c r="AU365" t="s">
        <v>119</v>
      </c>
      <c r="AV365">
        <v>0</v>
      </c>
      <c r="AW365">
        <v>2</v>
      </c>
      <c r="AX365">
        <v>57249503</v>
      </c>
      <c r="AY365">
        <v>1</v>
      </c>
      <c r="AZ365">
        <v>0</v>
      </c>
      <c r="BA365">
        <v>450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v>0</v>
      </c>
      <c r="CX365">
        <f>ROUND(Y365*Source!I267,9)</f>
        <v>0.39700000000000002</v>
      </c>
      <c r="CY365">
        <f t="shared" si="152"/>
        <v>1102.5</v>
      </c>
      <c r="CZ365">
        <f t="shared" si="153"/>
        <v>68.819999999999993</v>
      </c>
      <c r="DA365">
        <f t="shared" si="154"/>
        <v>16.02</v>
      </c>
      <c r="DB365">
        <f t="shared" si="155"/>
        <v>3.44</v>
      </c>
      <c r="DC365">
        <f t="shared" si="156"/>
        <v>0</v>
      </c>
      <c r="DD365" t="s">
        <v>3</v>
      </c>
      <c r="DE365" t="s">
        <v>3</v>
      </c>
      <c r="DF365">
        <f t="shared" si="157"/>
        <v>437.69</v>
      </c>
      <c r="DG365">
        <f t="shared" si="158"/>
        <v>0</v>
      </c>
      <c r="DH365">
        <f t="shared" si="159"/>
        <v>0</v>
      </c>
      <c r="DI365">
        <f t="shared" si="122"/>
        <v>0</v>
      </c>
      <c r="DJ365">
        <f t="shared" si="160"/>
        <v>437.69</v>
      </c>
      <c r="DK365">
        <v>0</v>
      </c>
      <c r="DL365" t="s">
        <v>3</v>
      </c>
      <c r="DM365">
        <v>0</v>
      </c>
      <c r="DN365" t="s">
        <v>3</v>
      </c>
      <c r="DO365">
        <v>0</v>
      </c>
    </row>
    <row r="366" spans="1:119" x14ac:dyDescent="0.2">
      <c r="A366">
        <f>ROW(Source!A267)</f>
        <v>267</v>
      </c>
      <c r="B366">
        <v>57248837</v>
      </c>
      <c r="C366">
        <v>57249488</v>
      </c>
      <c r="D366">
        <v>54760646</v>
      </c>
      <c r="E366">
        <v>1</v>
      </c>
      <c r="F366">
        <v>1</v>
      </c>
      <c r="G366">
        <v>1081</v>
      </c>
      <c r="H366">
        <v>3</v>
      </c>
      <c r="I366" t="s">
        <v>598</v>
      </c>
      <c r="J366" t="s">
        <v>599</v>
      </c>
      <c r="K366" t="s">
        <v>600</v>
      </c>
      <c r="L366">
        <v>1356</v>
      </c>
      <c r="N366">
        <v>1010</v>
      </c>
      <c r="O366" t="s">
        <v>348</v>
      </c>
      <c r="P366" t="s">
        <v>348</v>
      </c>
      <c r="Q366">
        <v>1000</v>
      </c>
      <c r="W366">
        <v>0</v>
      </c>
      <c r="X366">
        <v>472025271</v>
      </c>
      <c r="Y366">
        <f t="shared" si="151"/>
        <v>1.2200000000000001E-2</v>
      </c>
      <c r="AA366">
        <v>1267.29</v>
      </c>
      <c r="AB366">
        <v>0</v>
      </c>
      <c r="AC366">
        <v>0</v>
      </c>
      <c r="AD366">
        <v>0</v>
      </c>
      <c r="AE366">
        <v>183.4</v>
      </c>
      <c r="AF366">
        <v>0</v>
      </c>
      <c r="AG366">
        <v>0</v>
      </c>
      <c r="AH366">
        <v>0</v>
      </c>
      <c r="AI366">
        <v>6.91</v>
      </c>
      <c r="AJ366">
        <v>1</v>
      </c>
      <c r="AK366">
        <v>1</v>
      </c>
      <c r="AL366">
        <v>1</v>
      </c>
      <c r="AM366">
        <v>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1.2200000000000001E-2</v>
      </c>
      <c r="AU366" t="s">
        <v>119</v>
      </c>
      <c r="AV366">
        <v>0</v>
      </c>
      <c r="AW366">
        <v>2</v>
      </c>
      <c r="AX366">
        <v>57249504</v>
      </c>
      <c r="AY366">
        <v>1</v>
      </c>
      <c r="AZ366">
        <v>0</v>
      </c>
      <c r="BA366">
        <v>451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ROUND(Y366*Source!I267,9)</f>
        <v>9.6867999999999996E-2</v>
      </c>
      <c r="CY366">
        <f t="shared" si="152"/>
        <v>1267.29</v>
      </c>
      <c r="CZ366">
        <f t="shared" si="153"/>
        <v>183.4</v>
      </c>
      <c r="DA366">
        <f t="shared" si="154"/>
        <v>6.91</v>
      </c>
      <c r="DB366">
        <f t="shared" si="155"/>
        <v>2.2400000000000002</v>
      </c>
      <c r="DC366">
        <f t="shared" si="156"/>
        <v>0</v>
      </c>
      <c r="DD366" t="s">
        <v>3</v>
      </c>
      <c r="DE366" t="s">
        <v>3</v>
      </c>
      <c r="DF366">
        <f t="shared" si="157"/>
        <v>122.76</v>
      </c>
      <c r="DG366">
        <f t="shared" si="158"/>
        <v>0</v>
      </c>
      <c r="DH366">
        <f t="shared" si="159"/>
        <v>0</v>
      </c>
      <c r="DI366">
        <f t="shared" si="122"/>
        <v>0</v>
      </c>
      <c r="DJ366">
        <f t="shared" si="160"/>
        <v>122.76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ROW(Source!A267)</f>
        <v>267</v>
      </c>
      <c r="B367">
        <v>57248837</v>
      </c>
      <c r="C367">
        <v>57249488</v>
      </c>
      <c r="D367">
        <v>54759972</v>
      </c>
      <c r="E367">
        <v>1</v>
      </c>
      <c r="F367">
        <v>1</v>
      </c>
      <c r="G367">
        <v>1081</v>
      </c>
      <c r="H367">
        <v>3</v>
      </c>
      <c r="I367" t="s">
        <v>601</v>
      </c>
      <c r="J367" t="s">
        <v>602</v>
      </c>
      <c r="K367" t="s">
        <v>603</v>
      </c>
      <c r="L367">
        <v>1354</v>
      </c>
      <c r="N367">
        <v>1010</v>
      </c>
      <c r="O367" t="s">
        <v>228</v>
      </c>
      <c r="P367" t="s">
        <v>228</v>
      </c>
      <c r="Q367">
        <v>1</v>
      </c>
      <c r="W367">
        <v>0</v>
      </c>
      <c r="X367">
        <v>-1424681180</v>
      </c>
      <c r="Y367">
        <f t="shared" si="151"/>
        <v>3.1</v>
      </c>
      <c r="AA367">
        <v>25.33</v>
      </c>
      <c r="AB367">
        <v>0</v>
      </c>
      <c r="AC367">
        <v>0</v>
      </c>
      <c r="AD367">
        <v>0</v>
      </c>
      <c r="AE367">
        <v>6.94</v>
      </c>
      <c r="AF367">
        <v>0</v>
      </c>
      <c r="AG367">
        <v>0</v>
      </c>
      <c r="AH367">
        <v>0</v>
      </c>
      <c r="AI367">
        <v>3.65</v>
      </c>
      <c r="AJ367">
        <v>1</v>
      </c>
      <c r="AK367">
        <v>1</v>
      </c>
      <c r="AL367">
        <v>1</v>
      </c>
      <c r="AM367">
        <v>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3.1</v>
      </c>
      <c r="AU367" t="s">
        <v>119</v>
      </c>
      <c r="AV367">
        <v>0</v>
      </c>
      <c r="AW367">
        <v>2</v>
      </c>
      <c r="AX367">
        <v>57249505</v>
      </c>
      <c r="AY367">
        <v>1</v>
      </c>
      <c r="AZ367">
        <v>0</v>
      </c>
      <c r="BA367">
        <v>452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ROUND(Y367*Source!I267,9)</f>
        <v>24.614000000000001</v>
      </c>
      <c r="CY367">
        <f t="shared" si="152"/>
        <v>25.33</v>
      </c>
      <c r="CZ367">
        <f t="shared" si="153"/>
        <v>6.94</v>
      </c>
      <c r="DA367">
        <f t="shared" si="154"/>
        <v>3.65</v>
      </c>
      <c r="DB367">
        <f t="shared" si="155"/>
        <v>21.51</v>
      </c>
      <c r="DC367">
        <f t="shared" si="156"/>
        <v>0</v>
      </c>
      <c r="DD367" t="s">
        <v>3</v>
      </c>
      <c r="DE367" t="s">
        <v>3</v>
      </c>
      <c r="DF367">
        <f t="shared" si="157"/>
        <v>623.47</v>
      </c>
      <c r="DG367">
        <f t="shared" si="158"/>
        <v>0</v>
      </c>
      <c r="DH367">
        <f t="shared" si="159"/>
        <v>0</v>
      </c>
      <c r="DI367">
        <f t="shared" si="122"/>
        <v>0</v>
      </c>
      <c r="DJ367">
        <f t="shared" si="160"/>
        <v>623.47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ROW(Source!A267)</f>
        <v>267</v>
      </c>
      <c r="B368">
        <v>57248837</v>
      </c>
      <c r="C368">
        <v>57249488</v>
      </c>
      <c r="D368">
        <v>54759979</v>
      </c>
      <c r="E368">
        <v>1</v>
      </c>
      <c r="F368">
        <v>1</v>
      </c>
      <c r="G368">
        <v>1081</v>
      </c>
      <c r="H368">
        <v>3</v>
      </c>
      <c r="I368" t="s">
        <v>604</v>
      </c>
      <c r="J368" t="s">
        <v>605</v>
      </c>
      <c r="K368" t="s">
        <v>606</v>
      </c>
      <c r="L368">
        <v>1356</v>
      </c>
      <c r="N368">
        <v>1010</v>
      </c>
      <c r="O368" t="s">
        <v>348</v>
      </c>
      <c r="P368" t="s">
        <v>348</v>
      </c>
      <c r="Q368">
        <v>1000</v>
      </c>
      <c r="W368">
        <v>0</v>
      </c>
      <c r="X368">
        <v>-41723139</v>
      </c>
      <c r="Y368">
        <f t="shared" si="151"/>
        <v>8.0000000000000002E-3</v>
      </c>
      <c r="AA368">
        <v>786.04</v>
      </c>
      <c r="AB368">
        <v>0</v>
      </c>
      <c r="AC368">
        <v>0</v>
      </c>
      <c r="AD368">
        <v>0</v>
      </c>
      <c r="AE368">
        <v>614.09</v>
      </c>
      <c r="AF368">
        <v>0</v>
      </c>
      <c r="AG368">
        <v>0</v>
      </c>
      <c r="AH368">
        <v>0</v>
      </c>
      <c r="AI368">
        <v>1.28</v>
      </c>
      <c r="AJ368">
        <v>1</v>
      </c>
      <c r="AK368">
        <v>1</v>
      </c>
      <c r="AL368">
        <v>1</v>
      </c>
      <c r="AM368">
        <v>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8.0000000000000002E-3</v>
      </c>
      <c r="AU368" t="s">
        <v>119</v>
      </c>
      <c r="AV368">
        <v>0</v>
      </c>
      <c r="AW368">
        <v>2</v>
      </c>
      <c r="AX368">
        <v>57249506</v>
      </c>
      <c r="AY368">
        <v>1</v>
      </c>
      <c r="AZ368">
        <v>0</v>
      </c>
      <c r="BA368">
        <v>453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ROUND(Y368*Source!I267,9)</f>
        <v>6.3519999999999993E-2</v>
      </c>
      <c r="CY368">
        <f t="shared" si="152"/>
        <v>786.04</v>
      </c>
      <c r="CZ368">
        <f t="shared" si="153"/>
        <v>614.09</v>
      </c>
      <c r="DA368">
        <f t="shared" si="154"/>
        <v>1.28</v>
      </c>
      <c r="DB368">
        <f t="shared" si="155"/>
        <v>4.91</v>
      </c>
      <c r="DC368">
        <f t="shared" si="156"/>
        <v>0</v>
      </c>
      <c r="DD368" t="s">
        <v>3</v>
      </c>
      <c r="DE368" t="s">
        <v>3</v>
      </c>
      <c r="DF368">
        <f t="shared" si="157"/>
        <v>49.93</v>
      </c>
      <c r="DG368">
        <f t="shared" si="158"/>
        <v>0</v>
      </c>
      <c r="DH368">
        <f t="shared" si="159"/>
        <v>0</v>
      </c>
      <c r="DI368">
        <f t="shared" si="122"/>
        <v>0</v>
      </c>
      <c r="DJ368">
        <f t="shared" si="160"/>
        <v>49.93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ROW(Source!A274)</f>
        <v>274</v>
      </c>
      <c r="B369">
        <v>57248835</v>
      </c>
      <c r="C369">
        <v>57249523</v>
      </c>
      <c r="D369">
        <v>54702434</v>
      </c>
      <c r="E369">
        <v>1081</v>
      </c>
      <c r="F369">
        <v>1</v>
      </c>
      <c r="G369">
        <v>1081</v>
      </c>
      <c r="H369">
        <v>1</v>
      </c>
      <c r="I369" t="s">
        <v>457</v>
      </c>
      <c r="J369" t="s">
        <v>3</v>
      </c>
      <c r="K369" t="s">
        <v>458</v>
      </c>
      <c r="L369">
        <v>1191</v>
      </c>
      <c r="N369">
        <v>1013</v>
      </c>
      <c r="O369" t="s">
        <v>459</v>
      </c>
      <c r="P369" t="s">
        <v>459</v>
      </c>
      <c r="Q369">
        <v>1</v>
      </c>
      <c r="W369">
        <v>0</v>
      </c>
      <c r="X369">
        <v>476480486</v>
      </c>
      <c r="Y369">
        <f>(AT369*1.2)</f>
        <v>2.1960000000000002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-2</v>
      </c>
      <c r="AN369">
        <v>0</v>
      </c>
      <c r="AO369">
        <v>1</v>
      </c>
      <c r="AP369">
        <v>1</v>
      </c>
      <c r="AQ369">
        <v>0</v>
      </c>
      <c r="AR369">
        <v>0</v>
      </c>
      <c r="AS369" t="s">
        <v>3</v>
      </c>
      <c r="AT369">
        <v>1.83</v>
      </c>
      <c r="AU369" t="s">
        <v>120</v>
      </c>
      <c r="AV369">
        <v>1</v>
      </c>
      <c r="AW369">
        <v>2</v>
      </c>
      <c r="AX369">
        <v>57249532</v>
      </c>
      <c r="AY369">
        <v>1</v>
      </c>
      <c r="AZ369">
        <v>0</v>
      </c>
      <c r="BA369">
        <v>455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U369">
        <f>ROUND(AT369*Source!I274*AH369*AL369,2)</f>
        <v>0</v>
      </c>
      <c r="CV369">
        <f>ROUND(Y369*Source!I274,9)</f>
        <v>4.3920000000000001E-2</v>
      </c>
      <c r="CW369">
        <v>0</v>
      </c>
      <c r="CX369">
        <f>ROUND(Y369*Source!I274,9)</f>
        <v>4.3920000000000001E-2</v>
      </c>
      <c r="CY369">
        <f>AD369</f>
        <v>0</v>
      </c>
      <c r="CZ369">
        <f>AH369</f>
        <v>0</v>
      </c>
      <c r="DA369">
        <f>AL369</f>
        <v>1</v>
      </c>
      <c r="DB369">
        <f>ROUND((ROUND(AT369*CZ369,2)*1.2),6)</f>
        <v>0</v>
      </c>
      <c r="DC369">
        <f>ROUND((ROUND(AT369*AG369,2)*1.2),6)</f>
        <v>0</v>
      </c>
      <c r="DD369" t="s">
        <v>3</v>
      </c>
      <c r="DE369" t="s">
        <v>3</v>
      </c>
      <c r="DF369">
        <f t="shared" ref="DF369:DF379" si="161">ROUND(ROUND(AE369,2)*CX369,2)</f>
        <v>0</v>
      </c>
      <c r="DG369">
        <f t="shared" si="158"/>
        <v>0</v>
      </c>
      <c r="DH369">
        <f t="shared" si="159"/>
        <v>0</v>
      </c>
      <c r="DI369">
        <f t="shared" si="122"/>
        <v>0</v>
      </c>
      <c r="DJ369">
        <f>DI369</f>
        <v>0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ROW(Source!A274)</f>
        <v>274</v>
      </c>
      <c r="B370">
        <v>57248835</v>
      </c>
      <c r="C370">
        <v>57249523</v>
      </c>
      <c r="D370">
        <v>54768339</v>
      </c>
      <c r="E370">
        <v>1</v>
      </c>
      <c r="F370">
        <v>1</v>
      </c>
      <c r="G370">
        <v>1081</v>
      </c>
      <c r="H370">
        <v>2</v>
      </c>
      <c r="I370" t="s">
        <v>497</v>
      </c>
      <c r="J370" t="s">
        <v>498</v>
      </c>
      <c r="K370" t="s">
        <v>499</v>
      </c>
      <c r="L370">
        <v>1368</v>
      </c>
      <c r="N370">
        <v>1011</v>
      </c>
      <c r="O370" t="s">
        <v>463</v>
      </c>
      <c r="P370" t="s">
        <v>463</v>
      </c>
      <c r="Q370">
        <v>1</v>
      </c>
      <c r="W370">
        <v>0</v>
      </c>
      <c r="X370">
        <v>874612079</v>
      </c>
      <c r="Y370">
        <f>(AT370*1.2)</f>
        <v>1.2E-2</v>
      </c>
      <c r="AA370">
        <v>0</v>
      </c>
      <c r="AB370">
        <v>87.01</v>
      </c>
      <c r="AC370">
        <v>13.21</v>
      </c>
      <c r="AD370">
        <v>0</v>
      </c>
      <c r="AE370">
        <v>0</v>
      </c>
      <c r="AF370">
        <v>83.1</v>
      </c>
      <c r="AG370">
        <v>12.62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-2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0.01</v>
      </c>
      <c r="AU370" t="s">
        <v>120</v>
      </c>
      <c r="AV370">
        <v>0</v>
      </c>
      <c r="AW370">
        <v>2</v>
      </c>
      <c r="AX370">
        <v>57249533</v>
      </c>
      <c r="AY370">
        <v>1</v>
      </c>
      <c r="AZ370">
        <v>0</v>
      </c>
      <c r="BA370">
        <v>456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f>ROUND(Y370*Source!I274*DO370,9)</f>
        <v>3.0287999999999999E-3</v>
      </c>
      <c r="CX370">
        <f>ROUND(Y370*Source!I274,9)</f>
        <v>2.4000000000000001E-4</v>
      </c>
      <c r="CY370">
        <f>AB370</f>
        <v>87.01</v>
      </c>
      <c r="CZ370">
        <f>AF370</f>
        <v>83.1</v>
      </c>
      <c r="DA370">
        <f>AJ370</f>
        <v>1</v>
      </c>
      <c r="DB370">
        <f>ROUND((ROUND(AT370*CZ370,2)*1.2),6)</f>
        <v>0.996</v>
      </c>
      <c r="DC370">
        <f>ROUND((ROUND(AT370*AG370,2)*1.2),6)</f>
        <v>0.156</v>
      </c>
      <c r="DD370" t="s">
        <v>3</v>
      </c>
      <c r="DE370" t="s">
        <v>3</v>
      </c>
      <c r="DF370">
        <f t="shared" si="161"/>
        <v>0</v>
      </c>
      <c r="DG370">
        <f t="shared" si="158"/>
        <v>0.02</v>
      </c>
      <c r="DH370">
        <f t="shared" si="159"/>
        <v>0</v>
      </c>
      <c r="DI370">
        <f t="shared" si="122"/>
        <v>0</v>
      </c>
      <c r="DJ370">
        <f>DG370</f>
        <v>0.02</v>
      </c>
      <c r="DK370">
        <v>0</v>
      </c>
      <c r="DL370" t="s">
        <v>500</v>
      </c>
      <c r="DM370">
        <v>0</v>
      </c>
      <c r="DN370" t="s">
        <v>459</v>
      </c>
      <c r="DO370">
        <v>12.62</v>
      </c>
    </row>
    <row r="371" spans="1:119" x14ac:dyDescent="0.2">
      <c r="A371">
        <f>ROW(Source!A274)</f>
        <v>274</v>
      </c>
      <c r="B371">
        <v>57248835</v>
      </c>
      <c r="C371">
        <v>57249523</v>
      </c>
      <c r="D371">
        <v>54767573</v>
      </c>
      <c r="E371">
        <v>1</v>
      </c>
      <c r="F371">
        <v>1</v>
      </c>
      <c r="G371">
        <v>1081</v>
      </c>
      <c r="H371">
        <v>2</v>
      </c>
      <c r="I371" t="s">
        <v>555</v>
      </c>
      <c r="J371" t="s">
        <v>556</v>
      </c>
      <c r="K371" t="s">
        <v>557</v>
      </c>
      <c r="L371">
        <v>1368</v>
      </c>
      <c r="N371">
        <v>1011</v>
      </c>
      <c r="O371" t="s">
        <v>463</v>
      </c>
      <c r="P371" t="s">
        <v>463</v>
      </c>
      <c r="Q371">
        <v>1</v>
      </c>
      <c r="W371">
        <v>0</v>
      </c>
      <c r="X371">
        <v>-44940208</v>
      </c>
      <c r="Y371">
        <f>(AT371*1.2)</f>
        <v>1.2E-2</v>
      </c>
      <c r="AA371">
        <v>0</v>
      </c>
      <c r="AB371">
        <v>187.59</v>
      </c>
      <c r="AC371">
        <v>17.73</v>
      </c>
      <c r="AD371">
        <v>0</v>
      </c>
      <c r="AE371">
        <v>0</v>
      </c>
      <c r="AF371">
        <v>179.17</v>
      </c>
      <c r="AG371">
        <v>16.93</v>
      </c>
      <c r="AH371">
        <v>0</v>
      </c>
      <c r="AI371">
        <v>1</v>
      </c>
      <c r="AJ371">
        <v>1</v>
      </c>
      <c r="AK371">
        <v>1</v>
      </c>
      <c r="AL371">
        <v>1</v>
      </c>
      <c r="AM371">
        <v>-2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0.01</v>
      </c>
      <c r="AU371" t="s">
        <v>120</v>
      </c>
      <c r="AV371">
        <v>0</v>
      </c>
      <c r="AW371">
        <v>2</v>
      </c>
      <c r="AX371">
        <v>57249534</v>
      </c>
      <c r="AY371">
        <v>1</v>
      </c>
      <c r="AZ371">
        <v>0</v>
      </c>
      <c r="BA371">
        <v>457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f>ROUND(Y371*Source!I274*DO371,9)</f>
        <v>4.0632000000000003E-3</v>
      </c>
      <c r="CX371">
        <f>ROUND(Y371*Source!I274,9)</f>
        <v>2.4000000000000001E-4</v>
      </c>
      <c r="CY371">
        <f>AB371</f>
        <v>187.59</v>
      </c>
      <c r="CZ371">
        <f>AF371</f>
        <v>179.17</v>
      </c>
      <c r="DA371">
        <f>AJ371</f>
        <v>1</v>
      </c>
      <c r="DB371">
        <f>ROUND((ROUND(AT371*CZ371,2)*1.2),6)</f>
        <v>2.1480000000000001</v>
      </c>
      <c r="DC371">
        <f>ROUND((ROUND(AT371*AG371,2)*1.2),6)</f>
        <v>0.20399999999999999</v>
      </c>
      <c r="DD371" t="s">
        <v>3</v>
      </c>
      <c r="DE371" t="s">
        <v>3</v>
      </c>
      <c r="DF371">
        <f t="shared" si="161"/>
        <v>0</v>
      </c>
      <c r="DG371">
        <f t="shared" si="158"/>
        <v>0.04</v>
      </c>
      <c r="DH371">
        <f t="shared" si="159"/>
        <v>0</v>
      </c>
      <c r="DI371">
        <f t="shared" si="122"/>
        <v>0</v>
      </c>
      <c r="DJ371">
        <f>DG371</f>
        <v>0.04</v>
      </c>
      <c r="DK371">
        <v>0</v>
      </c>
      <c r="DL371" t="s">
        <v>500</v>
      </c>
      <c r="DM371">
        <v>0</v>
      </c>
      <c r="DN371" t="s">
        <v>459</v>
      </c>
      <c r="DO371">
        <v>16.93</v>
      </c>
    </row>
    <row r="372" spans="1:119" x14ac:dyDescent="0.2">
      <c r="A372">
        <f>ROW(Source!A274)</f>
        <v>274</v>
      </c>
      <c r="B372">
        <v>57248835</v>
      </c>
      <c r="C372">
        <v>57249523</v>
      </c>
      <c r="D372">
        <v>54738163</v>
      </c>
      <c r="E372">
        <v>1</v>
      </c>
      <c r="F372">
        <v>1</v>
      </c>
      <c r="G372">
        <v>1081</v>
      </c>
      <c r="H372">
        <v>3</v>
      </c>
      <c r="I372" t="s">
        <v>592</v>
      </c>
      <c r="J372" t="s">
        <v>593</v>
      </c>
      <c r="K372" t="s">
        <v>594</v>
      </c>
      <c r="L372">
        <v>1346</v>
      </c>
      <c r="N372">
        <v>1009</v>
      </c>
      <c r="O372" t="s">
        <v>320</v>
      </c>
      <c r="P372" t="s">
        <v>320</v>
      </c>
      <c r="Q372">
        <v>1</v>
      </c>
      <c r="W372">
        <v>0</v>
      </c>
      <c r="X372">
        <v>-1364668115</v>
      </c>
      <c r="Y372">
        <f>(AT372*1)</f>
        <v>0.6</v>
      </c>
      <c r="AA372">
        <v>1.38</v>
      </c>
      <c r="AB372">
        <v>0</v>
      </c>
      <c r="AC372">
        <v>0</v>
      </c>
      <c r="AD372">
        <v>0</v>
      </c>
      <c r="AE372">
        <v>1.38</v>
      </c>
      <c r="AF372">
        <v>0</v>
      </c>
      <c r="AG372">
        <v>0</v>
      </c>
      <c r="AH372">
        <v>0</v>
      </c>
      <c r="AI372">
        <v>1</v>
      </c>
      <c r="AJ372">
        <v>1</v>
      </c>
      <c r="AK372">
        <v>1</v>
      </c>
      <c r="AL372">
        <v>1</v>
      </c>
      <c r="AM372">
        <v>-2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0.6</v>
      </c>
      <c r="AU372" t="s">
        <v>119</v>
      </c>
      <c r="AV372">
        <v>0</v>
      </c>
      <c r="AW372">
        <v>2</v>
      </c>
      <c r="AX372">
        <v>57249535</v>
      </c>
      <c r="AY372">
        <v>1</v>
      </c>
      <c r="AZ372">
        <v>0</v>
      </c>
      <c r="BA372">
        <v>458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ROUND(Y372*Source!I274,9)</f>
        <v>1.2E-2</v>
      </c>
      <c r="CY372">
        <f>AA372</f>
        <v>1.38</v>
      </c>
      <c r="CZ372">
        <f>AE372</f>
        <v>1.38</v>
      </c>
      <c r="DA372">
        <f>AI372</f>
        <v>1</v>
      </c>
      <c r="DB372">
        <f>ROUND((ROUND(AT372*CZ372,2)*1),6)</f>
        <v>0.83</v>
      </c>
      <c r="DC372">
        <f>ROUND((ROUND(AT372*AG372,2)*1),6)</f>
        <v>0</v>
      </c>
      <c r="DD372" t="s">
        <v>3</v>
      </c>
      <c r="DE372" t="s">
        <v>3</v>
      </c>
      <c r="DF372">
        <f t="shared" si="161"/>
        <v>0.02</v>
      </c>
      <c r="DG372">
        <f t="shared" si="158"/>
        <v>0</v>
      </c>
      <c r="DH372">
        <f t="shared" si="159"/>
        <v>0</v>
      </c>
      <c r="DI372">
        <f t="shared" si="122"/>
        <v>0</v>
      </c>
      <c r="DJ372">
        <f>DF372</f>
        <v>0.02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ROW(Source!A274)</f>
        <v>274</v>
      </c>
      <c r="B373">
        <v>57248835</v>
      </c>
      <c r="C373">
        <v>57249523</v>
      </c>
      <c r="D373">
        <v>54738554</v>
      </c>
      <c r="E373">
        <v>1</v>
      </c>
      <c r="F373">
        <v>1</v>
      </c>
      <c r="G373">
        <v>1081</v>
      </c>
      <c r="H373">
        <v>3</v>
      </c>
      <c r="I373" t="s">
        <v>504</v>
      </c>
      <c r="J373" t="s">
        <v>505</v>
      </c>
      <c r="K373" t="s">
        <v>506</v>
      </c>
      <c r="L373">
        <v>1346</v>
      </c>
      <c r="N373">
        <v>1009</v>
      </c>
      <c r="O373" t="s">
        <v>320</v>
      </c>
      <c r="P373" t="s">
        <v>320</v>
      </c>
      <c r="Q373">
        <v>1</v>
      </c>
      <c r="W373">
        <v>0</v>
      </c>
      <c r="X373">
        <v>1309298634</v>
      </c>
      <c r="Y373">
        <f>(AT373*1)</f>
        <v>0.16</v>
      </c>
      <c r="AA373">
        <v>159.06</v>
      </c>
      <c r="AB373">
        <v>0</v>
      </c>
      <c r="AC373">
        <v>0</v>
      </c>
      <c r="AD373">
        <v>0</v>
      </c>
      <c r="AE373">
        <v>159.06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-2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0.16</v>
      </c>
      <c r="AU373" t="s">
        <v>119</v>
      </c>
      <c r="AV373">
        <v>0</v>
      </c>
      <c r="AW373">
        <v>2</v>
      </c>
      <c r="AX373">
        <v>57249536</v>
      </c>
      <c r="AY373">
        <v>1</v>
      </c>
      <c r="AZ373">
        <v>0</v>
      </c>
      <c r="BA373">
        <v>459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ROUND(Y373*Source!I274,9)</f>
        <v>3.2000000000000002E-3</v>
      </c>
      <c r="CY373">
        <f>AA373</f>
        <v>159.06</v>
      </c>
      <c r="CZ373">
        <f>AE373</f>
        <v>159.06</v>
      </c>
      <c r="DA373">
        <f>AI373</f>
        <v>1</v>
      </c>
      <c r="DB373">
        <f>ROUND((ROUND(AT373*CZ373,2)*1),6)</f>
        <v>25.45</v>
      </c>
      <c r="DC373">
        <f>ROUND((ROUND(AT373*AG373,2)*1),6)</f>
        <v>0</v>
      </c>
      <c r="DD373" t="s">
        <v>3</v>
      </c>
      <c r="DE373" t="s">
        <v>3</v>
      </c>
      <c r="DF373">
        <f t="shared" si="161"/>
        <v>0.51</v>
      </c>
      <c r="DG373">
        <f t="shared" si="158"/>
        <v>0</v>
      </c>
      <c r="DH373">
        <f t="shared" si="159"/>
        <v>0</v>
      </c>
      <c r="DI373">
        <f t="shared" si="122"/>
        <v>0</v>
      </c>
      <c r="DJ373">
        <f>DF373</f>
        <v>0.51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ROW(Source!A274)</f>
        <v>274</v>
      </c>
      <c r="B374">
        <v>57248835</v>
      </c>
      <c r="C374">
        <v>57249523</v>
      </c>
      <c r="D374">
        <v>54760647</v>
      </c>
      <c r="E374">
        <v>1</v>
      </c>
      <c r="F374">
        <v>1</v>
      </c>
      <c r="G374">
        <v>1081</v>
      </c>
      <c r="H374">
        <v>3</v>
      </c>
      <c r="I374" t="s">
        <v>607</v>
      </c>
      <c r="J374" t="s">
        <v>608</v>
      </c>
      <c r="K374" t="s">
        <v>609</v>
      </c>
      <c r="L374">
        <v>1356</v>
      </c>
      <c r="N374">
        <v>1010</v>
      </c>
      <c r="O374" t="s">
        <v>348</v>
      </c>
      <c r="P374" t="s">
        <v>348</v>
      </c>
      <c r="Q374">
        <v>1000</v>
      </c>
      <c r="W374">
        <v>0</v>
      </c>
      <c r="X374">
        <v>1304193837</v>
      </c>
      <c r="Y374">
        <f>(AT374*1)</f>
        <v>1.2200000000000001E-2</v>
      </c>
      <c r="AA374">
        <v>226.86</v>
      </c>
      <c r="AB374">
        <v>0</v>
      </c>
      <c r="AC374">
        <v>0</v>
      </c>
      <c r="AD374">
        <v>0</v>
      </c>
      <c r="AE374">
        <v>226.86</v>
      </c>
      <c r="AF374">
        <v>0</v>
      </c>
      <c r="AG374">
        <v>0</v>
      </c>
      <c r="AH374">
        <v>0</v>
      </c>
      <c r="AI374">
        <v>1</v>
      </c>
      <c r="AJ374">
        <v>1</v>
      </c>
      <c r="AK374">
        <v>1</v>
      </c>
      <c r="AL374">
        <v>1</v>
      </c>
      <c r="AM374">
        <v>-2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1.2200000000000001E-2</v>
      </c>
      <c r="AU374" t="s">
        <v>119</v>
      </c>
      <c r="AV374">
        <v>0</v>
      </c>
      <c r="AW374">
        <v>2</v>
      </c>
      <c r="AX374">
        <v>57249537</v>
      </c>
      <c r="AY374">
        <v>1</v>
      </c>
      <c r="AZ374">
        <v>0</v>
      </c>
      <c r="BA374">
        <v>460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ROUND(Y374*Source!I274,9)</f>
        <v>2.4399999999999999E-4</v>
      </c>
      <c r="CY374">
        <f>AA374</f>
        <v>226.86</v>
      </c>
      <c r="CZ374">
        <f>AE374</f>
        <v>226.86</v>
      </c>
      <c r="DA374">
        <f>AI374</f>
        <v>1</v>
      </c>
      <c r="DB374">
        <f>ROUND((ROUND(AT374*CZ374,2)*1),6)</f>
        <v>2.77</v>
      </c>
      <c r="DC374">
        <f>ROUND((ROUND(AT374*AG374,2)*1),6)</f>
        <v>0</v>
      </c>
      <c r="DD374" t="s">
        <v>3</v>
      </c>
      <c r="DE374" t="s">
        <v>3</v>
      </c>
      <c r="DF374">
        <f t="shared" si="161"/>
        <v>0.06</v>
      </c>
      <c r="DG374">
        <f t="shared" si="158"/>
        <v>0</v>
      </c>
      <c r="DH374">
        <f t="shared" si="159"/>
        <v>0</v>
      </c>
      <c r="DI374">
        <f t="shared" si="122"/>
        <v>0</v>
      </c>
      <c r="DJ374">
        <f>DF374</f>
        <v>0.06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ROW(Source!A274)</f>
        <v>274</v>
      </c>
      <c r="B375">
        <v>57248835</v>
      </c>
      <c r="C375">
        <v>57249523</v>
      </c>
      <c r="D375">
        <v>54759972</v>
      </c>
      <c r="E375">
        <v>1</v>
      </c>
      <c r="F375">
        <v>1</v>
      </c>
      <c r="G375">
        <v>1081</v>
      </c>
      <c r="H375">
        <v>3</v>
      </c>
      <c r="I375" t="s">
        <v>601</v>
      </c>
      <c r="J375" t="s">
        <v>602</v>
      </c>
      <c r="K375" t="s">
        <v>603</v>
      </c>
      <c r="L375">
        <v>1354</v>
      </c>
      <c r="N375">
        <v>1010</v>
      </c>
      <c r="O375" t="s">
        <v>228</v>
      </c>
      <c r="P375" t="s">
        <v>228</v>
      </c>
      <c r="Q375">
        <v>1</v>
      </c>
      <c r="W375">
        <v>0</v>
      </c>
      <c r="X375">
        <v>-1424681180</v>
      </c>
      <c r="Y375">
        <f>(AT375*1)</f>
        <v>3.1</v>
      </c>
      <c r="AA375">
        <v>6.94</v>
      </c>
      <c r="AB375">
        <v>0</v>
      </c>
      <c r="AC375">
        <v>0</v>
      </c>
      <c r="AD375">
        <v>0</v>
      </c>
      <c r="AE375">
        <v>6.94</v>
      </c>
      <c r="AF375">
        <v>0</v>
      </c>
      <c r="AG375">
        <v>0</v>
      </c>
      <c r="AH375">
        <v>0</v>
      </c>
      <c r="AI375">
        <v>1</v>
      </c>
      <c r="AJ375">
        <v>1</v>
      </c>
      <c r="AK375">
        <v>1</v>
      </c>
      <c r="AL375">
        <v>1</v>
      </c>
      <c r="AM375">
        <v>-2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3.1</v>
      </c>
      <c r="AU375" t="s">
        <v>119</v>
      </c>
      <c r="AV375">
        <v>0</v>
      </c>
      <c r="AW375">
        <v>2</v>
      </c>
      <c r="AX375">
        <v>57249538</v>
      </c>
      <c r="AY375">
        <v>1</v>
      </c>
      <c r="AZ375">
        <v>0</v>
      </c>
      <c r="BA375">
        <v>461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ROUND(Y375*Source!I274,9)</f>
        <v>6.2E-2</v>
      </c>
      <c r="CY375">
        <f>AA375</f>
        <v>6.94</v>
      </c>
      <c r="CZ375">
        <f>AE375</f>
        <v>6.94</v>
      </c>
      <c r="DA375">
        <f>AI375</f>
        <v>1</v>
      </c>
      <c r="DB375">
        <f>ROUND((ROUND(AT375*CZ375,2)*1),6)</f>
        <v>21.51</v>
      </c>
      <c r="DC375">
        <f>ROUND((ROUND(AT375*AG375,2)*1),6)</f>
        <v>0</v>
      </c>
      <c r="DD375" t="s">
        <v>3</v>
      </c>
      <c r="DE375" t="s">
        <v>3</v>
      </c>
      <c r="DF375">
        <f t="shared" si="161"/>
        <v>0.43</v>
      </c>
      <c r="DG375">
        <f t="shared" si="158"/>
        <v>0</v>
      </c>
      <c r="DH375">
        <f t="shared" si="159"/>
        <v>0</v>
      </c>
      <c r="DI375">
        <f t="shared" si="122"/>
        <v>0</v>
      </c>
      <c r="DJ375">
        <f>DF375</f>
        <v>0.43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ROW(Source!A274)</f>
        <v>274</v>
      </c>
      <c r="B376">
        <v>57248835</v>
      </c>
      <c r="C376">
        <v>57249523</v>
      </c>
      <c r="D376">
        <v>54759980</v>
      </c>
      <c r="E376">
        <v>1</v>
      </c>
      <c r="F376">
        <v>1</v>
      </c>
      <c r="G376">
        <v>1081</v>
      </c>
      <c r="H376">
        <v>3</v>
      </c>
      <c r="I376" t="s">
        <v>610</v>
      </c>
      <c r="J376" t="s">
        <v>611</v>
      </c>
      <c r="K376" t="s">
        <v>612</v>
      </c>
      <c r="L376">
        <v>1356</v>
      </c>
      <c r="N376">
        <v>1010</v>
      </c>
      <c r="O376" t="s">
        <v>348</v>
      </c>
      <c r="P376" t="s">
        <v>348</v>
      </c>
      <c r="Q376">
        <v>1000</v>
      </c>
      <c r="W376">
        <v>0</v>
      </c>
      <c r="X376">
        <v>1020131354</v>
      </c>
      <c r="Y376">
        <f>(AT376*1)</f>
        <v>8.0000000000000002E-3</v>
      </c>
      <c r="AA376">
        <v>614.09</v>
      </c>
      <c r="AB376">
        <v>0</v>
      </c>
      <c r="AC376">
        <v>0</v>
      </c>
      <c r="AD376">
        <v>0</v>
      </c>
      <c r="AE376">
        <v>614.09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-2</v>
      </c>
      <c r="AN376">
        <v>0</v>
      </c>
      <c r="AO376">
        <v>1</v>
      </c>
      <c r="AP376">
        <v>1</v>
      </c>
      <c r="AQ376">
        <v>0</v>
      </c>
      <c r="AR376">
        <v>0</v>
      </c>
      <c r="AS376" t="s">
        <v>3</v>
      </c>
      <c r="AT376">
        <v>8.0000000000000002E-3</v>
      </c>
      <c r="AU376" t="s">
        <v>119</v>
      </c>
      <c r="AV376">
        <v>0</v>
      </c>
      <c r="AW376">
        <v>2</v>
      </c>
      <c r="AX376">
        <v>57249539</v>
      </c>
      <c r="AY376">
        <v>1</v>
      </c>
      <c r="AZ376">
        <v>0</v>
      </c>
      <c r="BA376">
        <v>462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ROUND(Y376*Source!I274,9)</f>
        <v>1.6000000000000001E-4</v>
      </c>
      <c r="CY376">
        <f>AA376</f>
        <v>614.09</v>
      </c>
      <c r="CZ376">
        <f>AE376</f>
        <v>614.09</v>
      </c>
      <c r="DA376">
        <f>AI376</f>
        <v>1</v>
      </c>
      <c r="DB376">
        <f>ROUND((ROUND(AT376*CZ376,2)*1),6)</f>
        <v>4.91</v>
      </c>
      <c r="DC376">
        <f>ROUND((ROUND(AT376*AG376,2)*1),6)</f>
        <v>0</v>
      </c>
      <c r="DD376" t="s">
        <v>3</v>
      </c>
      <c r="DE376" t="s">
        <v>3</v>
      </c>
      <c r="DF376">
        <f t="shared" si="161"/>
        <v>0.1</v>
      </c>
      <c r="DG376">
        <f t="shared" si="158"/>
        <v>0</v>
      </c>
      <c r="DH376">
        <f t="shared" si="159"/>
        <v>0</v>
      </c>
      <c r="DI376">
        <f t="shared" si="122"/>
        <v>0</v>
      </c>
      <c r="DJ376">
        <f>DF376</f>
        <v>0.1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ROW(Source!A275)</f>
        <v>275</v>
      </c>
      <c r="B377">
        <v>57248837</v>
      </c>
      <c r="C377">
        <v>57249523</v>
      </c>
      <c r="D377">
        <v>54702434</v>
      </c>
      <c r="E377">
        <v>1081</v>
      </c>
      <c r="F377">
        <v>1</v>
      </c>
      <c r="G377">
        <v>1081</v>
      </c>
      <c r="H377">
        <v>1</v>
      </c>
      <c r="I377" t="s">
        <v>457</v>
      </c>
      <c r="J377" t="s">
        <v>3</v>
      </c>
      <c r="K377" t="s">
        <v>458</v>
      </c>
      <c r="L377">
        <v>1191</v>
      </c>
      <c r="N377">
        <v>1013</v>
      </c>
      <c r="O377" t="s">
        <v>459</v>
      </c>
      <c r="P377" t="s">
        <v>459</v>
      </c>
      <c r="Q377">
        <v>1</v>
      </c>
      <c r="W377">
        <v>0</v>
      </c>
      <c r="X377">
        <v>476480486</v>
      </c>
      <c r="Y377">
        <f>(AT377*1.2)</f>
        <v>2.1960000000000002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5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1.83</v>
      </c>
      <c r="AU377" t="s">
        <v>120</v>
      </c>
      <c r="AV377">
        <v>1</v>
      </c>
      <c r="AW377">
        <v>2</v>
      </c>
      <c r="AX377">
        <v>57249532</v>
      </c>
      <c r="AY377">
        <v>1</v>
      </c>
      <c r="AZ377">
        <v>0</v>
      </c>
      <c r="BA377">
        <v>464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ROUND(AT377*Source!I275*AH377*AL377,2)</f>
        <v>0</v>
      </c>
      <c r="CV377">
        <f>ROUND(Y377*Source!I275,9)</f>
        <v>4.3920000000000001E-2</v>
      </c>
      <c r="CW377">
        <v>0</v>
      </c>
      <c r="CX377">
        <f>ROUND(Y377*Source!I275,9)</f>
        <v>4.3920000000000001E-2</v>
      </c>
      <c r="CY377">
        <f>AD377</f>
        <v>0</v>
      </c>
      <c r="CZ377">
        <f>AH377</f>
        <v>0</v>
      </c>
      <c r="DA377">
        <f>AL377</f>
        <v>1</v>
      </c>
      <c r="DB377">
        <f>ROUND((ROUND(AT377*CZ377,2)*1.2),6)</f>
        <v>0</v>
      </c>
      <c r="DC377">
        <f>ROUND((ROUND(AT377*AG377,2)*1.2),6)</f>
        <v>0</v>
      </c>
      <c r="DD377" t="s">
        <v>3</v>
      </c>
      <c r="DE377" t="s">
        <v>3</v>
      </c>
      <c r="DF377">
        <f t="shared" si="161"/>
        <v>0</v>
      </c>
      <c r="DG377">
        <f t="shared" si="158"/>
        <v>0</v>
      </c>
      <c r="DH377">
        <f t="shared" si="159"/>
        <v>0</v>
      </c>
      <c r="DI377">
        <f t="shared" si="122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ROW(Source!A275)</f>
        <v>275</v>
      </c>
      <c r="B378">
        <v>57248837</v>
      </c>
      <c r="C378">
        <v>57249523</v>
      </c>
      <c r="D378">
        <v>54768339</v>
      </c>
      <c r="E378">
        <v>1</v>
      </c>
      <c r="F378">
        <v>1</v>
      </c>
      <c r="G378">
        <v>1081</v>
      </c>
      <c r="H378">
        <v>2</v>
      </c>
      <c r="I378" t="s">
        <v>497</v>
      </c>
      <c r="J378" t="s">
        <v>498</v>
      </c>
      <c r="K378" t="s">
        <v>499</v>
      </c>
      <c r="L378">
        <v>1368</v>
      </c>
      <c r="N378">
        <v>1011</v>
      </c>
      <c r="O378" t="s">
        <v>463</v>
      </c>
      <c r="P378" t="s">
        <v>463</v>
      </c>
      <c r="Q378">
        <v>1</v>
      </c>
      <c r="W378">
        <v>0</v>
      </c>
      <c r="X378">
        <v>874612079</v>
      </c>
      <c r="Y378">
        <f>(AT378*1.2)</f>
        <v>1.2E-2</v>
      </c>
      <c r="AA378">
        <v>0</v>
      </c>
      <c r="AB378">
        <v>1485.19</v>
      </c>
      <c r="AC378">
        <v>744.56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17.07</v>
      </c>
      <c r="AK378">
        <v>56.35</v>
      </c>
      <c r="AL378">
        <v>1</v>
      </c>
      <c r="AM378">
        <v>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0.01</v>
      </c>
      <c r="AU378" t="s">
        <v>120</v>
      </c>
      <c r="AV378">
        <v>0</v>
      </c>
      <c r="AW378">
        <v>2</v>
      </c>
      <c r="AX378">
        <v>57249533</v>
      </c>
      <c r="AY378">
        <v>1</v>
      </c>
      <c r="AZ378">
        <v>0</v>
      </c>
      <c r="BA378">
        <v>465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ROUND(Y378*Source!I275*DO378,9)</f>
        <v>3.0287999999999999E-3</v>
      </c>
      <c r="CX378">
        <f>ROUND(Y378*Source!I275,9)</f>
        <v>2.4000000000000001E-4</v>
      </c>
      <c r="CY378">
        <f>AB378</f>
        <v>1485.19</v>
      </c>
      <c r="CZ378">
        <f>AF378</f>
        <v>83.1</v>
      </c>
      <c r="DA378">
        <f>AJ378</f>
        <v>17.07</v>
      </c>
      <c r="DB378">
        <f>ROUND((ROUND(AT378*CZ378,2)*1.2),6)</f>
        <v>0.996</v>
      </c>
      <c r="DC378">
        <f>ROUND((ROUND(AT378*AG378,2)*1.2),6)</f>
        <v>0.156</v>
      </c>
      <c r="DD378" t="s">
        <v>3</v>
      </c>
      <c r="DE378" t="s">
        <v>3</v>
      </c>
      <c r="DF378">
        <f t="shared" si="161"/>
        <v>0</v>
      </c>
      <c r="DG378">
        <f>ROUND(ROUND(AF378*AJ378,2)*CX378,2)</f>
        <v>0.34</v>
      </c>
      <c r="DH378">
        <f>ROUND(ROUND(AG378*AK378,2)*CX378,2)</f>
        <v>0.17</v>
      </c>
      <c r="DI378">
        <f t="shared" si="122"/>
        <v>0</v>
      </c>
      <c r="DJ378">
        <f>DG378</f>
        <v>0.34</v>
      </c>
      <c r="DK378">
        <v>0</v>
      </c>
      <c r="DL378" t="s">
        <v>500</v>
      </c>
      <c r="DM378">
        <v>0</v>
      </c>
      <c r="DN378" t="s">
        <v>459</v>
      </c>
      <c r="DO378">
        <v>12.62</v>
      </c>
    </row>
    <row r="379" spans="1:119" x14ac:dyDescent="0.2">
      <c r="A379">
        <f>ROW(Source!A275)</f>
        <v>275</v>
      </c>
      <c r="B379">
        <v>57248837</v>
      </c>
      <c r="C379">
        <v>57249523</v>
      </c>
      <c r="D379">
        <v>54767573</v>
      </c>
      <c r="E379">
        <v>1</v>
      </c>
      <c r="F379">
        <v>1</v>
      </c>
      <c r="G379">
        <v>1081</v>
      </c>
      <c r="H379">
        <v>2</v>
      </c>
      <c r="I379" t="s">
        <v>555</v>
      </c>
      <c r="J379" t="s">
        <v>556</v>
      </c>
      <c r="K379" t="s">
        <v>557</v>
      </c>
      <c r="L379">
        <v>1368</v>
      </c>
      <c r="N379">
        <v>1011</v>
      </c>
      <c r="O379" t="s">
        <v>463</v>
      </c>
      <c r="P379" t="s">
        <v>463</v>
      </c>
      <c r="Q379">
        <v>1</v>
      </c>
      <c r="W379">
        <v>0</v>
      </c>
      <c r="X379">
        <v>-44940208</v>
      </c>
      <c r="Y379">
        <f>(AT379*1.2)</f>
        <v>1.2E-2</v>
      </c>
      <c r="AA379">
        <v>0</v>
      </c>
      <c r="AB379">
        <v>2706.94</v>
      </c>
      <c r="AC379">
        <v>998.84</v>
      </c>
      <c r="AD379">
        <v>0</v>
      </c>
      <c r="AE379">
        <v>0</v>
      </c>
      <c r="AF379">
        <v>179.17</v>
      </c>
      <c r="AG379">
        <v>16.93</v>
      </c>
      <c r="AH379">
        <v>0</v>
      </c>
      <c r="AI379">
        <v>1</v>
      </c>
      <c r="AJ379">
        <v>14.43</v>
      </c>
      <c r="AK379">
        <v>56.35</v>
      </c>
      <c r="AL379">
        <v>1</v>
      </c>
      <c r="AM379">
        <v>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0.01</v>
      </c>
      <c r="AU379" t="s">
        <v>120</v>
      </c>
      <c r="AV379">
        <v>0</v>
      </c>
      <c r="AW379">
        <v>2</v>
      </c>
      <c r="AX379">
        <v>57249534</v>
      </c>
      <c r="AY379">
        <v>1</v>
      </c>
      <c r="AZ379">
        <v>0</v>
      </c>
      <c r="BA379">
        <v>466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ROUND(Y379*Source!I275*DO379,9)</f>
        <v>4.0632000000000003E-3</v>
      </c>
      <c r="CX379">
        <f>ROUND(Y379*Source!I275,9)</f>
        <v>2.4000000000000001E-4</v>
      </c>
      <c r="CY379">
        <f>AB379</f>
        <v>2706.94</v>
      </c>
      <c r="CZ379">
        <f>AF379</f>
        <v>179.17</v>
      </c>
      <c r="DA379">
        <f>AJ379</f>
        <v>14.43</v>
      </c>
      <c r="DB379">
        <f>ROUND((ROUND(AT379*CZ379,2)*1.2),6)</f>
        <v>2.1480000000000001</v>
      </c>
      <c r="DC379">
        <f>ROUND((ROUND(AT379*AG379,2)*1.2),6)</f>
        <v>0.20399999999999999</v>
      </c>
      <c r="DD379" t="s">
        <v>3</v>
      </c>
      <c r="DE379" t="s">
        <v>3</v>
      </c>
      <c r="DF379">
        <f t="shared" si="161"/>
        <v>0</v>
      </c>
      <c r="DG379">
        <f>ROUND(ROUND(AF379*AJ379,2)*CX379,2)</f>
        <v>0.62</v>
      </c>
      <c r="DH379">
        <f>ROUND(ROUND(AG379*AK379,2)*CX379,2)</f>
        <v>0.23</v>
      </c>
      <c r="DI379">
        <f t="shared" si="122"/>
        <v>0</v>
      </c>
      <c r="DJ379">
        <f>DG379</f>
        <v>0.62</v>
      </c>
      <c r="DK379">
        <v>0</v>
      </c>
      <c r="DL379" t="s">
        <v>500</v>
      </c>
      <c r="DM379">
        <v>0</v>
      </c>
      <c r="DN379" t="s">
        <v>459</v>
      </c>
      <c r="DO379">
        <v>16.93</v>
      </c>
    </row>
    <row r="380" spans="1:119" x14ac:dyDescent="0.2">
      <c r="A380">
        <f>ROW(Source!A275)</f>
        <v>275</v>
      </c>
      <c r="B380">
        <v>57248837</v>
      </c>
      <c r="C380">
        <v>57249523</v>
      </c>
      <c r="D380">
        <v>54738163</v>
      </c>
      <c r="E380">
        <v>1</v>
      </c>
      <c r="F380">
        <v>1</v>
      </c>
      <c r="G380">
        <v>1081</v>
      </c>
      <c r="H380">
        <v>3</v>
      </c>
      <c r="I380" t="s">
        <v>592</v>
      </c>
      <c r="J380" t="s">
        <v>593</v>
      </c>
      <c r="K380" t="s">
        <v>594</v>
      </c>
      <c r="L380">
        <v>1346</v>
      </c>
      <c r="N380">
        <v>1009</v>
      </c>
      <c r="O380" t="s">
        <v>320</v>
      </c>
      <c r="P380" t="s">
        <v>320</v>
      </c>
      <c r="Q380">
        <v>1</v>
      </c>
      <c r="W380">
        <v>0</v>
      </c>
      <c r="X380">
        <v>-1364668115</v>
      </c>
      <c r="Y380">
        <f>(AT380*1)</f>
        <v>0.6</v>
      </c>
      <c r="AA380">
        <v>33.64</v>
      </c>
      <c r="AB380">
        <v>0</v>
      </c>
      <c r="AC380">
        <v>0</v>
      </c>
      <c r="AD380">
        <v>0</v>
      </c>
      <c r="AE380">
        <v>1.38</v>
      </c>
      <c r="AF380">
        <v>0</v>
      </c>
      <c r="AG380">
        <v>0</v>
      </c>
      <c r="AH380">
        <v>0</v>
      </c>
      <c r="AI380">
        <v>24.38</v>
      </c>
      <c r="AJ380">
        <v>1</v>
      </c>
      <c r="AK380">
        <v>1</v>
      </c>
      <c r="AL380">
        <v>1</v>
      </c>
      <c r="AM380">
        <v>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0.6</v>
      </c>
      <c r="AU380" t="s">
        <v>119</v>
      </c>
      <c r="AV380">
        <v>0</v>
      </c>
      <c r="AW380">
        <v>2</v>
      </c>
      <c r="AX380">
        <v>57249535</v>
      </c>
      <c r="AY380">
        <v>1</v>
      </c>
      <c r="AZ380">
        <v>0</v>
      </c>
      <c r="BA380">
        <v>467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ROUND(Y380*Source!I275,9)</f>
        <v>1.2E-2</v>
      </c>
      <c r="CY380">
        <f>AA380</f>
        <v>33.64</v>
      </c>
      <c r="CZ380">
        <f>AE380</f>
        <v>1.38</v>
      </c>
      <c r="DA380">
        <f>AI380</f>
        <v>24.38</v>
      </c>
      <c r="DB380">
        <f>ROUND((ROUND(AT380*CZ380,2)*1),6)</f>
        <v>0.83</v>
      </c>
      <c r="DC380">
        <f>ROUND((ROUND(AT380*AG380,2)*1),6)</f>
        <v>0</v>
      </c>
      <c r="DD380" t="s">
        <v>3</v>
      </c>
      <c r="DE380" t="s">
        <v>3</v>
      </c>
      <c r="DF380">
        <f>ROUND(ROUND(AE380*AI380,2)*CX380,2)</f>
        <v>0.4</v>
      </c>
      <c r="DG380">
        <f t="shared" ref="DG380:DG393" si="162">ROUND(ROUND(AF380,2)*CX380,2)</f>
        <v>0</v>
      </c>
      <c r="DH380">
        <f t="shared" ref="DH380:DH393" si="163">ROUND(ROUND(AG380,2)*CX380,2)</f>
        <v>0</v>
      </c>
      <c r="DI380">
        <f t="shared" si="122"/>
        <v>0</v>
      </c>
      <c r="DJ380">
        <f>DF380</f>
        <v>0.4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ROW(Source!A275)</f>
        <v>275</v>
      </c>
      <c r="B381">
        <v>57248837</v>
      </c>
      <c r="C381">
        <v>57249523</v>
      </c>
      <c r="D381">
        <v>54738554</v>
      </c>
      <c r="E381">
        <v>1</v>
      </c>
      <c r="F381">
        <v>1</v>
      </c>
      <c r="G381">
        <v>1081</v>
      </c>
      <c r="H381">
        <v>3</v>
      </c>
      <c r="I381" t="s">
        <v>504</v>
      </c>
      <c r="J381" t="s">
        <v>505</v>
      </c>
      <c r="K381" t="s">
        <v>506</v>
      </c>
      <c r="L381">
        <v>1346</v>
      </c>
      <c r="N381">
        <v>1009</v>
      </c>
      <c r="O381" t="s">
        <v>320</v>
      </c>
      <c r="P381" t="s">
        <v>320</v>
      </c>
      <c r="Q381">
        <v>1</v>
      </c>
      <c r="W381">
        <v>0</v>
      </c>
      <c r="X381">
        <v>1309298634</v>
      </c>
      <c r="Y381">
        <f>(AT381*1)</f>
        <v>0.16</v>
      </c>
      <c r="AA381">
        <v>286.31</v>
      </c>
      <c r="AB381">
        <v>0</v>
      </c>
      <c r="AC381">
        <v>0</v>
      </c>
      <c r="AD381">
        <v>0</v>
      </c>
      <c r="AE381">
        <v>159.06</v>
      </c>
      <c r="AF381">
        <v>0</v>
      </c>
      <c r="AG381">
        <v>0</v>
      </c>
      <c r="AH381">
        <v>0</v>
      </c>
      <c r="AI381">
        <v>1.8</v>
      </c>
      <c r="AJ381">
        <v>1</v>
      </c>
      <c r="AK381">
        <v>1</v>
      </c>
      <c r="AL381">
        <v>1</v>
      </c>
      <c r="AM381">
        <v>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0.16</v>
      </c>
      <c r="AU381" t="s">
        <v>119</v>
      </c>
      <c r="AV381">
        <v>0</v>
      </c>
      <c r="AW381">
        <v>2</v>
      </c>
      <c r="AX381">
        <v>57249536</v>
      </c>
      <c r="AY381">
        <v>1</v>
      </c>
      <c r="AZ381">
        <v>0</v>
      </c>
      <c r="BA381">
        <v>468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ROUND(Y381*Source!I275,9)</f>
        <v>3.2000000000000002E-3</v>
      </c>
      <c r="CY381">
        <f>AA381</f>
        <v>286.31</v>
      </c>
      <c r="CZ381">
        <f>AE381</f>
        <v>159.06</v>
      </c>
      <c r="DA381">
        <f>AI381</f>
        <v>1.8</v>
      </c>
      <c r="DB381">
        <f>ROUND((ROUND(AT381*CZ381,2)*1),6)</f>
        <v>25.45</v>
      </c>
      <c r="DC381">
        <f>ROUND((ROUND(AT381*AG381,2)*1),6)</f>
        <v>0</v>
      </c>
      <c r="DD381" t="s">
        <v>3</v>
      </c>
      <c r="DE381" t="s">
        <v>3</v>
      </c>
      <c r="DF381">
        <f>ROUND(ROUND(AE381*AI381,2)*CX381,2)</f>
        <v>0.92</v>
      </c>
      <c r="DG381">
        <f t="shared" si="162"/>
        <v>0</v>
      </c>
      <c r="DH381">
        <f t="shared" si="163"/>
        <v>0</v>
      </c>
      <c r="DI381">
        <f t="shared" si="122"/>
        <v>0</v>
      </c>
      <c r="DJ381">
        <f>DF381</f>
        <v>0.92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ROW(Source!A275)</f>
        <v>275</v>
      </c>
      <c r="B382">
        <v>57248837</v>
      </c>
      <c r="C382">
        <v>57249523</v>
      </c>
      <c r="D382">
        <v>54760647</v>
      </c>
      <c r="E382">
        <v>1</v>
      </c>
      <c r="F382">
        <v>1</v>
      </c>
      <c r="G382">
        <v>1081</v>
      </c>
      <c r="H382">
        <v>3</v>
      </c>
      <c r="I382" t="s">
        <v>607</v>
      </c>
      <c r="J382" t="s">
        <v>608</v>
      </c>
      <c r="K382" t="s">
        <v>609</v>
      </c>
      <c r="L382">
        <v>1356</v>
      </c>
      <c r="N382">
        <v>1010</v>
      </c>
      <c r="O382" t="s">
        <v>348</v>
      </c>
      <c r="P382" t="s">
        <v>348</v>
      </c>
      <c r="Q382">
        <v>1000</v>
      </c>
      <c r="W382">
        <v>0</v>
      </c>
      <c r="X382">
        <v>1304193837</v>
      </c>
      <c r="Y382">
        <f>(AT382*1)</f>
        <v>1.2200000000000001E-2</v>
      </c>
      <c r="AA382">
        <v>1556.26</v>
      </c>
      <c r="AB382">
        <v>0</v>
      </c>
      <c r="AC382">
        <v>0</v>
      </c>
      <c r="AD382">
        <v>0</v>
      </c>
      <c r="AE382">
        <v>226.86</v>
      </c>
      <c r="AF382">
        <v>0</v>
      </c>
      <c r="AG382">
        <v>0</v>
      </c>
      <c r="AH382">
        <v>0</v>
      </c>
      <c r="AI382">
        <v>6.86</v>
      </c>
      <c r="AJ382">
        <v>1</v>
      </c>
      <c r="AK382">
        <v>1</v>
      </c>
      <c r="AL382">
        <v>1</v>
      </c>
      <c r="AM382">
        <v>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1.2200000000000001E-2</v>
      </c>
      <c r="AU382" t="s">
        <v>119</v>
      </c>
      <c r="AV382">
        <v>0</v>
      </c>
      <c r="AW382">
        <v>2</v>
      </c>
      <c r="AX382">
        <v>57249537</v>
      </c>
      <c r="AY382">
        <v>1</v>
      </c>
      <c r="AZ382">
        <v>0</v>
      </c>
      <c r="BA382">
        <v>469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ROUND(Y382*Source!I275,9)</f>
        <v>2.4399999999999999E-4</v>
      </c>
      <c r="CY382">
        <f>AA382</f>
        <v>1556.26</v>
      </c>
      <c r="CZ382">
        <f>AE382</f>
        <v>226.86</v>
      </c>
      <c r="DA382">
        <f>AI382</f>
        <v>6.86</v>
      </c>
      <c r="DB382">
        <f>ROUND((ROUND(AT382*CZ382,2)*1),6)</f>
        <v>2.77</v>
      </c>
      <c r="DC382">
        <f>ROUND((ROUND(AT382*AG382,2)*1),6)</f>
        <v>0</v>
      </c>
      <c r="DD382" t="s">
        <v>3</v>
      </c>
      <c r="DE382" t="s">
        <v>3</v>
      </c>
      <c r="DF382">
        <f>ROUND(ROUND(AE382*AI382,2)*CX382,2)</f>
        <v>0.38</v>
      </c>
      <c r="DG382">
        <f t="shared" si="162"/>
        <v>0</v>
      </c>
      <c r="DH382">
        <f t="shared" si="163"/>
        <v>0</v>
      </c>
      <c r="DI382">
        <f t="shared" si="122"/>
        <v>0</v>
      </c>
      <c r="DJ382">
        <f>DF382</f>
        <v>0.38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ROW(Source!A275)</f>
        <v>275</v>
      </c>
      <c r="B383">
        <v>57248837</v>
      </c>
      <c r="C383">
        <v>57249523</v>
      </c>
      <c r="D383">
        <v>54759972</v>
      </c>
      <c r="E383">
        <v>1</v>
      </c>
      <c r="F383">
        <v>1</v>
      </c>
      <c r="G383">
        <v>1081</v>
      </c>
      <c r="H383">
        <v>3</v>
      </c>
      <c r="I383" t="s">
        <v>601</v>
      </c>
      <c r="J383" t="s">
        <v>602</v>
      </c>
      <c r="K383" t="s">
        <v>603</v>
      </c>
      <c r="L383">
        <v>1354</v>
      </c>
      <c r="N383">
        <v>1010</v>
      </c>
      <c r="O383" t="s">
        <v>228</v>
      </c>
      <c r="P383" t="s">
        <v>228</v>
      </c>
      <c r="Q383">
        <v>1</v>
      </c>
      <c r="W383">
        <v>0</v>
      </c>
      <c r="X383">
        <v>-1424681180</v>
      </c>
      <c r="Y383">
        <f>(AT383*1)</f>
        <v>3.1</v>
      </c>
      <c r="AA383">
        <v>25.33</v>
      </c>
      <c r="AB383">
        <v>0</v>
      </c>
      <c r="AC383">
        <v>0</v>
      </c>
      <c r="AD383">
        <v>0</v>
      </c>
      <c r="AE383">
        <v>6.94</v>
      </c>
      <c r="AF383">
        <v>0</v>
      </c>
      <c r="AG383">
        <v>0</v>
      </c>
      <c r="AH383">
        <v>0</v>
      </c>
      <c r="AI383">
        <v>3.65</v>
      </c>
      <c r="AJ383">
        <v>1</v>
      </c>
      <c r="AK383">
        <v>1</v>
      </c>
      <c r="AL383">
        <v>1</v>
      </c>
      <c r="AM383">
        <v>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3.1</v>
      </c>
      <c r="AU383" t="s">
        <v>119</v>
      </c>
      <c r="AV383">
        <v>0</v>
      </c>
      <c r="AW383">
        <v>2</v>
      </c>
      <c r="AX383">
        <v>57249538</v>
      </c>
      <c r="AY383">
        <v>1</v>
      </c>
      <c r="AZ383">
        <v>0</v>
      </c>
      <c r="BA383">
        <v>470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ROUND(Y383*Source!I275,9)</f>
        <v>6.2E-2</v>
      </c>
      <c r="CY383">
        <f>AA383</f>
        <v>25.33</v>
      </c>
      <c r="CZ383">
        <f>AE383</f>
        <v>6.94</v>
      </c>
      <c r="DA383">
        <f>AI383</f>
        <v>3.65</v>
      </c>
      <c r="DB383">
        <f>ROUND((ROUND(AT383*CZ383,2)*1),6)</f>
        <v>21.51</v>
      </c>
      <c r="DC383">
        <f>ROUND((ROUND(AT383*AG383,2)*1),6)</f>
        <v>0</v>
      </c>
      <c r="DD383" t="s">
        <v>3</v>
      </c>
      <c r="DE383" t="s">
        <v>3</v>
      </c>
      <c r="DF383">
        <f>ROUND(ROUND(AE383*AI383,2)*CX383,2)</f>
        <v>1.57</v>
      </c>
      <c r="DG383">
        <f t="shared" si="162"/>
        <v>0</v>
      </c>
      <c r="DH383">
        <f t="shared" si="163"/>
        <v>0</v>
      </c>
      <c r="DI383">
        <f t="shared" si="122"/>
        <v>0</v>
      </c>
      <c r="DJ383">
        <f>DF383</f>
        <v>1.57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ROW(Source!A275)</f>
        <v>275</v>
      </c>
      <c r="B384">
        <v>57248837</v>
      </c>
      <c r="C384">
        <v>57249523</v>
      </c>
      <c r="D384">
        <v>54759980</v>
      </c>
      <c r="E384">
        <v>1</v>
      </c>
      <c r="F384">
        <v>1</v>
      </c>
      <c r="G384">
        <v>1081</v>
      </c>
      <c r="H384">
        <v>3</v>
      </c>
      <c r="I384" t="s">
        <v>610</v>
      </c>
      <c r="J384" t="s">
        <v>611</v>
      </c>
      <c r="K384" t="s">
        <v>612</v>
      </c>
      <c r="L384">
        <v>1356</v>
      </c>
      <c r="N384">
        <v>1010</v>
      </c>
      <c r="O384" t="s">
        <v>348</v>
      </c>
      <c r="P384" t="s">
        <v>348</v>
      </c>
      <c r="Q384">
        <v>1000</v>
      </c>
      <c r="W384">
        <v>0</v>
      </c>
      <c r="X384">
        <v>1020131354</v>
      </c>
      <c r="Y384">
        <f>(AT384*1)</f>
        <v>8.0000000000000002E-3</v>
      </c>
      <c r="AA384">
        <v>1197.48</v>
      </c>
      <c r="AB384">
        <v>0</v>
      </c>
      <c r="AC384">
        <v>0</v>
      </c>
      <c r="AD384">
        <v>0</v>
      </c>
      <c r="AE384">
        <v>614.09</v>
      </c>
      <c r="AF384">
        <v>0</v>
      </c>
      <c r="AG384">
        <v>0</v>
      </c>
      <c r="AH384">
        <v>0</v>
      </c>
      <c r="AI384">
        <v>1.95</v>
      </c>
      <c r="AJ384">
        <v>1</v>
      </c>
      <c r="AK384">
        <v>1</v>
      </c>
      <c r="AL384">
        <v>1</v>
      </c>
      <c r="AM384">
        <v>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8.0000000000000002E-3</v>
      </c>
      <c r="AU384" t="s">
        <v>119</v>
      </c>
      <c r="AV384">
        <v>0</v>
      </c>
      <c r="AW384">
        <v>2</v>
      </c>
      <c r="AX384">
        <v>57249539</v>
      </c>
      <c r="AY384">
        <v>1</v>
      </c>
      <c r="AZ384">
        <v>0</v>
      </c>
      <c r="BA384">
        <v>471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ROUND(Y384*Source!I275,9)</f>
        <v>1.6000000000000001E-4</v>
      </c>
      <c r="CY384">
        <f>AA384</f>
        <v>1197.48</v>
      </c>
      <c r="CZ384">
        <f>AE384</f>
        <v>614.09</v>
      </c>
      <c r="DA384">
        <f>AI384</f>
        <v>1.95</v>
      </c>
      <c r="DB384">
        <f>ROUND((ROUND(AT384*CZ384,2)*1),6)</f>
        <v>4.91</v>
      </c>
      <c r="DC384">
        <f>ROUND((ROUND(AT384*AG384,2)*1),6)</f>
        <v>0</v>
      </c>
      <c r="DD384" t="s">
        <v>3</v>
      </c>
      <c r="DE384" t="s">
        <v>3</v>
      </c>
      <c r="DF384">
        <f>ROUND(ROUND(AE384*AI384,2)*CX384,2)</f>
        <v>0.19</v>
      </c>
      <c r="DG384">
        <f t="shared" si="162"/>
        <v>0</v>
      </c>
      <c r="DH384">
        <f t="shared" si="163"/>
        <v>0</v>
      </c>
      <c r="DI384">
        <f t="shared" si="122"/>
        <v>0</v>
      </c>
      <c r="DJ384">
        <f>DF384</f>
        <v>0.19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ROW(Source!A278)</f>
        <v>278</v>
      </c>
      <c r="B385">
        <v>57248835</v>
      </c>
      <c r="C385">
        <v>57249542</v>
      </c>
      <c r="D385">
        <v>54702434</v>
      </c>
      <c r="E385">
        <v>1081</v>
      </c>
      <c r="F385">
        <v>1</v>
      </c>
      <c r="G385">
        <v>1081</v>
      </c>
      <c r="H385">
        <v>1</v>
      </c>
      <c r="I385" t="s">
        <v>457</v>
      </c>
      <c r="J385" t="s">
        <v>3</v>
      </c>
      <c r="K385" t="s">
        <v>458</v>
      </c>
      <c r="L385">
        <v>1191</v>
      </c>
      <c r="N385">
        <v>1013</v>
      </c>
      <c r="O385" t="s">
        <v>459</v>
      </c>
      <c r="P385" t="s">
        <v>459</v>
      </c>
      <c r="Q385">
        <v>1</v>
      </c>
      <c r="W385">
        <v>0</v>
      </c>
      <c r="X385">
        <v>476480486</v>
      </c>
      <c r="Y385">
        <f>(AT385*1.2)</f>
        <v>48.24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40.200000000000003</v>
      </c>
      <c r="AU385" t="s">
        <v>120</v>
      </c>
      <c r="AV385">
        <v>1</v>
      </c>
      <c r="AW385">
        <v>2</v>
      </c>
      <c r="AX385">
        <v>57249552</v>
      </c>
      <c r="AY385">
        <v>1</v>
      </c>
      <c r="AZ385">
        <v>0</v>
      </c>
      <c r="BA385">
        <v>473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ROUND(AT385*Source!I278*AH385*AL385,2)</f>
        <v>0</v>
      </c>
      <c r="CV385">
        <f>ROUND(Y385*Source!I278,9)</f>
        <v>43.415999999999997</v>
      </c>
      <c r="CW385">
        <v>0</v>
      </c>
      <c r="CX385">
        <f>ROUND(Y385*Source!I278,9)</f>
        <v>43.415999999999997</v>
      </c>
      <c r="CY385">
        <f>AD385</f>
        <v>0</v>
      </c>
      <c r="CZ385">
        <f>AH385</f>
        <v>0</v>
      </c>
      <c r="DA385">
        <f>AL385</f>
        <v>1</v>
      </c>
      <c r="DB385">
        <f>ROUND((ROUND(AT385*CZ385,2)*1.2),6)</f>
        <v>0</v>
      </c>
      <c r="DC385">
        <f>ROUND((ROUND(AT385*AG385,2)*1.2),6)</f>
        <v>0</v>
      </c>
      <c r="DD385" t="s">
        <v>3</v>
      </c>
      <c r="DE385" t="s">
        <v>3</v>
      </c>
      <c r="DF385">
        <f t="shared" ref="DF385:DF395" si="164">ROUND(ROUND(AE385,2)*CX385,2)</f>
        <v>0</v>
      </c>
      <c r="DG385">
        <f t="shared" si="162"/>
        <v>0</v>
      </c>
      <c r="DH385">
        <f t="shared" si="163"/>
        <v>0</v>
      </c>
      <c r="DI385">
        <f t="shared" ref="DI385:DI402" si="165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ROW(Source!A278)</f>
        <v>278</v>
      </c>
      <c r="B386">
        <v>57248835</v>
      </c>
      <c r="C386">
        <v>57249542</v>
      </c>
      <c r="D386">
        <v>54768339</v>
      </c>
      <c r="E386">
        <v>1</v>
      </c>
      <c r="F386">
        <v>1</v>
      </c>
      <c r="G386">
        <v>1081</v>
      </c>
      <c r="H386">
        <v>2</v>
      </c>
      <c r="I386" t="s">
        <v>497</v>
      </c>
      <c r="J386" t="s">
        <v>498</v>
      </c>
      <c r="K386" t="s">
        <v>499</v>
      </c>
      <c r="L386">
        <v>1368</v>
      </c>
      <c r="N386">
        <v>1011</v>
      </c>
      <c r="O386" t="s">
        <v>463</v>
      </c>
      <c r="P386" t="s">
        <v>463</v>
      </c>
      <c r="Q386">
        <v>1</v>
      </c>
      <c r="W386">
        <v>0</v>
      </c>
      <c r="X386">
        <v>874612079</v>
      </c>
      <c r="Y386">
        <f>(AT386*1.2)</f>
        <v>3.5999999999999997E-2</v>
      </c>
      <c r="AA386">
        <v>0</v>
      </c>
      <c r="AB386">
        <v>88.67</v>
      </c>
      <c r="AC386">
        <v>13.47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-2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0.03</v>
      </c>
      <c r="AU386" t="s">
        <v>120</v>
      </c>
      <c r="AV386">
        <v>0</v>
      </c>
      <c r="AW386">
        <v>2</v>
      </c>
      <c r="AX386">
        <v>57249553</v>
      </c>
      <c r="AY386">
        <v>1</v>
      </c>
      <c r="AZ386">
        <v>0</v>
      </c>
      <c r="BA386">
        <v>474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ROUND(Y386*Source!I278*DO386,9)</f>
        <v>0.40888799999999997</v>
      </c>
      <c r="CX386">
        <f>ROUND(Y386*Source!I278,9)</f>
        <v>3.2399999999999998E-2</v>
      </c>
      <c r="CY386">
        <f>AB386</f>
        <v>88.67</v>
      </c>
      <c r="CZ386">
        <f>AF386</f>
        <v>83.1</v>
      </c>
      <c r="DA386">
        <f>AJ386</f>
        <v>1</v>
      </c>
      <c r="DB386">
        <f>ROUND((ROUND(AT386*CZ386,2)*1.2),6)</f>
        <v>2.988</v>
      </c>
      <c r="DC386">
        <f>ROUND((ROUND(AT386*AG386,2)*1.2),6)</f>
        <v>0.45600000000000002</v>
      </c>
      <c r="DD386" t="s">
        <v>3</v>
      </c>
      <c r="DE386" t="s">
        <v>3</v>
      </c>
      <c r="DF386">
        <f t="shared" si="164"/>
        <v>0</v>
      </c>
      <c r="DG386">
        <f t="shared" si="162"/>
        <v>2.69</v>
      </c>
      <c r="DH386">
        <f t="shared" si="163"/>
        <v>0.41</v>
      </c>
      <c r="DI386">
        <f t="shared" si="165"/>
        <v>0</v>
      </c>
      <c r="DJ386">
        <f>DG386</f>
        <v>2.69</v>
      </c>
      <c r="DK386">
        <v>0</v>
      </c>
      <c r="DL386" t="s">
        <v>500</v>
      </c>
      <c r="DM386">
        <v>0</v>
      </c>
      <c r="DN386" t="s">
        <v>459</v>
      </c>
      <c r="DO386">
        <v>12.62</v>
      </c>
    </row>
    <row r="387" spans="1:119" x14ac:dyDescent="0.2">
      <c r="A387">
        <f>ROW(Source!A278)</f>
        <v>278</v>
      </c>
      <c r="B387">
        <v>57248835</v>
      </c>
      <c r="C387">
        <v>57249542</v>
      </c>
      <c r="D387">
        <v>54768460</v>
      </c>
      <c r="E387">
        <v>1</v>
      </c>
      <c r="F387">
        <v>1</v>
      </c>
      <c r="G387">
        <v>1081</v>
      </c>
      <c r="H387">
        <v>2</v>
      </c>
      <c r="I387" t="s">
        <v>460</v>
      </c>
      <c r="J387" t="s">
        <v>461</v>
      </c>
      <c r="K387" t="s">
        <v>462</v>
      </c>
      <c r="L387">
        <v>1368</v>
      </c>
      <c r="N387">
        <v>1011</v>
      </c>
      <c r="O387" t="s">
        <v>463</v>
      </c>
      <c r="P387" t="s">
        <v>463</v>
      </c>
      <c r="Q387">
        <v>1</v>
      </c>
      <c r="W387">
        <v>0</v>
      </c>
      <c r="X387">
        <v>-2083101341</v>
      </c>
      <c r="Y387">
        <f>(AT387*1.2)</f>
        <v>13.2</v>
      </c>
      <c r="AA387">
        <v>0</v>
      </c>
      <c r="AB387">
        <v>0.85</v>
      </c>
      <c r="AC387">
        <v>0</v>
      </c>
      <c r="AD387">
        <v>0</v>
      </c>
      <c r="AE387">
        <v>0</v>
      </c>
      <c r="AF387">
        <v>0.8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-2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11</v>
      </c>
      <c r="AU387" t="s">
        <v>120</v>
      </c>
      <c r="AV387">
        <v>0</v>
      </c>
      <c r="AW387">
        <v>2</v>
      </c>
      <c r="AX387">
        <v>57249554</v>
      </c>
      <c r="AY387">
        <v>1</v>
      </c>
      <c r="AZ387">
        <v>0</v>
      </c>
      <c r="BA387">
        <v>475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f>ROUND(Y387*Source!I278*DO387,9)</f>
        <v>0</v>
      </c>
      <c r="CX387">
        <f>ROUND(Y387*Source!I278,9)</f>
        <v>11.88</v>
      </c>
      <c r="CY387">
        <f>AB387</f>
        <v>0.85</v>
      </c>
      <c r="CZ387">
        <f>AF387</f>
        <v>0.8</v>
      </c>
      <c r="DA387">
        <f>AJ387</f>
        <v>1</v>
      </c>
      <c r="DB387">
        <f>ROUND((ROUND(AT387*CZ387,2)*1.2),6)</f>
        <v>10.56</v>
      </c>
      <c r="DC387">
        <f>ROUND((ROUND(AT387*AG387,2)*1.2),6)</f>
        <v>0</v>
      </c>
      <c r="DD387" t="s">
        <v>3</v>
      </c>
      <c r="DE387" t="s">
        <v>3</v>
      </c>
      <c r="DF387">
        <f t="shared" si="164"/>
        <v>0</v>
      </c>
      <c r="DG387">
        <f t="shared" si="162"/>
        <v>9.5</v>
      </c>
      <c r="DH387">
        <f t="shared" si="163"/>
        <v>0</v>
      </c>
      <c r="DI387">
        <f t="shared" si="165"/>
        <v>0</v>
      </c>
      <c r="DJ387">
        <f>DG387</f>
        <v>9.5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ROW(Source!A278)</f>
        <v>278</v>
      </c>
      <c r="B388">
        <v>57248835</v>
      </c>
      <c r="C388">
        <v>57249542</v>
      </c>
      <c r="D388">
        <v>54739880</v>
      </c>
      <c r="E388">
        <v>1</v>
      </c>
      <c r="F388">
        <v>1</v>
      </c>
      <c r="G388">
        <v>1081</v>
      </c>
      <c r="H388">
        <v>3</v>
      </c>
      <c r="I388" t="s">
        <v>613</v>
      </c>
      <c r="J388" t="s">
        <v>614</v>
      </c>
      <c r="K388" t="s">
        <v>615</v>
      </c>
      <c r="L388">
        <v>1355</v>
      </c>
      <c r="N388">
        <v>1010</v>
      </c>
      <c r="O388" t="s">
        <v>67</v>
      </c>
      <c r="P388" t="s">
        <v>67</v>
      </c>
      <c r="Q388">
        <v>100</v>
      </c>
      <c r="W388">
        <v>0</v>
      </c>
      <c r="X388">
        <v>-252588073</v>
      </c>
      <c r="Y388">
        <f>(AT388*1)</f>
        <v>2.08</v>
      </c>
      <c r="AA388">
        <v>16.260000000000002</v>
      </c>
      <c r="AB388">
        <v>0</v>
      </c>
      <c r="AC388">
        <v>0</v>
      </c>
      <c r="AD388">
        <v>0</v>
      </c>
      <c r="AE388">
        <v>15.04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-2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2.08</v>
      </c>
      <c r="AU388" t="s">
        <v>119</v>
      </c>
      <c r="AV388">
        <v>0</v>
      </c>
      <c r="AW388">
        <v>2</v>
      </c>
      <c r="AX388">
        <v>57249555</v>
      </c>
      <c r="AY388">
        <v>1</v>
      </c>
      <c r="AZ388">
        <v>0</v>
      </c>
      <c r="BA388">
        <v>476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ROUND(Y388*Source!I278,9)</f>
        <v>1.8720000000000001</v>
      </c>
      <c r="CY388">
        <f>AA388</f>
        <v>16.260000000000002</v>
      </c>
      <c r="CZ388">
        <f>AE388</f>
        <v>15.04</v>
      </c>
      <c r="DA388">
        <f>AI388</f>
        <v>1</v>
      </c>
      <c r="DB388">
        <f>ROUND((ROUND(AT388*CZ388,2)*1),6)</f>
        <v>31.28</v>
      </c>
      <c r="DC388">
        <f>ROUND((ROUND(AT388*AG388,2)*1),6)</f>
        <v>0</v>
      </c>
      <c r="DD388" t="s">
        <v>3</v>
      </c>
      <c r="DE388" t="s">
        <v>3</v>
      </c>
      <c r="DF388">
        <f t="shared" si="164"/>
        <v>28.15</v>
      </c>
      <c r="DG388">
        <f t="shared" si="162"/>
        <v>0</v>
      </c>
      <c r="DH388">
        <f t="shared" si="163"/>
        <v>0</v>
      </c>
      <c r="DI388">
        <f t="shared" si="165"/>
        <v>0</v>
      </c>
      <c r="DJ388">
        <f>DF388</f>
        <v>28.15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ROW(Source!A278)</f>
        <v>278</v>
      </c>
      <c r="B389">
        <v>57248835</v>
      </c>
      <c r="C389">
        <v>57249542</v>
      </c>
      <c r="D389">
        <v>54739979</v>
      </c>
      <c r="E389">
        <v>1</v>
      </c>
      <c r="F389">
        <v>1</v>
      </c>
      <c r="G389">
        <v>1081</v>
      </c>
      <c r="H389">
        <v>3</v>
      </c>
      <c r="I389" t="s">
        <v>616</v>
      </c>
      <c r="J389" t="s">
        <v>617</v>
      </c>
      <c r="K389" t="s">
        <v>618</v>
      </c>
      <c r="L389">
        <v>1355</v>
      </c>
      <c r="N389">
        <v>1010</v>
      </c>
      <c r="O389" t="s">
        <v>67</v>
      </c>
      <c r="P389" t="s">
        <v>67</v>
      </c>
      <c r="Q389">
        <v>100</v>
      </c>
      <c r="W389">
        <v>0</v>
      </c>
      <c r="X389">
        <v>-503553846</v>
      </c>
      <c r="Y389">
        <f>(AT389*1)</f>
        <v>2.08</v>
      </c>
      <c r="AA389">
        <v>17.47</v>
      </c>
      <c r="AB389">
        <v>0</v>
      </c>
      <c r="AC389">
        <v>0</v>
      </c>
      <c r="AD389">
        <v>0</v>
      </c>
      <c r="AE389">
        <v>16.16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-2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2.08</v>
      </c>
      <c r="AU389" t="s">
        <v>119</v>
      </c>
      <c r="AV389">
        <v>0</v>
      </c>
      <c r="AW389">
        <v>2</v>
      </c>
      <c r="AX389">
        <v>57249556</v>
      </c>
      <c r="AY389">
        <v>1</v>
      </c>
      <c r="AZ389">
        <v>0</v>
      </c>
      <c r="BA389">
        <v>477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ROUND(Y389*Source!I278,9)</f>
        <v>1.8720000000000001</v>
      </c>
      <c r="CY389">
        <f>AA389</f>
        <v>17.47</v>
      </c>
      <c r="CZ389">
        <f>AE389</f>
        <v>16.16</v>
      </c>
      <c r="DA389">
        <f>AI389</f>
        <v>1</v>
      </c>
      <c r="DB389">
        <f>ROUND((ROUND(AT389*CZ389,2)*1),6)</f>
        <v>33.61</v>
      </c>
      <c r="DC389">
        <f>ROUND((ROUND(AT389*AG389,2)*1),6)</f>
        <v>0</v>
      </c>
      <c r="DD389" t="s">
        <v>3</v>
      </c>
      <c r="DE389" t="s">
        <v>3</v>
      </c>
      <c r="DF389">
        <f t="shared" si="164"/>
        <v>30.25</v>
      </c>
      <c r="DG389">
        <f t="shared" si="162"/>
        <v>0</v>
      </c>
      <c r="DH389">
        <f t="shared" si="163"/>
        <v>0</v>
      </c>
      <c r="DI389">
        <f t="shared" si="165"/>
        <v>0</v>
      </c>
      <c r="DJ389">
        <f>DF389</f>
        <v>30.25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ROW(Source!A278)</f>
        <v>278</v>
      </c>
      <c r="B390">
        <v>57248835</v>
      </c>
      <c r="C390">
        <v>57249542</v>
      </c>
      <c r="D390">
        <v>54760575</v>
      </c>
      <c r="E390">
        <v>1</v>
      </c>
      <c r="F390">
        <v>1</v>
      </c>
      <c r="G390">
        <v>1081</v>
      </c>
      <c r="H390">
        <v>3</v>
      </c>
      <c r="I390" t="s">
        <v>619</v>
      </c>
      <c r="J390" t="s">
        <v>620</v>
      </c>
      <c r="K390" t="s">
        <v>621</v>
      </c>
      <c r="L390">
        <v>1356</v>
      </c>
      <c r="N390">
        <v>1010</v>
      </c>
      <c r="O390" t="s">
        <v>348</v>
      </c>
      <c r="P390" t="s">
        <v>348</v>
      </c>
      <c r="Q390">
        <v>1000</v>
      </c>
      <c r="W390">
        <v>0</v>
      </c>
      <c r="X390">
        <v>-285397556</v>
      </c>
      <c r="Y390">
        <f>(AT390*1)</f>
        <v>0.20399999999999999</v>
      </c>
      <c r="AA390">
        <v>318.77999999999997</v>
      </c>
      <c r="AB390">
        <v>0</v>
      </c>
      <c r="AC390">
        <v>0</v>
      </c>
      <c r="AD390">
        <v>0</v>
      </c>
      <c r="AE390">
        <v>294.89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0.20399999999999999</v>
      </c>
      <c r="AU390" t="s">
        <v>119</v>
      </c>
      <c r="AV390">
        <v>0</v>
      </c>
      <c r="AW390">
        <v>2</v>
      </c>
      <c r="AX390">
        <v>57249557</v>
      </c>
      <c r="AY390">
        <v>1</v>
      </c>
      <c r="AZ390">
        <v>0</v>
      </c>
      <c r="BA390">
        <v>478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ROUND(Y390*Source!I278,9)</f>
        <v>0.18360000000000001</v>
      </c>
      <c r="CY390">
        <f>AA390</f>
        <v>318.77999999999997</v>
      </c>
      <c r="CZ390">
        <f>AE390</f>
        <v>294.89</v>
      </c>
      <c r="DA390">
        <f>AI390</f>
        <v>1</v>
      </c>
      <c r="DB390">
        <f>ROUND((ROUND(AT390*CZ390,2)*1),6)</f>
        <v>60.16</v>
      </c>
      <c r="DC390">
        <f>ROUND((ROUND(AT390*AG390,2)*1),6)</f>
        <v>0</v>
      </c>
      <c r="DD390" t="s">
        <v>3</v>
      </c>
      <c r="DE390" t="s">
        <v>3</v>
      </c>
      <c r="DF390">
        <f t="shared" si="164"/>
        <v>54.14</v>
      </c>
      <c r="DG390">
        <f t="shared" si="162"/>
        <v>0</v>
      </c>
      <c r="DH390">
        <f t="shared" si="163"/>
        <v>0</v>
      </c>
      <c r="DI390">
        <f t="shared" si="165"/>
        <v>0</v>
      </c>
      <c r="DJ390">
        <f>DF390</f>
        <v>54.14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ROW(Source!A278)</f>
        <v>278</v>
      </c>
      <c r="B391">
        <v>57248835</v>
      </c>
      <c r="C391">
        <v>57249542</v>
      </c>
      <c r="D391">
        <v>54759961</v>
      </c>
      <c r="E391">
        <v>1</v>
      </c>
      <c r="F391">
        <v>1</v>
      </c>
      <c r="G391">
        <v>1081</v>
      </c>
      <c r="H391">
        <v>3</v>
      </c>
      <c r="I391" t="s">
        <v>622</v>
      </c>
      <c r="J391" t="s">
        <v>623</v>
      </c>
      <c r="K391" t="s">
        <v>624</v>
      </c>
      <c r="L391">
        <v>1354</v>
      </c>
      <c r="N391">
        <v>1010</v>
      </c>
      <c r="O391" t="s">
        <v>228</v>
      </c>
      <c r="P391" t="s">
        <v>228</v>
      </c>
      <c r="Q391">
        <v>1</v>
      </c>
      <c r="W391">
        <v>0</v>
      </c>
      <c r="X391">
        <v>1770676808</v>
      </c>
      <c r="Y391">
        <f>(AT391*1)</f>
        <v>204</v>
      </c>
      <c r="AA391">
        <v>5.58</v>
      </c>
      <c r="AB391">
        <v>0</v>
      </c>
      <c r="AC391">
        <v>0</v>
      </c>
      <c r="AD391">
        <v>0</v>
      </c>
      <c r="AE391">
        <v>5.16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-2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204</v>
      </c>
      <c r="AU391" t="s">
        <v>119</v>
      </c>
      <c r="AV391">
        <v>0</v>
      </c>
      <c r="AW391">
        <v>2</v>
      </c>
      <c r="AX391">
        <v>57249558</v>
      </c>
      <c r="AY391">
        <v>1</v>
      </c>
      <c r="AZ391">
        <v>0</v>
      </c>
      <c r="BA391">
        <v>479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ROUND(Y391*Source!I278,9)</f>
        <v>183.6</v>
      </c>
      <c r="CY391">
        <f>AA391</f>
        <v>5.58</v>
      </c>
      <c r="CZ391">
        <f>AE391</f>
        <v>5.16</v>
      </c>
      <c r="DA391">
        <f>AI391</f>
        <v>1</v>
      </c>
      <c r="DB391">
        <f>ROUND((ROUND(AT391*CZ391,2)*1),6)</f>
        <v>1052.6400000000001</v>
      </c>
      <c r="DC391">
        <f>ROUND((ROUND(AT391*AG391,2)*1),6)</f>
        <v>0</v>
      </c>
      <c r="DD391" t="s">
        <v>3</v>
      </c>
      <c r="DE391" t="s">
        <v>3</v>
      </c>
      <c r="DF391">
        <f t="shared" si="164"/>
        <v>947.38</v>
      </c>
      <c r="DG391">
        <f t="shared" si="162"/>
        <v>0</v>
      </c>
      <c r="DH391">
        <f t="shared" si="163"/>
        <v>0</v>
      </c>
      <c r="DI391">
        <f t="shared" si="165"/>
        <v>0</v>
      </c>
      <c r="DJ391">
        <f>DF391</f>
        <v>947.38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ROW(Source!A278)</f>
        <v>278</v>
      </c>
      <c r="B392">
        <v>57248835</v>
      </c>
      <c r="C392">
        <v>57249542</v>
      </c>
      <c r="D392">
        <v>54766218</v>
      </c>
      <c r="E392">
        <v>1</v>
      </c>
      <c r="F392">
        <v>1</v>
      </c>
      <c r="G392">
        <v>1081</v>
      </c>
      <c r="H392">
        <v>3</v>
      </c>
      <c r="I392" t="s">
        <v>422</v>
      </c>
      <c r="J392" t="s">
        <v>423</v>
      </c>
      <c r="K392" t="s">
        <v>827</v>
      </c>
      <c r="L392">
        <v>1303</v>
      </c>
      <c r="N392">
        <v>1003</v>
      </c>
      <c r="O392" t="s">
        <v>390</v>
      </c>
      <c r="P392" t="s">
        <v>390</v>
      </c>
      <c r="Q392">
        <v>1000</v>
      </c>
      <c r="W392">
        <v>0</v>
      </c>
      <c r="X392">
        <v>-1847978610</v>
      </c>
      <c r="Y392">
        <f>AT392</f>
        <v>0.10199999999999999</v>
      </c>
      <c r="AA392">
        <v>5272.11</v>
      </c>
      <c r="AB392">
        <v>0</v>
      </c>
      <c r="AC392">
        <v>0</v>
      </c>
      <c r="AD392">
        <v>0</v>
      </c>
      <c r="AE392">
        <v>5272.11</v>
      </c>
      <c r="AF392">
        <v>0</v>
      </c>
      <c r="AG392">
        <v>0</v>
      </c>
      <c r="AH392">
        <v>0</v>
      </c>
      <c r="AI392">
        <v>1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0.10199999999999999</v>
      </c>
      <c r="AU392" t="s">
        <v>3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ROUND(Y392*Source!I278,9)</f>
        <v>9.1800000000000007E-2</v>
      </c>
      <c r="CY392">
        <f>AA392</f>
        <v>5272.11</v>
      </c>
      <c r="CZ392">
        <f>AE392</f>
        <v>5272.11</v>
      </c>
      <c r="DA392">
        <f>AI392</f>
        <v>1</v>
      </c>
      <c r="DB392">
        <f>ROUND(ROUND(AT392*CZ392,2),6)</f>
        <v>537.76</v>
      </c>
      <c r="DC392">
        <f>ROUND(ROUND(AT392*AG392,2),6)</f>
        <v>0</v>
      </c>
      <c r="DD392" t="s">
        <v>3</v>
      </c>
      <c r="DE392" t="s">
        <v>3</v>
      </c>
      <c r="DF392">
        <f t="shared" si="164"/>
        <v>483.98</v>
      </c>
      <c r="DG392">
        <f t="shared" si="162"/>
        <v>0</v>
      </c>
      <c r="DH392">
        <f t="shared" si="163"/>
        <v>0</v>
      </c>
      <c r="DI392">
        <f t="shared" si="165"/>
        <v>0</v>
      </c>
      <c r="DJ392">
        <f>DF392</f>
        <v>483.98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ROW(Source!A279)</f>
        <v>279</v>
      </c>
      <c r="B393">
        <v>57248837</v>
      </c>
      <c r="C393">
        <v>57249542</v>
      </c>
      <c r="D393">
        <v>54702434</v>
      </c>
      <c r="E393">
        <v>1081</v>
      </c>
      <c r="F393">
        <v>1</v>
      </c>
      <c r="G393">
        <v>1081</v>
      </c>
      <c r="H393">
        <v>1</v>
      </c>
      <c r="I393" t="s">
        <v>457</v>
      </c>
      <c r="J393" t="s">
        <v>3</v>
      </c>
      <c r="K393" t="s">
        <v>458</v>
      </c>
      <c r="L393">
        <v>1191</v>
      </c>
      <c r="N393">
        <v>1013</v>
      </c>
      <c r="O393" t="s">
        <v>459</v>
      </c>
      <c r="P393" t="s">
        <v>459</v>
      </c>
      <c r="Q393">
        <v>1</v>
      </c>
      <c r="W393">
        <v>0</v>
      </c>
      <c r="X393">
        <v>476480486</v>
      </c>
      <c r="Y393">
        <f>(AT393*1.2)</f>
        <v>48.24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5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40.200000000000003</v>
      </c>
      <c r="AU393" t="s">
        <v>120</v>
      </c>
      <c r="AV393">
        <v>1</v>
      </c>
      <c r="AW393">
        <v>2</v>
      </c>
      <c r="AX393">
        <v>57249552</v>
      </c>
      <c r="AY393">
        <v>1</v>
      </c>
      <c r="AZ393">
        <v>0</v>
      </c>
      <c r="BA393">
        <v>481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ROUND(AT393*Source!I279*AH393*AL393,2)</f>
        <v>0</v>
      </c>
      <c r="CV393">
        <f>ROUND(Y393*Source!I279,9)</f>
        <v>43.415999999999997</v>
      </c>
      <c r="CW393">
        <v>0</v>
      </c>
      <c r="CX393">
        <f>ROUND(Y393*Source!I279,9)</f>
        <v>43.415999999999997</v>
      </c>
      <c r="CY393">
        <f>AD393</f>
        <v>0</v>
      </c>
      <c r="CZ393">
        <f>AH393</f>
        <v>0</v>
      </c>
      <c r="DA393">
        <f>AL393</f>
        <v>1</v>
      </c>
      <c r="DB393">
        <f>ROUND((ROUND(AT393*CZ393,2)*1.2),6)</f>
        <v>0</v>
      </c>
      <c r="DC393">
        <f>ROUND((ROUND(AT393*AG393,2)*1.2),6)</f>
        <v>0</v>
      </c>
      <c r="DD393" t="s">
        <v>3</v>
      </c>
      <c r="DE393" t="s">
        <v>3</v>
      </c>
      <c r="DF393">
        <f t="shared" si="164"/>
        <v>0</v>
      </c>
      <c r="DG393">
        <f t="shared" si="162"/>
        <v>0</v>
      </c>
      <c r="DH393">
        <f t="shared" si="163"/>
        <v>0</v>
      </c>
      <c r="DI393">
        <f t="shared" si="165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ROW(Source!A279)</f>
        <v>279</v>
      </c>
      <c r="B394">
        <v>57248837</v>
      </c>
      <c r="C394">
        <v>57249542</v>
      </c>
      <c r="D394">
        <v>54768339</v>
      </c>
      <c r="E394">
        <v>1</v>
      </c>
      <c r="F394">
        <v>1</v>
      </c>
      <c r="G394">
        <v>1081</v>
      </c>
      <c r="H394">
        <v>2</v>
      </c>
      <c r="I394" t="s">
        <v>497</v>
      </c>
      <c r="J394" t="s">
        <v>498</v>
      </c>
      <c r="K394" t="s">
        <v>499</v>
      </c>
      <c r="L394">
        <v>1368</v>
      </c>
      <c r="N394">
        <v>1011</v>
      </c>
      <c r="O394" t="s">
        <v>463</v>
      </c>
      <c r="P394" t="s">
        <v>463</v>
      </c>
      <c r="Q394">
        <v>1</v>
      </c>
      <c r="W394">
        <v>0</v>
      </c>
      <c r="X394">
        <v>874612079</v>
      </c>
      <c r="Y394">
        <f>(AT394*1.2)</f>
        <v>3.5999999999999997E-2</v>
      </c>
      <c r="AA394">
        <v>0</v>
      </c>
      <c r="AB394">
        <v>1513.56</v>
      </c>
      <c r="AC394">
        <v>758.78</v>
      </c>
      <c r="AD394">
        <v>0</v>
      </c>
      <c r="AE394">
        <v>0</v>
      </c>
      <c r="AF394">
        <v>83.1</v>
      </c>
      <c r="AG394">
        <v>12.62</v>
      </c>
      <c r="AH394">
        <v>0</v>
      </c>
      <c r="AI394">
        <v>1</v>
      </c>
      <c r="AJ394">
        <v>17.07</v>
      </c>
      <c r="AK394">
        <v>56.35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0.03</v>
      </c>
      <c r="AU394" t="s">
        <v>120</v>
      </c>
      <c r="AV394">
        <v>0</v>
      </c>
      <c r="AW394">
        <v>2</v>
      </c>
      <c r="AX394">
        <v>57249553</v>
      </c>
      <c r="AY394">
        <v>1</v>
      </c>
      <c r="AZ394">
        <v>0</v>
      </c>
      <c r="BA394">
        <v>482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ROUND(Y394*Source!I279*DO394,9)</f>
        <v>0.40888799999999997</v>
      </c>
      <c r="CX394">
        <f>ROUND(Y394*Source!I279,9)</f>
        <v>3.2399999999999998E-2</v>
      </c>
      <c r="CY394">
        <f>AB394</f>
        <v>1513.56</v>
      </c>
      <c r="CZ394">
        <f>AF394</f>
        <v>83.1</v>
      </c>
      <c r="DA394">
        <f>AJ394</f>
        <v>17.07</v>
      </c>
      <c r="DB394">
        <f>ROUND((ROUND(AT394*CZ394,2)*1.2),6)</f>
        <v>2.988</v>
      </c>
      <c r="DC394">
        <f>ROUND((ROUND(AT394*AG394,2)*1.2),6)</f>
        <v>0.45600000000000002</v>
      </c>
      <c r="DD394" t="s">
        <v>3</v>
      </c>
      <c r="DE394" t="s">
        <v>3</v>
      </c>
      <c r="DF394">
        <f t="shared" si="164"/>
        <v>0</v>
      </c>
      <c r="DG394">
        <f>ROUND(ROUND(AF394*AJ394,2)*CX394,2)</f>
        <v>45.96</v>
      </c>
      <c r="DH394">
        <f>ROUND(ROUND(AG394*AK394,2)*CX394,2)</f>
        <v>23.04</v>
      </c>
      <c r="DI394">
        <f t="shared" si="165"/>
        <v>0</v>
      </c>
      <c r="DJ394">
        <f>DG394</f>
        <v>45.96</v>
      </c>
      <c r="DK394">
        <v>0</v>
      </c>
      <c r="DL394" t="s">
        <v>500</v>
      </c>
      <c r="DM394">
        <v>0</v>
      </c>
      <c r="DN394" t="s">
        <v>459</v>
      </c>
      <c r="DO394">
        <v>12.62</v>
      </c>
    </row>
    <row r="395" spans="1:119" x14ac:dyDescent="0.2">
      <c r="A395">
        <f>ROW(Source!A279)</f>
        <v>279</v>
      </c>
      <c r="B395">
        <v>57248837</v>
      </c>
      <c r="C395">
        <v>57249542</v>
      </c>
      <c r="D395">
        <v>54768460</v>
      </c>
      <c r="E395">
        <v>1</v>
      </c>
      <c r="F395">
        <v>1</v>
      </c>
      <c r="G395">
        <v>1081</v>
      </c>
      <c r="H395">
        <v>2</v>
      </c>
      <c r="I395" t="s">
        <v>460</v>
      </c>
      <c r="J395" t="s">
        <v>461</v>
      </c>
      <c r="K395" t="s">
        <v>462</v>
      </c>
      <c r="L395">
        <v>1368</v>
      </c>
      <c r="N395">
        <v>1011</v>
      </c>
      <c r="O395" t="s">
        <v>463</v>
      </c>
      <c r="P395" t="s">
        <v>463</v>
      </c>
      <c r="Q395">
        <v>1</v>
      </c>
      <c r="W395">
        <v>0</v>
      </c>
      <c r="X395">
        <v>-2083101341</v>
      </c>
      <c r="Y395">
        <f>(AT395*1.2)</f>
        <v>13.2</v>
      </c>
      <c r="AA395">
        <v>0</v>
      </c>
      <c r="AB395">
        <v>8.08</v>
      </c>
      <c r="AC395">
        <v>0</v>
      </c>
      <c r="AD395">
        <v>0</v>
      </c>
      <c r="AE395">
        <v>0</v>
      </c>
      <c r="AF395">
        <v>0.8</v>
      </c>
      <c r="AG395">
        <v>0</v>
      </c>
      <c r="AH395">
        <v>0</v>
      </c>
      <c r="AI395">
        <v>1</v>
      </c>
      <c r="AJ395">
        <v>9.4600000000000009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11</v>
      </c>
      <c r="AU395" t="s">
        <v>120</v>
      </c>
      <c r="AV395">
        <v>0</v>
      </c>
      <c r="AW395">
        <v>2</v>
      </c>
      <c r="AX395">
        <v>57249554</v>
      </c>
      <c r="AY395">
        <v>1</v>
      </c>
      <c r="AZ395">
        <v>0</v>
      </c>
      <c r="BA395">
        <v>483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ROUND(Y395*Source!I279*DO395,9)</f>
        <v>0</v>
      </c>
      <c r="CX395">
        <f>ROUND(Y395*Source!I279,9)</f>
        <v>11.88</v>
      </c>
      <c r="CY395">
        <f>AB395</f>
        <v>8.08</v>
      </c>
      <c r="CZ395">
        <f>AF395</f>
        <v>0.8</v>
      </c>
      <c r="DA395">
        <f>AJ395</f>
        <v>9.4600000000000009</v>
      </c>
      <c r="DB395">
        <f>ROUND((ROUND(AT395*CZ395,2)*1.2),6)</f>
        <v>10.56</v>
      </c>
      <c r="DC395">
        <f>ROUND((ROUND(AT395*AG395,2)*1.2),6)</f>
        <v>0</v>
      </c>
      <c r="DD395" t="s">
        <v>3</v>
      </c>
      <c r="DE395" t="s">
        <v>3</v>
      </c>
      <c r="DF395">
        <f t="shared" si="164"/>
        <v>0</v>
      </c>
      <c r="DG395">
        <f>ROUND(ROUND(AF395*AJ395,2)*CX395,2)</f>
        <v>89.93</v>
      </c>
      <c r="DH395">
        <f t="shared" ref="DH395:DH402" si="166">ROUND(ROUND(AG395,2)*CX395,2)</f>
        <v>0</v>
      </c>
      <c r="DI395">
        <f t="shared" si="165"/>
        <v>0</v>
      </c>
      <c r="DJ395">
        <f>DG395</f>
        <v>89.93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ROW(Source!A279)</f>
        <v>279</v>
      </c>
      <c r="B396">
        <v>57248837</v>
      </c>
      <c r="C396">
        <v>57249542</v>
      </c>
      <c r="D396">
        <v>54739880</v>
      </c>
      <c r="E396">
        <v>1</v>
      </c>
      <c r="F396">
        <v>1</v>
      </c>
      <c r="G396">
        <v>1081</v>
      </c>
      <c r="H396">
        <v>3</v>
      </c>
      <c r="I396" t="s">
        <v>613</v>
      </c>
      <c r="J396" t="s">
        <v>614</v>
      </c>
      <c r="K396" t="s">
        <v>615</v>
      </c>
      <c r="L396">
        <v>1355</v>
      </c>
      <c r="N396">
        <v>1010</v>
      </c>
      <c r="O396" t="s">
        <v>67</v>
      </c>
      <c r="P396" t="s">
        <v>67</v>
      </c>
      <c r="Q396">
        <v>100</v>
      </c>
      <c r="W396">
        <v>0</v>
      </c>
      <c r="X396">
        <v>-252588073</v>
      </c>
      <c r="Y396">
        <f>(AT396*1)</f>
        <v>2.08</v>
      </c>
      <c r="AA396">
        <v>64.87</v>
      </c>
      <c r="AB396">
        <v>0</v>
      </c>
      <c r="AC396">
        <v>0</v>
      </c>
      <c r="AD396">
        <v>0</v>
      </c>
      <c r="AE396">
        <v>15.04</v>
      </c>
      <c r="AF396">
        <v>0</v>
      </c>
      <c r="AG396">
        <v>0</v>
      </c>
      <c r="AH396">
        <v>0</v>
      </c>
      <c r="AI396">
        <v>3.99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2.08</v>
      </c>
      <c r="AU396" t="s">
        <v>119</v>
      </c>
      <c r="AV396">
        <v>0</v>
      </c>
      <c r="AW396">
        <v>2</v>
      </c>
      <c r="AX396">
        <v>57249555</v>
      </c>
      <c r="AY396">
        <v>1</v>
      </c>
      <c r="AZ396">
        <v>0</v>
      </c>
      <c r="BA396">
        <v>484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ROUND(Y396*Source!I279,9)</f>
        <v>1.8720000000000001</v>
      </c>
      <c r="CY396">
        <f>AA396</f>
        <v>64.87</v>
      </c>
      <c r="CZ396">
        <f>AE396</f>
        <v>15.04</v>
      </c>
      <c r="DA396">
        <f>AI396</f>
        <v>3.99</v>
      </c>
      <c r="DB396">
        <f>ROUND((ROUND(AT396*CZ396,2)*1),6)</f>
        <v>31.28</v>
      </c>
      <c r="DC396">
        <f>ROUND((ROUND(AT396*AG396,2)*1),6)</f>
        <v>0</v>
      </c>
      <c r="DD396" t="s">
        <v>3</v>
      </c>
      <c r="DE396" t="s">
        <v>3</v>
      </c>
      <c r="DF396">
        <f>ROUND(ROUND(AE396*AI396,2)*CX396,2)</f>
        <v>112.34</v>
      </c>
      <c r="DG396">
        <f t="shared" ref="DG396:DG402" si="167">ROUND(ROUND(AF396,2)*CX396,2)</f>
        <v>0</v>
      </c>
      <c r="DH396">
        <f t="shared" si="166"/>
        <v>0</v>
      </c>
      <c r="DI396">
        <f t="shared" si="165"/>
        <v>0</v>
      </c>
      <c r="DJ396">
        <f>DF396</f>
        <v>112.34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ROW(Source!A279)</f>
        <v>279</v>
      </c>
      <c r="B397">
        <v>57248837</v>
      </c>
      <c r="C397">
        <v>57249542</v>
      </c>
      <c r="D397">
        <v>54739979</v>
      </c>
      <c r="E397">
        <v>1</v>
      </c>
      <c r="F397">
        <v>1</v>
      </c>
      <c r="G397">
        <v>1081</v>
      </c>
      <c r="H397">
        <v>3</v>
      </c>
      <c r="I397" t="s">
        <v>616</v>
      </c>
      <c r="J397" t="s">
        <v>617</v>
      </c>
      <c r="K397" t="s">
        <v>618</v>
      </c>
      <c r="L397">
        <v>1355</v>
      </c>
      <c r="N397">
        <v>1010</v>
      </c>
      <c r="O397" t="s">
        <v>67</v>
      </c>
      <c r="P397" t="s">
        <v>67</v>
      </c>
      <c r="Q397">
        <v>100</v>
      </c>
      <c r="W397">
        <v>0</v>
      </c>
      <c r="X397">
        <v>-503553846</v>
      </c>
      <c r="Y397">
        <f>(AT397*1)</f>
        <v>2.08</v>
      </c>
      <c r="AA397">
        <v>43.15</v>
      </c>
      <c r="AB397">
        <v>0</v>
      </c>
      <c r="AC397">
        <v>0</v>
      </c>
      <c r="AD397">
        <v>0</v>
      </c>
      <c r="AE397">
        <v>16.16</v>
      </c>
      <c r="AF397">
        <v>0</v>
      </c>
      <c r="AG397">
        <v>0</v>
      </c>
      <c r="AH397">
        <v>0</v>
      </c>
      <c r="AI397">
        <v>2.4700000000000002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2.08</v>
      </c>
      <c r="AU397" t="s">
        <v>119</v>
      </c>
      <c r="AV397">
        <v>0</v>
      </c>
      <c r="AW397">
        <v>2</v>
      </c>
      <c r="AX397">
        <v>57249556</v>
      </c>
      <c r="AY397">
        <v>1</v>
      </c>
      <c r="AZ397">
        <v>0</v>
      </c>
      <c r="BA397">
        <v>485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ROUND(Y397*Source!I279,9)</f>
        <v>1.8720000000000001</v>
      </c>
      <c r="CY397">
        <f>AA397</f>
        <v>43.15</v>
      </c>
      <c r="CZ397">
        <f>AE397</f>
        <v>16.16</v>
      </c>
      <c r="DA397">
        <f>AI397</f>
        <v>2.4700000000000002</v>
      </c>
      <c r="DB397">
        <f>ROUND((ROUND(AT397*CZ397,2)*1),6)</f>
        <v>33.61</v>
      </c>
      <c r="DC397">
        <f>ROUND((ROUND(AT397*AG397,2)*1),6)</f>
        <v>0</v>
      </c>
      <c r="DD397" t="s">
        <v>3</v>
      </c>
      <c r="DE397" t="s">
        <v>3</v>
      </c>
      <c r="DF397">
        <f>ROUND(ROUND(AE397*AI397,2)*CX397,2)</f>
        <v>74.73</v>
      </c>
      <c r="DG397">
        <f t="shared" si="167"/>
        <v>0</v>
      </c>
      <c r="DH397">
        <f t="shared" si="166"/>
        <v>0</v>
      </c>
      <c r="DI397">
        <f t="shared" si="165"/>
        <v>0</v>
      </c>
      <c r="DJ397">
        <f>DF397</f>
        <v>74.73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ROW(Source!A279)</f>
        <v>279</v>
      </c>
      <c r="B398">
        <v>57248837</v>
      </c>
      <c r="C398">
        <v>57249542</v>
      </c>
      <c r="D398">
        <v>54760575</v>
      </c>
      <c r="E398">
        <v>1</v>
      </c>
      <c r="F398">
        <v>1</v>
      </c>
      <c r="G398">
        <v>1081</v>
      </c>
      <c r="H398">
        <v>3</v>
      </c>
      <c r="I398" t="s">
        <v>619</v>
      </c>
      <c r="J398" t="s">
        <v>620</v>
      </c>
      <c r="K398" t="s">
        <v>621</v>
      </c>
      <c r="L398">
        <v>1356</v>
      </c>
      <c r="N398">
        <v>1010</v>
      </c>
      <c r="O398" t="s">
        <v>348</v>
      </c>
      <c r="P398" t="s">
        <v>348</v>
      </c>
      <c r="Q398">
        <v>1000</v>
      </c>
      <c r="W398">
        <v>0</v>
      </c>
      <c r="X398">
        <v>-285397556</v>
      </c>
      <c r="Y398">
        <f>(AT398*1)</f>
        <v>0.20399999999999999</v>
      </c>
      <c r="AA398">
        <v>1125.28</v>
      </c>
      <c r="AB398">
        <v>0</v>
      </c>
      <c r="AC398">
        <v>0</v>
      </c>
      <c r="AD398">
        <v>0</v>
      </c>
      <c r="AE398">
        <v>294.89</v>
      </c>
      <c r="AF398">
        <v>0</v>
      </c>
      <c r="AG398">
        <v>0</v>
      </c>
      <c r="AH398">
        <v>0</v>
      </c>
      <c r="AI398">
        <v>3.53</v>
      </c>
      <c r="AJ398">
        <v>1</v>
      </c>
      <c r="AK398">
        <v>1</v>
      </c>
      <c r="AL398">
        <v>1</v>
      </c>
      <c r="AM398">
        <v>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0.20399999999999999</v>
      </c>
      <c r="AU398" t="s">
        <v>119</v>
      </c>
      <c r="AV398">
        <v>0</v>
      </c>
      <c r="AW398">
        <v>2</v>
      </c>
      <c r="AX398">
        <v>57249557</v>
      </c>
      <c r="AY398">
        <v>1</v>
      </c>
      <c r="AZ398">
        <v>0</v>
      </c>
      <c r="BA398">
        <v>486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ROUND(Y398*Source!I279,9)</f>
        <v>0.18360000000000001</v>
      </c>
      <c r="CY398">
        <f>AA398</f>
        <v>1125.28</v>
      </c>
      <c r="CZ398">
        <f>AE398</f>
        <v>294.89</v>
      </c>
      <c r="DA398">
        <f>AI398</f>
        <v>3.53</v>
      </c>
      <c r="DB398">
        <f>ROUND((ROUND(AT398*CZ398,2)*1),6)</f>
        <v>60.16</v>
      </c>
      <c r="DC398">
        <f>ROUND((ROUND(AT398*AG398,2)*1),6)</f>
        <v>0</v>
      </c>
      <c r="DD398" t="s">
        <v>3</v>
      </c>
      <c r="DE398" t="s">
        <v>3</v>
      </c>
      <c r="DF398">
        <f>ROUND(ROUND(AE398*AI398,2)*CX398,2)</f>
        <v>191.12</v>
      </c>
      <c r="DG398">
        <f t="shared" si="167"/>
        <v>0</v>
      </c>
      <c r="DH398">
        <f t="shared" si="166"/>
        <v>0</v>
      </c>
      <c r="DI398">
        <f t="shared" si="165"/>
        <v>0</v>
      </c>
      <c r="DJ398">
        <f>DF398</f>
        <v>191.12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ROW(Source!A279)</f>
        <v>279</v>
      </c>
      <c r="B399">
        <v>57248837</v>
      </c>
      <c r="C399">
        <v>57249542</v>
      </c>
      <c r="D399">
        <v>54759961</v>
      </c>
      <c r="E399">
        <v>1</v>
      </c>
      <c r="F399">
        <v>1</v>
      </c>
      <c r="G399">
        <v>1081</v>
      </c>
      <c r="H399">
        <v>3</v>
      </c>
      <c r="I399" t="s">
        <v>622</v>
      </c>
      <c r="J399" t="s">
        <v>623</v>
      </c>
      <c r="K399" t="s">
        <v>624</v>
      </c>
      <c r="L399">
        <v>1354</v>
      </c>
      <c r="N399">
        <v>1010</v>
      </c>
      <c r="O399" t="s">
        <v>228</v>
      </c>
      <c r="P399" t="s">
        <v>228</v>
      </c>
      <c r="Q399">
        <v>1</v>
      </c>
      <c r="W399">
        <v>0</v>
      </c>
      <c r="X399">
        <v>1770676808</v>
      </c>
      <c r="Y399">
        <f>(AT399*1)</f>
        <v>204</v>
      </c>
      <c r="AA399">
        <v>34.58</v>
      </c>
      <c r="AB399">
        <v>0</v>
      </c>
      <c r="AC399">
        <v>0</v>
      </c>
      <c r="AD399">
        <v>0</v>
      </c>
      <c r="AE399">
        <v>5.16</v>
      </c>
      <c r="AF399">
        <v>0</v>
      </c>
      <c r="AG399">
        <v>0</v>
      </c>
      <c r="AH399">
        <v>0</v>
      </c>
      <c r="AI399">
        <v>6.2</v>
      </c>
      <c r="AJ399">
        <v>1</v>
      </c>
      <c r="AK399">
        <v>1</v>
      </c>
      <c r="AL399">
        <v>1</v>
      </c>
      <c r="AM399">
        <v>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204</v>
      </c>
      <c r="AU399" t="s">
        <v>119</v>
      </c>
      <c r="AV399">
        <v>0</v>
      </c>
      <c r="AW399">
        <v>2</v>
      </c>
      <c r="AX399">
        <v>57249558</v>
      </c>
      <c r="AY399">
        <v>1</v>
      </c>
      <c r="AZ399">
        <v>0</v>
      </c>
      <c r="BA399">
        <v>487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ROUND(Y399*Source!I279,9)</f>
        <v>183.6</v>
      </c>
      <c r="CY399">
        <f>AA399</f>
        <v>34.58</v>
      </c>
      <c r="CZ399">
        <f>AE399</f>
        <v>5.16</v>
      </c>
      <c r="DA399">
        <f>AI399</f>
        <v>6.2</v>
      </c>
      <c r="DB399">
        <f>ROUND((ROUND(AT399*CZ399,2)*1),6)</f>
        <v>1052.6400000000001</v>
      </c>
      <c r="DC399">
        <f>ROUND((ROUND(AT399*AG399,2)*1),6)</f>
        <v>0</v>
      </c>
      <c r="DD399" t="s">
        <v>3</v>
      </c>
      <c r="DE399" t="s">
        <v>3</v>
      </c>
      <c r="DF399">
        <f>ROUND(ROUND(AE399*AI399,2)*CX399,2)</f>
        <v>5873.36</v>
      </c>
      <c r="DG399">
        <f t="shared" si="167"/>
        <v>0</v>
      </c>
      <c r="DH399">
        <f t="shared" si="166"/>
        <v>0</v>
      </c>
      <c r="DI399">
        <f t="shared" si="165"/>
        <v>0</v>
      </c>
      <c r="DJ399">
        <f>DF399</f>
        <v>5873.36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ROW(Source!A279)</f>
        <v>279</v>
      </c>
      <c r="B400">
        <v>57248837</v>
      </c>
      <c r="C400">
        <v>57249542</v>
      </c>
      <c r="D400">
        <v>54766218</v>
      </c>
      <c r="E400">
        <v>1</v>
      </c>
      <c r="F400">
        <v>1</v>
      </c>
      <c r="G400">
        <v>1081</v>
      </c>
      <c r="H400">
        <v>3</v>
      </c>
      <c r="I400" t="s">
        <v>422</v>
      </c>
      <c r="J400" t="s">
        <v>423</v>
      </c>
      <c r="K400" t="s">
        <v>827</v>
      </c>
      <c r="L400">
        <v>1303</v>
      </c>
      <c r="N400">
        <v>1003</v>
      </c>
      <c r="O400" t="s">
        <v>390</v>
      </c>
      <c r="P400" t="s">
        <v>390</v>
      </c>
      <c r="Q400">
        <v>1000</v>
      </c>
      <c r="W400">
        <v>0</v>
      </c>
      <c r="X400">
        <v>-1847978610</v>
      </c>
      <c r="Y400">
        <f>AT400</f>
        <v>0.10199999999999999</v>
      </c>
      <c r="AA400">
        <v>59153.07</v>
      </c>
      <c r="AB400">
        <v>0</v>
      </c>
      <c r="AC400">
        <v>0</v>
      </c>
      <c r="AD400">
        <v>0</v>
      </c>
      <c r="AE400">
        <v>5272.11</v>
      </c>
      <c r="AF400">
        <v>0</v>
      </c>
      <c r="AG400">
        <v>0</v>
      </c>
      <c r="AH400">
        <v>0</v>
      </c>
      <c r="AI400">
        <v>11.22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0.10199999999999999</v>
      </c>
      <c r="AU400" t="s">
        <v>3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ROUND(Y400*Source!I279,9)</f>
        <v>9.1800000000000007E-2</v>
      </c>
      <c r="CY400">
        <f>AA400</f>
        <v>59153.07</v>
      </c>
      <c r="CZ400">
        <f>AE400</f>
        <v>5272.11</v>
      </c>
      <c r="DA400">
        <f>AI400</f>
        <v>11.22</v>
      </c>
      <c r="DB400">
        <f>ROUND(ROUND(AT400*CZ400,2),6)</f>
        <v>537.76</v>
      </c>
      <c r="DC400">
        <f>ROUND(ROUND(AT400*AG400,2),6)</f>
        <v>0</v>
      </c>
      <c r="DD400" t="s">
        <v>3</v>
      </c>
      <c r="DE400" t="s">
        <v>3</v>
      </c>
      <c r="DF400">
        <f>ROUND(ROUND(AE400*AI400,2)*CX400,2)</f>
        <v>5430.25</v>
      </c>
      <c r="DG400">
        <f t="shared" si="167"/>
        <v>0</v>
      </c>
      <c r="DH400">
        <f t="shared" si="166"/>
        <v>0</v>
      </c>
      <c r="DI400">
        <f t="shared" si="165"/>
        <v>0</v>
      </c>
      <c r="DJ400">
        <f>DF400</f>
        <v>5430.25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ROW(Source!A282)</f>
        <v>282</v>
      </c>
      <c r="B401">
        <v>57248835</v>
      </c>
      <c r="C401">
        <v>57249561</v>
      </c>
      <c r="D401">
        <v>54702434</v>
      </c>
      <c r="E401">
        <v>1081</v>
      </c>
      <c r="F401">
        <v>1</v>
      </c>
      <c r="G401">
        <v>1081</v>
      </c>
      <c r="H401">
        <v>1</v>
      </c>
      <c r="I401" t="s">
        <v>457</v>
      </c>
      <c r="J401" t="s">
        <v>3</v>
      </c>
      <c r="K401" t="s">
        <v>458</v>
      </c>
      <c r="L401">
        <v>1191</v>
      </c>
      <c r="N401">
        <v>1013</v>
      </c>
      <c r="O401" t="s">
        <v>459</v>
      </c>
      <c r="P401" t="s">
        <v>459</v>
      </c>
      <c r="Q401">
        <v>1</v>
      </c>
      <c r="W401">
        <v>0</v>
      </c>
      <c r="X401">
        <v>476480486</v>
      </c>
      <c r="Y401">
        <f>(AT401*1.2)</f>
        <v>1.512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1.26</v>
      </c>
      <c r="AU401" t="s">
        <v>120</v>
      </c>
      <c r="AV401">
        <v>1</v>
      </c>
      <c r="AW401">
        <v>2</v>
      </c>
      <c r="AX401">
        <v>57249563</v>
      </c>
      <c r="AY401">
        <v>1</v>
      </c>
      <c r="AZ401">
        <v>0</v>
      </c>
      <c r="BA401">
        <v>489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U401">
        <f>ROUND(AT401*Source!I282*AH401*AL401,2)</f>
        <v>0</v>
      </c>
      <c r="CV401">
        <f>ROUND(Y401*Source!I282,9)</f>
        <v>3.024E-2</v>
      </c>
      <c r="CW401">
        <v>0</v>
      </c>
      <c r="CX401">
        <f>ROUND(Y401*Source!I282,9)</f>
        <v>3.024E-2</v>
      </c>
      <c r="CY401">
        <f>AD401</f>
        <v>0</v>
      </c>
      <c r="CZ401">
        <f>AH401</f>
        <v>0</v>
      </c>
      <c r="DA401">
        <f>AL401</f>
        <v>1</v>
      </c>
      <c r="DB401">
        <f>ROUND((ROUND(AT401*CZ401,2)*1.2),6)</f>
        <v>0</v>
      </c>
      <c r="DC401">
        <f>ROUND((ROUND(AT401*AG401,2)*1.2),6)</f>
        <v>0</v>
      </c>
      <c r="DD401" t="s">
        <v>3</v>
      </c>
      <c r="DE401" t="s">
        <v>3</v>
      </c>
      <c r="DF401">
        <f>ROUND(ROUND(AE401,2)*CX401,2)</f>
        <v>0</v>
      </c>
      <c r="DG401">
        <f t="shared" si="167"/>
        <v>0</v>
      </c>
      <c r="DH401">
        <f t="shared" si="166"/>
        <v>0</v>
      </c>
      <c r="DI401">
        <f t="shared" si="165"/>
        <v>0</v>
      </c>
      <c r="DJ401">
        <f>DI401</f>
        <v>0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ROW(Source!A283)</f>
        <v>283</v>
      </c>
      <c r="B402">
        <v>57248837</v>
      </c>
      <c r="C402">
        <v>57249561</v>
      </c>
      <c r="D402">
        <v>54702434</v>
      </c>
      <c r="E402">
        <v>1081</v>
      </c>
      <c r="F402">
        <v>1</v>
      </c>
      <c r="G402">
        <v>1081</v>
      </c>
      <c r="H402">
        <v>1</v>
      </c>
      <c r="I402" t="s">
        <v>457</v>
      </c>
      <c r="J402" t="s">
        <v>3</v>
      </c>
      <c r="K402" t="s">
        <v>458</v>
      </c>
      <c r="L402">
        <v>1191</v>
      </c>
      <c r="N402">
        <v>1013</v>
      </c>
      <c r="O402" t="s">
        <v>459</v>
      </c>
      <c r="P402" t="s">
        <v>459</v>
      </c>
      <c r="Q402">
        <v>1</v>
      </c>
      <c r="W402">
        <v>0</v>
      </c>
      <c r="X402">
        <v>476480486</v>
      </c>
      <c r="Y402">
        <f>(AT402*1.2)</f>
        <v>1.512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5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1.26</v>
      </c>
      <c r="AU402" t="s">
        <v>120</v>
      </c>
      <c r="AV402">
        <v>1</v>
      </c>
      <c r="AW402">
        <v>2</v>
      </c>
      <c r="AX402">
        <v>57249563</v>
      </c>
      <c r="AY402">
        <v>1</v>
      </c>
      <c r="AZ402">
        <v>0</v>
      </c>
      <c r="BA402">
        <v>491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U402">
        <f>ROUND(AT402*Source!I283*AH402*AL402,2)</f>
        <v>0</v>
      </c>
      <c r="CV402">
        <f>ROUND(Y402*Source!I283,9)</f>
        <v>3.024E-2</v>
      </c>
      <c r="CW402">
        <v>0</v>
      </c>
      <c r="CX402">
        <f>ROUND(Y402*Source!I283,9)</f>
        <v>3.024E-2</v>
      </c>
      <c r="CY402">
        <f>AD402</f>
        <v>0</v>
      </c>
      <c r="CZ402">
        <f>AH402</f>
        <v>0</v>
      </c>
      <c r="DA402">
        <f>AL402</f>
        <v>1</v>
      </c>
      <c r="DB402">
        <f>ROUND((ROUND(AT402*CZ402,2)*1.2),6)</f>
        <v>0</v>
      </c>
      <c r="DC402">
        <f>ROUND((ROUND(AT402*AG402,2)*1.2),6)</f>
        <v>0</v>
      </c>
      <c r="DD402" t="s">
        <v>3</v>
      </c>
      <c r="DE402" t="s">
        <v>3</v>
      </c>
      <c r="DF402">
        <f>ROUND(ROUND(AE402,2)*CX402,2)</f>
        <v>0</v>
      </c>
      <c r="DG402">
        <f t="shared" si="167"/>
        <v>0</v>
      </c>
      <c r="DH402">
        <f t="shared" si="166"/>
        <v>0</v>
      </c>
      <c r="DI402">
        <f t="shared" si="165"/>
        <v>0</v>
      </c>
      <c r="DJ402">
        <f>DI402</f>
        <v>0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57249576</v>
      </c>
      <c r="C1">
        <v>57249574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457</v>
      </c>
      <c r="J1" t="s">
        <v>3</v>
      </c>
      <c r="K1" t="s">
        <v>458</v>
      </c>
      <c r="L1">
        <v>1191</v>
      </c>
      <c r="N1">
        <v>1013</v>
      </c>
      <c r="O1" t="s">
        <v>459</v>
      </c>
      <c r="P1" t="s">
        <v>459</v>
      </c>
      <c r="Q1">
        <v>1</v>
      </c>
      <c r="X1">
        <v>1.8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32</v>
      </c>
      <c r="AG1">
        <v>0.64800000000000002</v>
      </c>
      <c r="AH1">
        <v>2</v>
      </c>
      <c r="AI1">
        <v>57249575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ROW(Source!A29)</f>
        <v>29</v>
      </c>
      <c r="B2">
        <v>57249576</v>
      </c>
      <c r="C2">
        <v>57249574</v>
      </c>
      <c r="D2">
        <v>54702434</v>
      </c>
      <c r="E2">
        <v>1081</v>
      </c>
      <c r="F2">
        <v>1</v>
      </c>
      <c r="G2">
        <v>1081</v>
      </c>
      <c r="H2">
        <v>1</v>
      </c>
      <c r="I2" t="s">
        <v>457</v>
      </c>
      <c r="J2" t="s">
        <v>3</v>
      </c>
      <c r="K2" t="s">
        <v>458</v>
      </c>
      <c r="L2">
        <v>1191</v>
      </c>
      <c r="N2">
        <v>1013</v>
      </c>
      <c r="O2" t="s">
        <v>459</v>
      </c>
      <c r="P2" t="s">
        <v>459</v>
      </c>
      <c r="Q2">
        <v>1</v>
      </c>
      <c r="X2">
        <v>1.8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1</v>
      </c>
      <c r="AF2" t="s">
        <v>32</v>
      </c>
      <c r="AG2">
        <v>0.64800000000000002</v>
      </c>
      <c r="AH2">
        <v>2</v>
      </c>
      <c r="AI2">
        <v>57249575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ROW(Source!A30)</f>
        <v>30</v>
      </c>
      <c r="B3">
        <v>57249580</v>
      </c>
      <c r="C3">
        <v>57249578</v>
      </c>
      <c r="D3">
        <v>54702434</v>
      </c>
      <c r="E3">
        <v>1081</v>
      </c>
      <c r="F3">
        <v>1</v>
      </c>
      <c r="G3">
        <v>1081</v>
      </c>
      <c r="H3">
        <v>1</v>
      </c>
      <c r="I3" t="s">
        <v>457</v>
      </c>
      <c r="J3" t="s">
        <v>3</v>
      </c>
      <c r="K3" t="s">
        <v>458</v>
      </c>
      <c r="L3">
        <v>1191</v>
      </c>
      <c r="N3">
        <v>1013</v>
      </c>
      <c r="O3" t="s">
        <v>459</v>
      </c>
      <c r="P3" t="s">
        <v>459</v>
      </c>
      <c r="Q3">
        <v>1</v>
      </c>
      <c r="X3">
        <v>11.7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1</v>
      </c>
      <c r="AF3" t="s">
        <v>32</v>
      </c>
      <c r="AG3">
        <v>4.2119999999999997</v>
      </c>
      <c r="AH3">
        <v>2</v>
      </c>
      <c r="AI3">
        <v>57249579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ROW(Source!A31)</f>
        <v>31</v>
      </c>
      <c r="B4">
        <v>57249580</v>
      </c>
      <c r="C4">
        <v>57249578</v>
      </c>
      <c r="D4">
        <v>54702434</v>
      </c>
      <c r="E4">
        <v>1081</v>
      </c>
      <c r="F4">
        <v>1</v>
      </c>
      <c r="G4">
        <v>1081</v>
      </c>
      <c r="H4">
        <v>1</v>
      </c>
      <c r="I4" t="s">
        <v>457</v>
      </c>
      <c r="J4" t="s">
        <v>3</v>
      </c>
      <c r="K4" t="s">
        <v>458</v>
      </c>
      <c r="L4">
        <v>1191</v>
      </c>
      <c r="N4">
        <v>1013</v>
      </c>
      <c r="O4" t="s">
        <v>459</v>
      </c>
      <c r="P4" t="s">
        <v>459</v>
      </c>
      <c r="Q4">
        <v>1</v>
      </c>
      <c r="X4">
        <v>11.7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1</v>
      </c>
      <c r="AF4" t="s">
        <v>32</v>
      </c>
      <c r="AG4">
        <v>4.2119999999999997</v>
      </c>
      <c r="AH4">
        <v>2</v>
      </c>
      <c r="AI4">
        <v>57249579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ROW(Source!A32)</f>
        <v>32</v>
      </c>
      <c r="B5">
        <v>57249592</v>
      </c>
      <c r="C5">
        <v>57249582</v>
      </c>
      <c r="D5">
        <v>54702434</v>
      </c>
      <c r="E5">
        <v>1081</v>
      </c>
      <c r="F5">
        <v>1</v>
      </c>
      <c r="G5">
        <v>1081</v>
      </c>
      <c r="H5">
        <v>1</v>
      </c>
      <c r="I5" t="s">
        <v>457</v>
      </c>
      <c r="J5" t="s">
        <v>3</v>
      </c>
      <c r="K5" t="s">
        <v>458</v>
      </c>
      <c r="L5">
        <v>1191</v>
      </c>
      <c r="N5">
        <v>1013</v>
      </c>
      <c r="O5" t="s">
        <v>459</v>
      </c>
      <c r="P5" t="s">
        <v>459</v>
      </c>
      <c r="Q5">
        <v>1</v>
      </c>
      <c r="X5">
        <v>6.01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1</v>
      </c>
      <c r="AF5" t="s">
        <v>32</v>
      </c>
      <c r="AG5">
        <v>2.1635999999999997</v>
      </c>
      <c r="AH5">
        <v>2</v>
      </c>
      <c r="AI5">
        <v>57249583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ROW(Source!A32)</f>
        <v>32</v>
      </c>
      <c r="B6">
        <v>57249593</v>
      </c>
      <c r="C6">
        <v>57249582</v>
      </c>
      <c r="D6">
        <v>54768460</v>
      </c>
      <c r="E6">
        <v>1</v>
      </c>
      <c r="F6">
        <v>1</v>
      </c>
      <c r="G6">
        <v>1081</v>
      </c>
      <c r="H6">
        <v>2</v>
      </c>
      <c r="I6" t="s">
        <v>460</v>
      </c>
      <c r="J6" t="s">
        <v>461</v>
      </c>
      <c r="K6" t="s">
        <v>462</v>
      </c>
      <c r="L6">
        <v>1368</v>
      </c>
      <c r="N6">
        <v>1011</v>
      </c>
      <c r="O6" t="s">
        <v>463</v>
      </c>
      <c r="P6" t="s">
        <v>463</v>
      </c>
      <c r="Q6">
        <v>1</v>
      </c>
      <c r="X6">
        <v>0.25</v>
      </c>
      <c r="Y6">
        <v>0</v>
      </c>
      <c r="Z6">
        <v>0.8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32</v>
      </c>
      <c r="AG6">
        <v>0.09</v>
      </c>
      <c r="AH6">
        <v>2</v>
      </c>
      <c r="AI6">
        <v>57249584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ROW(Source!A32)</f>
        <v>32</v>
      </c>
      <c r="B7">
        <v>57249594</v>
      </c>
      <c r="C7">
        <v>57249582</v>
      </c>
      <c r="D7">
        <v>54768461</v>
      </c>
      <c r="E7">
        <v>1</v>
      </c>
      <c r="F7">
        <v>1</v>
      </c>
      <c r="G7">
        <v>1081</v>
      </c>
      <c r="H7">
        <v>2</v>
      </c>
      <c r="I7" t="s">
        <v>464</v>
      </c>
      <c r="J7" t="s">
        <v>465</v>
      </c>
      <c r="K7" t="s">
        <v>466</v>
      </c>
      <c r="L7">
        <v>1368</v>
      </c>
      <c r="N7">
        <v>1011</v>
      </c>
      <c r="O7" t="s">
        <v>463</v>
      </c>
      <c r="P7" t="s">
        <v>463</v>
      </c>
      <c r="Q7">
        <v>1</v>
      </c>
      <c r="X7">
        <v>0.56000000000000005</v>
      </c>
      <c r="Y7">
        <v>0</v>
      </c>
      <c r="Z7">
        <v>1.1100000000000001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32</v>
      </c>
      <c r="AG7">
        <v>0.2016</v>
      </c>
      <c r="AH7">
        <v>2</v>
      </c>
      <c r="AI7">
        <v>57249585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ROW(Source!A32)</f>
        <v>32</v>
      </c>
      <c r="B8">
        <v>57249595</v>
      </c>
      <c r="C8">
        <v>57249582</v>
      </c>
      <c r="D8">
        <v>54737470</v>
      </c>
      <c r="E8">
        <v>1</v>
      </c>
      <c r="F8">
        <v>1</v>
      </c>
      <c r="G8">
        <v>1081</v>
      </c>
      <c r="H8">
        <v>3</v>
      </c>
      <c r="I8" t="s">
        <v>467</v>
      </c>
      <c r="J8" t="s">
        <v>468</v>
      </c>
      <c r="K8" t="s">
        <v>469</v>
      </c>
      <c r="L8">
        <v>1354</v>
      </c>
      <c r="N8">
        <v>1010</v>
      </c>
      <c r="O8" t="s">
        <v>228</v>
      </c>
      <c r="P8" t="s">
        <v>228</v>
      </c>
      <c r="Q8">
        <v>1</v>
      </c>
      <c r="X8">
        <v>7</v>
      </c>
      <c r="Y8">
        <v>0.89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31</v>
      </c>
      <c r="AG8">
        <v>0</v>
      </c>
      <c r="AH8">
        <v>2</v>
      </c>
      <c r="AI8">
        <v>57249586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ROW(Source!A32)</f>
        <v>32</v>
      </c>
      <c r="B9">
        <v>57249596</v>
      </c>
      <c r="C9">
        <v>57249582</v>
      </c>
      <c r="D9">
        <v>54739012</v>
      </c>
      <c r="E9">
        <v>1</v>
      </c>
      <c r="F9">
        <v>1</v>
      </c>
      <c r="G9">
        <v>1081</v>
      </c>
      <c r="H9">
        <v>3</v>
      </c>
      <c r="I9" t="s">
        <v>470</v>
      </c>
      <c r="J9" t="s">
        <v>471</v>
      </c>
      <c r="K9" t="s">
        <v>472</v>
      </c>
      <c r="L9">
        <v>1348</v>
      </c>
      <c r="N9">
        <v>1009</v>
      </c>
      <c r="O9" t="s">
        <v>298</v>
      </c>
      <c r="P9" t="s">
        <v>298</v>
      </c>
      <c r="Q9">
        <v>1000</v>
      </c>
      <c r="X9">
        <v>1.0000000000000001E-5</v>
      </c>
      <c r="Y9">
        <v>14327.51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31</v>
      </c>
      <c r="AG9">
        <v>0</v>
      </c>
      <c r="AH9">
        <v>2</v>
      </c>
      <c r="AI9">
        <v>57249587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ROW(Source!A32)</f>
        <v>32</v>
      </c>
      <c r="B10">
        <v>57249597</v>
      </c>
      <c r="C10">
        <v>57249582</v>
      </c>
      <c r="D10">
        <v>54739257</v>
      </c>
      <c r="E10">
        <v>1</v>
      </c>
      <c r="F10">
        <v>1</v>
      </c>
      <c r="G10">
        <v>1081</v>
      </c>
      <c r="H10">
        <v>3</v>
      </c>
      <c r="I10" t="s">
        <v>473</v>
      </c>
      <c r="J10" t="s">
        <v>474</v>
      </c>
      <c r="K10" t="s">
        <v>475</v>
      </c>
      <c r="L10">
        <v>1355</v>
      </c>
      <c r="N10">
        <v>1010</v>
      </c>
      <c r="O10" t="s">
        <v>67</v>
      </c>
      <c r="P10" t="s">
        <v>67</v>
      </c>
      <c r="Q10">
        <v>100</v>
      </c>
      <c r="X10">
        <v>7.0000000000000007E-2</v>
      </c>
      <c r="Y10">
        <v>4.6100000000000003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31</v>
      </c>
      <c r="AG10">
        <v>0</v>
      </c>
      <c r="AH10">
        <v>2</v>
      </c>
      <c r="AI10">
        <v>57249588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ROW(Source!A32)</f>
        <v>32</v>
      </c>
      <c r="B11">
        <v>57249598</v>
      </c>
      <c r="C11">
        <v>57249582</v>
      </c>
      <c r="D11">
        <v>54737684</v>
      </c>
      <c r="E11">
        <v>1</v>
      </c>
      <c r="F11">
        <v>1</v>
      </c>
      <c r="G11">
        <v>1081</v>
      </c>
      <c r="H11">
        <v>3</v>
      </c>
      <c r="I11" t="s">
        <v>476</v>
      </c>
      <c r="J11" t="s">
        <v>477</v>
      </c>
      <c r="K11" t="s">
        <v>478</v>
      </c>
      <c r="L11">
        <v>1346</v>
      </c>
      <c r="N11">
        <v>1009</v>
      </c>
      <c r="O11" t="s">
        <v>320</v>
      </c>
      <c r="P11" t="s">
        <v>320</v>
      </c>
      <c r="Q11">
        <v>1</v>
      </c>
      <c r="X11">
        <v>4.3999999999999997E-2</v>
      </c>
      <c r="Y11">
        <v>5.01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 t="s">
        <v>31</v>
      </c>
      <c r="AG11">
        <v>0</v>
      </c>
      <c r="AH11">
        <v>2</v>
      </c>
      <c r="AI11">
        <v>57249589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ROW(Source!A32)</f>
        <v>32</v>
      </c>
      <c r="B12">
        <v>57249599</v>
      </c>
      <c r="C12">
        <v>57249582</v>
      </c>
      <c r="D12">
        <v>54737923</v>
      </c>
      <c r="E12">
        <v>1</v>
      </c>
      <c r="F12">
        <v>1</v>
      </c>
      <c r="G12">
        <v>1081</v>
      </c>
      <c r="H12">
        <v>3</v>
      </c>
      <c r="I12" t="s">
        <v>479</v>
      </c>
      <c r="J12" t="s">
        <v>480</v>
      </c>
      <c r="K12" t="s">
        <v>481</v>
      </c>
      <c r="L12">
        <v>1348</v>
      </c>
      <c r="N12">
        <v>1009</v>
      </c>
      <c r="O12" t="s">
        <v>298</v>
      </c>
      <c r="P12" t="s">
        <v>298</v>
      </c>
      <c r="Q12">
        <v>1000</v>
      </c>
      <c r="X12">
        <v>2.0000000000000002E-5</v>
      </c>
      <c r="Y12">
        <v>64123.05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31</v>
      </c>
      <c r="AG12">
        <v>0</v>
      </c>
      <c r="AH12">
        <v>2</v>
      </c>
      <c r="AI12">
        <v>57249590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ROW(Source!A32)</f>
        <v>32</v>
      </c>
      <c r="B13">
        <v>57249600</v>
      </c>
      <c r="C13">
        <v>57249582</v>
      </c>
      <c r="D13">
        <v>54747392</v>
      </c>
      <c r="E13">
        <v>1</v>
      </c>
      <c r="F13">
        <v>1</v>
      </c>
      <c r="G13">
        <v>1081</v>
      </c>
      <c r="H13">
        <v>3</v>
      </c>
      <c r="I13" t="s">
        <v>482</v>
      </c>
      <c r="J13" t="s">
        <v>483</v>
      </c>
      <c r="K13" t="s">
        <v>484</v>
      </c>
      <c r="L13">
        <v>1354</v>
      </c>
      <c r="N13">
        <v>1010</v>
      </c>
      <c r="O13" t="s">
        <v>228</v>
      </c>
      <c r="P13" t="s">
        <v>228</v>
      </c>
      <c r="Q13">
        <v>1</v>
      </c>
      <c r="X13">
        <v>0.09</v>
      </c>
      <c r="Y13">
        <v>10.53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31</v>
      </c>
      <c r="AG13">
        <v>0</v>
      </c>
      <c r="AH13">
        <v>2</v>
      </c>
      <c r="AI13">
        <v>57249591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ROW(Source!A32)</f>
        <v>32</v>
      </c>
      <c r="B14">
        <v>57249601</v>
      </c>
      <c r="C14">
        <v>57249582</v>
      </c>
      <c r="D14">
        <v>54717466</v>
      </c>
      <c r="E14">
        <v>1081</v>
      </c>
      <c r="F14">
        <v>1</v>
      </c>
      <c r="G14">
        <v>1081</v>
      </c>
      <c r="H14">
        <v>3</v>
      </c>
      <c r="I14" t="s">
        <v>625</v>
      </c>
      <c r="J14" t="s">
        <v>3</v>
      </c>
      <c r="K14" t="s">
        <v>626</v>
      </c>
      <c r="L14">
        <v>1301</v>
      </c>
      <c r="N14">
        <v>1003</v>
      </c>
      <c r="O14" t="s">
        <v>341</v>
      </c>
      <c r="P14" t="s">
        <v>341</v>
      </c>
      <c r="Q14">
        <v>1</v>
      </c>
      <c r="X14">
        <v>1.02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31</v>
      </c>
      <c r="AG14">
        <v>0</v>
      </c>
      <c r="AH14">
        <v>3</v>
      </c>
      <c r="AI14">
        <v>-1</v>
      </c>
      <c r="AJ14" t="s">
        <v>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ROW(Source!A32)</f>
        <v>32</v>
      </c>
      <c r="B15">
        <v>57249602</v>
      </c>
      <c r="C15">
        <v>57249582</v>
      </c>
      <c r="D15">
        <v>54719252</v>
      </c>
      <c r="E15">
        <v>1081</v>
      </c>
      <c r="F15">
        <v>1</v>
      </c>
      <c r="G15">
        <v>1081</v>
      </c>
      <c r="H15">
        <v>3</v>
      </c>
      <c r="I15" t="s">
        <v>627</v>
      </c>
      <c r="J15" t="s">
        <v>3</v>
      </c>
      <c r="K15" t="s">
        <v>628</v>
      </c>
      <c r="L15">
        <v>1354</v>
      </c>
      <c r="N15">
        <v>1010</v>
      </c>
      <c r="O15" t="s">
        <v>228</v>
      </c>
      <c r="P15" t="s">
        <v>228</v>
      </c>
      <c r="Q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 t="s">
        <v>31</v>
      </c>
      <c r="AG15">
        <v>0</v>
      </c>
      <c r="AH15">
        <v>3</v>
      </c>
      <c r="AI15">
        <v>-1</v>
      </c>
      <c r="AJ15" t="s">
        <v>3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ROW(Source!A32)</f>
        <v>32</v>
      </c>
      <c r="B16">
        <v>57249603</v>
      </c>
      <c r="C16">
        <v>57249582</v>
      </c>
      <c r="D16">
        <v>54719252</v>
      </c>
      <c r="E16">
        <v>1081</v>
      </c>
      <c r="F16">
        <v>1</v>
      </c>
      <c r="G16">
        <v>1081</v>
      </c>
      <c r="H16">
        <v>3</v>
      </c>
      <c r="I16" t="s">
        <v>627</v>
      </c>
      <c r="J16" t="s">
        <v>3</v>
      </c>
      <c r="K16" t="s">
        <v>629</v>
      </c>
      <c r="L16">
        <v>1354</v>
      </c>
      <c r="N16">
        <v>1010</v>
      </c>
      <c r="O16" t="s">
        <v>228</v>
      </c>
      <c r="P16" t="s">
        <v>228</v>
      </c>
      <c r="Q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 t="s">
        <v>31</v>
      </c>
      <c r="AG16">
        <v>0</v>
      </c>
      <c r="AH16">
        <v>3</v>
      </c>
      <c r="AI16">
        <v>-1</v>
      </c>
      <c r="AJ16" t="s">
        <v>3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ROW(Source!A32)</f>
        <v>32</v>
      </c>
      <c r="B17">
        <v>57249604</v>
      </c>
      <c r="C17">
        <v>57249582</v>
      </c>
      <c r="D17">
        <v>54719269</v>
      </c>
      <c r="E17">
        <v>1081</v>
      </c>
      <c r="F17">
        <v>1</v>
      </c>
      <c r="G17">
        <v>1081</v>
      </c>
      <c r="H17">
        <v>3</v>
      </c>
      <c r="I17" t="s">
        <v>630</v>
      </c>
      <c r="J17" t="s">
        <v>3</v>
      </c>
      <c r="K17" t="s">
        <v>631</v>
      </c>
      <c r="L17">
        <v>1301</v>
      </c>
      <c r="N17">
        <v>1003</v>
      </c>
      <c r="O17" t="s">
        <v>341</v>
      </c>
      <c r="P17" t="s">
        <v>341</v>
      </c>
      <c r="Q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31</v>
      </c>
      <c r="AG17">
        <v>0</v>
      </c>
      <c r="AH17">
        <v>3</v>
      </c>
      <c r="AI17">
        <v>-1</v>
      </c>
      <c r="AJ17" t="s">
        <v>3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ROW(Source!A32)</f>
        <v>32</v>
      </c>
      <c r="B18">
        <v>57249605</v>
      </c>
      <c r="C18">
        <v>57249582</v>
      </c>
      <c r="D18">
        <v>54731408</v>
      </c>
      <c r="E18">
        <v>1081</v>
      </c>
      <c r="F18">
        <v>1</v>
      </c>
      <c r="G18">
        <v>1081</v>
      </c>
      <c r="H18">
        <v>3</v>
      </c>
      <c r="I18" t="s">
        <v>632</v>
      </c>
      <c r="J18" t="s">
        <v>3</v>
      </c>
      <c r="K18" t="s">
        <v>633</v>
      </c>
      <c r="L18">
        <v>1301</v>
      </c>
      <c r="N18">
        <v>1003</v>
      </c>
      <c r="O18" t="s">
        <v>341</v>
      </c>
      <c r="P18" t="s">
        <v>341</v>
      </c>
      <c r="Q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31</v>
      </c>
      <c r="AG18">
        <v>0</v>
      </c>
      <c r="AH18">
        <v>3</v>
      </c>
      <c r="AI18">
        <v>-1</v>
      </c>
      <c r="AJ18" t="s">
        <v>3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ROW(Source!A33)</f>
        <v>33</v>
      </c>
      <c r="B19">
        <v>57249592</v>
      </c>
      <c r="C19">
        <v>57249582</v>
      </c>
      <c r="D19">
        <v>54702434</v>
      </c>
      <c r="E19">
        <v>1081</v>
      </c>
      <c r="F19">
        <v>1</v>
      </c>
      <c r="G19">
        <v>1081</v>
      </c>
      <c r="H19">
        <v>1</v>
      </c>
      <c r="I19" t="s">
        <v>457</v>
      </c>
      <c r="J19" t="s">
        <v>3</v>
      </c>
      <c r="K19" t="s">
        <v>458</v>
      </c>
      <c r="L19">
        <v>1191</v>
      </c>
      <c r="N19">
        <v>1013</v>
      </c>
      <c r="O19" t="s">
        <v>459</v>
      </c>
      <c r="P19" t="s">
        <v>459</v>
      </c>
      <c r="Q19">
        <v>1</v>
      </c>
      <c r="X19">
        <v>6.01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1</v>
      </c>
      <c r="AF19" t="s">
        <v>32</v>
      </c>
      <c r="AG19">
        <v>2.1635999999999997</v>
      </c>
      <c r="AH19">
        <v>2</v>
      </c>
      <c r="AI19">
        <v>57249583</v>
      </c>
      <c r="AJ19">
        <v>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ROW(Source!A33)</f>
        <v>33</v>
      </c>
      <c r="B20">
        <v>57249593</v>
      </c>
      <c r="C20">
        <v>57249582</v>
      </c>
      <c r="D20">
        <v>54768460</v>
      </c>
      <c r="E20">
        <v>1</v>
      </c>
      <c r="F20">
        <v>1</v>
      </c>
      <c r="G20">
        <v>1081</v>
      </c>
      <c r="H20">
        <v>2</v>
      </c>
      <c r="I20" t="s">
        <v>460</v>
      </c>
      <c r="J20" t="s">
        <v>461</v>
      </c>
      <c r="K20" t="s">
        <v>462</v>
      </c>
      <c r="L20">
        <v>1368</v>
      </c>
      <c r="N20">
        <v>1011</v>
      </c>
      <c r="O20" t="s">
        <v>463</v>
      </c>
      <c r="P20" t="s">
        <v>463</v>
      </c>
      <c r="Q20">
        <v>1</v>
      </c>
      <c r="X20">
        <v>0.25</v>
      </c>
      <c r="Y20">
        <v>0</v>
      </c>
      <c r="Z20">
        <v>0.8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32</v>
      </c>
      <c r="AG20">
        <v>0.09</v>
      </c>
      <c r="AH20">
        <v>2</v>
      </c>
      <c r="AI20">
        <v>57249584</v>
      </c>
      <c r="AJ20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ROW(Source!A33)</f>
        <v>33</v>
      </c>
      <c r="B21">
        <v>57249594</v>
      </c>
      <c r="C21">
        <v>57249582</v>
      </c>
      <c r="D21">
        <v>54768461</v>
      </c>
      <c r="E21">
        <v>1</v>
      </c>
      <c r="F21">
        <v>1</v>
      </c>
      <c r="G21">
        <v>1081</v>
      </c>
      <c r="H21">
        <v>2</v>
      </c>
      <c r="I21" t="s">
        <v>464</v>
      </c>
      <c r="J21" t="s">
        <v>465</v>
      </c>
      <c r="K21" t="s">
        <v>466</v>
      </c>
      <c r="L21">
        <v>1368</v>
      </c>
      <c r="N21">
        <v>1011</v>
      </c>
      <c r="O21" t="s">
        <v>463</v>
      </c>
      <c r="P21" t="s">
        <v>463</v>
      </c>
      <c r="Q21">
        <v>1</v>
      </c>
      <c r="X21">
        <v>0.56000000000000005</v>
      </c>
      <c r="Y21">
        <v>0</v>
      </c>
      <c r="Z21">
        <v>1.1100000000000001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32</v>
      </c>
      <c r="AG21">
        <v>0.2016</v>
      </c>
      <c r="AH21">
        <v>2</v>
      </c>
      <c r="AI21">
        <v>57249585</v>
      </c>
      <c r="AJ21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ROW(Source!A33)</f>
        <v>33</v>
      </c>
      <c r="B22">
        <v>57249595</v>
      </c>
      <c r="C22">
        <v>57249582</v>
      </c>
      <c r="D22">
        <v>54737470</v>
      </c>
      <c r="E22">
        <v>1</v>
      </c>
      <c r="F22">
        <v>1</v>
      </c>
      <c r="G22">
        <v>1081</v>
      </c>
      <c r="H22">
        <v>3</v>
      </c>
      <c r="I22" t="s">
        <v>467</v>
      </c>
      <c r="J22" t="s">
        <v>468</v>
      </c>
      <c r="K22" t="s">
        <v>469</v>
      </c>
      <c r="L22">
        <v>1354</v>
      </c>
      <c r="N22">
        <v>1010</v>
      </c>
      <c r="O22" t="s">
        <v>228</v>
      </c>
      <c r="P22" t="s">
        <v>228</v>
      </c>
      <c r="Q22">
        <v>1</v>
      </c>
      <c r="X22">
        <v>7</v>
      </c>
      <c r="Y22">
        <v>0.89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31</v>
      </c>
      <c r="AG22">
        <v>0</v>
      </c>
      <c r="AH22">
        <v>2</v>
      </c>
      <c r="AI22">
        <v>57249586</v>
      </c>
      <c r="AJ22">
        <v>17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ROW(Source!A33)</f>
        <v>33</v>
      </c>
      <c r="B23">
        <v>57249596</v>
      </c>
      <c r="C23">
        <v>57249582</v>
      </c>
      <c r="D23">
        <v>54739012</v>
      </c>
      <c r="E23">
        <v>1</v>
      </c>
      <c r="F23">
        <v>1</v>
      </c>
      <c r="G23">
        <v>1081</v>
      </c>
      <c r="H23">
        <v>3</v>
      </c>
      <c r="I23" t="s">
        <v>470</v>
      </c>
      <c r="J23" t="s">
        <v>471</v>
      </c>
      <c r="K23" t="s">
        <v>472</v>
      </c>
      <c r="L23">
        <v>1348</v>
      </c>
      <c r="N23">
        <v>1009</v>
      </c>
      <c r="O23" t="s">
        <v>298</v>
      </c>
      <c r="P23" t="s">
        <v>298</v>
      </c>
      <c r="Q23">
        <v>1000</v>
      </c>
      <c r="X23">
        <v>1.0000000000000001E-5</v>
      </c>
      <c r="Y23">
        <v>14327.51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31</v>
      </c>
      <c r="AG23">
        <v>0</v>
      </c>
      <c r="AH23">
        <v>2</v>
      </c>
      <c r="AI23">
        <v>57249587</v>
      </c>
      <c r="AJ23">
        <v>18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ROW(Source!A33)</f>
        <v>33</v>
      </c>
      <c r="B24">
        <v>57249597</v>
      </c>
      <c r="C24">
        <v>57249582</v>
      </c>
      <c r="D24">
        <v>54739257</v>
      </c>
      <c r="E24">
        <v>1</v>
      </c>
      <c r="F24">
        <v>1</v>
      </c>
      <c r="G24">
        <v>1081</v>
      </c>
      <c r="H24">
        <v>3</v>
      </c>
      <c r="I24" t="s">
        <v>473</v>
      </c>
      <c r="J24" t="s">
        <v>474</v>
      </c>
      <c r="K24" t="s">
        <v>475</v>
      </c>
      <c r="L24">
        <v>1355</v>
      </c>
      <c r="N24">
        <v>1010</v>
      </c>
      <c r="O24" t="s">
        <v>67</v>
      </c>
      <c r="P24" t="s">
        <v>67</v>
      </c>
      <c r="Q24">
        <v>100</v>
      </c>
      <c r="X24">
        <v>7.0000000000000007E-2</v>
      </c>
      <c r="Y24">
        <v>4.6100000000000003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31</v>
      </c>
      <c r="AG24">
        <v>0</v>
      </c>
      <c r="AH24">
        <v>2</v>
      </c>
      <c r="AI24">
        <v>57249588</v>
      </c>
      <c r="AJ24">
        <v>19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ROW(Source!A33)</f>
        <v>33</v>
      </c>
      <c r="B25">
        <v>57249598</v>
      </c>
      <c r="C25">
        <v>57249582</v>
      </c>
      <c r="D25">
        <v>54737684</v>
      </c>
      <c r="E25">
        <v>1</v>
      </c>
      <c r="F25">
        <v>1</v>
      </c>
      <c r="G25">
        <v>1081</v>
      </c>
      <c r="H25">
        <v>3</v>
      </c>
      <c r="I25" t="s">
        <v>476</v>
      </c>
      <c r="J25" t="s">
        <v>477</v>
      </c>
      <c r="K25" t="s">
        <v>478</v>
      </c>
      <c r="L25">
        <v>1346</v>
      </c>
      <c r="N25">
        <v>1009</v>
      </c>
      <c r="O25" t="s">
        <v>320</v>
      </c>
      <c r="P25" t="s">
        <v>320</v>
      </c>
      <c r="Q25">
        <v>1</v>
      </c>
      <c r="X25">
        <v>4.3999999999999997E-2</v>
      </c>
      <c r="Y25">
        <v>5.01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31</v>
      </c>
      <c r="AG25">
        <v>0</v>
      </c>
      <c r="AH25">
        <v>2</v>
      </c>
      <c r="AI25">
        <v>57249589</v>
      </c>
      <c r="AJ25">
        <v>20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57249599</v>
      </c>
      <c r="C26">
        <v>57249582</v>
      </c>
      <c r="D26">
        <v>54737923</v>
      </c>
      <c r="E26">
        <v>1</v>
      </c>
      <c r="F26">
        <v>1</v>
      </c>
      <c r="G26">
        <v>1081</v>
      </c>
      <c r="H26">
        <v>3</v>
      </c>
      <c r="I26" t="s">
        <v>479</v>
      </c>
      <c r="J26" t="s">
        <v>480</v>
      </c>
      <c r="K26" t="s">
        <v>481</v>
      </c>
      <c r="L26">
        <v>1348</v>
      </c>
      <c r="N26">
        <v>1009</v>
      </c>
      <c r="O26" t="s">
        <v>298</v>
      </c>
      <c r="P26" t="s">
        <v>298</v>
      </c>
      <c r="Q26">
        <v>1000</v>
      </c>
      <c r="X26">
        <v>2.0000000000000002E-5</v>
      </c>
      <c r="Y26">
        <v>64123.05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 t="s">
        <v>31</v>
      </c>
      <c r="AG26">
        <v>0</v>
      </c>
      <c r="AH26">
        <v>2</v>
      </c>
      <c r="AI26">
        <v>57249590</v>
      </c>
      <c r="AJ26">
        <v>21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ROW(Source!A33)</f>
        <v>33</v>
      </c>
      <c r="B27">
        <v>57249600</v>
      </c>
      <c r="C27">
        <v>57249582</v>
      </c>
      <c r="D27">
        <v>54747392</v>
      </c>
      <c r="E27">
        <v>1</v>
      </c>
      <c r="F27">
        <v>1</v>
      </c>
      <c r="G27">
        <v>1081</v>
      </c>
      <c r="H27">
        <v>3</v>
      </c>
      <c r="I27" t="s">
        <v>482</v>
      </c>
      <c r="J27" t="s">
        <v>483</v>
      </c>
      <c r="K27" t="s">
        <v>484</v>
      </c>
      <c r="L27">
        <v>1354</v>
      </c>
      <c r="N27">
        <v>1010</v>
      </c>
      <c r="O27" t="s">
        <v>228</v>
      </c>
      <c r="P27" t="s">
        <v>228</v>
      </c>
      <c r="Q27">
        <v>1</v>
      </c>
      <c r="X27">
        <v>0.09</v>
      </c>
      <c r="Y27">
        <v>10.53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31</v>
      </c>
      <c r="AG27">
        <v>0</v>
      </c>
      <c r="AH27">
        <v>2</v>
      </c>
      <c r="AI27">
        <v>57249591</v>
      </c>
      <c r="AJ27">
        <v>22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57249601</v>
      </c>
      <c r="C28">
        <v>57249582</v>
      </c>
      <c r="D28">
        <v>54717466</v>
      </c>
      <c r="E28">
        <v>1081</v>
      </c>
      <c r="F28">
        <v>1</v>
      </c>
      <c r="G28">
        <v>1081</v>
      </c>
      <c r="H28">
        <v>3</v>
      </c>
      <c r="I28" t="s">
        <v>625</v>
      </c>
      <c r="J28" t="s">
        <v>3</v>
      </c>
      <c r="K28" t="s">
        <v>626</v>
      </c>
      <c r="L28">
        <v>1301</v>
      </c>
      <c r="N28">
        <v>1003</v>
      </c>
      <c r="O28" t="s">
        <v>341</v>
      </c>
      <c r="P28" t="s">
        <v>341</v>
      </c>
      <c r="Q28">
        <v>1</v>
      </c>
      <c r="X28">
        <v>1.02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31</v>
      </c>
      <c r="AG28">
        <v>0</v>
      </c>
      <c r="AH28">
        <v>3</v>
      </c>
      <c r="AI28">
        <v>-1</v>
      </c>
      <c r="AJ28" t="s">
        <v>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57249602</v>
      </c>
      <c r="C29">
        <v>57249582</v>
      </c>
      <c r="D29">
        <v>54719252</v>
      </c>
      <c r="E29">
        <v>1081</v>
      </c>
      <c r="F29">
        <v>1</v>
      </c>
      <c r="G29">
        <v>1081</v>
      </c>
      <c r="H29">
        <v>3</v>
      </c>
      <c r="I29" t="s">
        <v>627</v>
      </c>
      <c r="J29" t="s">
        <v>3</v>
      </c>
      <c r="K29" t="s">
        <v>628</v>
      </c>
      <c r="L29">
        <v>1354</v>
      </c>
      <c r="N29">
        <v>1010</v>
      </c>
      <c r="O29" t="s">
        <v>228</v>
      </c>
      <c r="P29" t="s">
        <v>228</v>
      </c>
      <c r="Q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31</v>
      </c>
      <c r="AG29">
        <v>0</v>
      </c>
      <c r="AH29">
        <v>3</v>
      </c>
      <c r="AI29">
        <v>-1</v>
      </c>
      <c r="AJ29" t="s">
        <v>3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57249603</v>
      </c>
      <c r="C30">
        <v>57249582</v>
      </c>
      <c r="D30">
        <v>54719252</v>
      </c>
      <c r="E30">
        <v>1081</v>
      </c>
      <c r="F30">
        <v>1</v>
      </c>
      <c r="G30">
        <v>1081</v>
      </c>
      <c r="H30">
        <v>3</v>
      </c>
      <c r="I30" t="s">
        <v>627</v>
      </c>
      <c r="J30" t="s">
        <v>3</v>
      </c>
      <c r="K30" t="s">
        <v>629</v>
      </c>
      <c r="L30">
        <v>1354</v>
      </c>
      <c r="N30">
        <v>1010</v>
      </c>
      <c r="O30" t="s">
        <v>228</v>
      </c>
      <c r="P30" t="s">
        <v>228</v>
      </c>
      <c r="Q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31</v>
      </c>
      <c r="AG30">
        <v>0</v>
      </c>
      <c r="AH30">
        <v>3</v>
      </c>
      <c r="AI30">
        <v>-1</v>
      </c>
      <c r="AJ30" t="s">
        <v>3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ROW(Source!A33)</f>
        <v>33</v>
      </c>
      <c r="B31">
        <v>57249604</v>
      </c>
      <c r="C31">
        <v>57249582</v>
      </c>
      <c r="D31">
        <v>54719269</v>
      </c>
      <c r="E31">
        <v>1081</v>
      </c>
      <c r="F31">
        <v>1</v>
      </c>
      <c r="G31">
        <v>1081</v>
      </c>
      <c r="H31">
        <v>3</v>
      </c>
      <c r="I31" t="s">
        <v>630</v>
      </c>
      <c r="J31" t="s">
        <v>3</v>
      </c>
      <c r="K31" t="s">
        <v>631</v>
      </c>
      <c r="L31">
        <v>1301</v>
      </c>
      <c r="N31">
        <v>1003</v>
      </c>
      <c r="O31" t="s">
        <v>341</v>
      </c>
      <c r="P31" t="s">
        <v>341</v>
      </c>
      <c r="Q31">
        <v>1</v>
      </c>
      <c r="X31">
        <v>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31</v>
      </c>
      <c r="AG31">
        <v>0</v>
      </c>
      <c r="AH31">
        <v>3</v>
      </c>
      <c r="AI31">
        <v>-1</v>
      </c>
      <c r="AJ31" t="s">
        <v>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ROW(Source!A33)</f>
        <v>33</v>
      </c>
      <c r="B32">
        <v>57249605</v>
      </c>
      <c r="C32">
        <v>57249582</v>
      </c>
      <c r="D32">
        <v>54731408</v>
      </c>
      <c r="E32">
        <v>1081</v>
      </c>
      <c r="F32">
        <v>1</v>
      </c>
      <c r="G32">
        <v>1081</v>
      </c>
      <c r="H32">
        <v>3</v>
      </c>
      <c r="I32" t="s">
        <v>632</v>
      </c>
      <c r="J32" t="s">
        <v>3</v>
      </c>
      <c r="K32" t="s">
        <v>633</v>
      </c>
      <c r="L32">
        <v>1301</v>
      </c>
      <c r="N32">
        <v>1003</v>
      </c>
      <c r="O32" t="s">
        <v>341</v>
      </c>
      <c r="P32" t="s">
        <v>341</v>
      </c>
      <c r="Q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31</v>
      </c>
      <c r="AG32">
        <v>0</v>
      </c>
      <c r="AH32">
        <v>3</v>
      </c>
      <c r="AI32">
        <v>-1</v>
      </c>
      <c r="AJ32" t="s">
        <v>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ROW(Source!A34)</f>
        <v>34</v>
      </c>
      <c r="B33">
        <v>57249614</v>
      </c>
      <c r="C33">
        <v>57249607</v>
      </c>
      <c r="D33">
        <v>54702434</v>
      </c>
      <c r="E33">
        <v>1081</v>
      </c>
      <c r="F33">
        <v>1</v>
      </c>
      <c r="G33">
        <v>1081</v>
      </c>
      <c r="H33">
        <v>1</v>
      </c>
      <c r="I33" t="s">
        <v>457</v>
      </c>
      <c r="J33" t="s">
        <v>3</v>
      </c>
      <c r="K33" t="s">
        <v>458</v>
      </c>
      <c r="L33">
        <v>1191</v>
      </c>
      <c r="N33">
        <v>1013</v>
      </c>
      <c r="O33" t="s">
        <v>459</v>
      </c>
      <c r="P33" t="s">
        <v>459</v>
      </c>
      <c r="Q33">
        <v>1</v>
      </c>
      <c r="X33">
        <v>1.36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1</v>
      </c>
      <c r="AF33" t="s">
        <v>32</v>
      </c>
      <c r="AG33">
        <v>0.48960000000000004</v>
      </c>
      <c r="AH33">
        <v>2</v>
      </c>
      <c r="AI33">
        <v>57249608</v>
      </c>
      <c r="AJ33">
        <v>23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ROW(Source!A34)</f>
        <v>34</v>
      </c>
      <c r="B34">
        <v>57249615</v>
      </c>
      <c r="C34">
        <v>57249607</v>
      </c>
      <c r="D34">
        <v>54768460</v>
      </c>
      <c r="E34">
        <v>1</v>
      </c>
      <c r="F34">
        <v>1</v>
      </c>
      <c r="G34">
        <v>1081</v>
      </c>
      <c r="H34">
        <v>2</v>
      </c>
      <c r="I34" t="s">
        <v>460</v>
      </c>
      <c r="J34" t="s">
        <v>461</v>
      </c>
      <c r="K34" t="s">
        <v>462</v>
      </c>
      <c r="L34">
        <v>1368</v>
      </c>
      <c r="N34">
        <v>1011</v>
      </c>
      <c r="O34" t="s">
        <v>463</v>
      </c>
      <c r="P34" t="s">
        <v>463</v>
      </c>
      <c r="Q34">
        <v>1</v>
      </c>
      <c r="X34">
        <v>1.7000000000000001E-2</v>
      </c>
      <c r="Y34">
        <v>0</v>
      </c>
      <c r="Z34">
        <v>0.8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32</v>
      </c>
      <c r="AG34">
        <v>6.1200000000000004E-3</v>
      </c>
      <c r="AH34">
        <v>2</v>
      </c>
      <c r="AI34">
        <v>57249609</v>
      </c>
      <c r="AJ34">
        <v>24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57249616</v>
      </c>
      <c r="C35">
        <v>57249607</v>
      </c>
      <c r="D35">
        <v>54768426</v>
      </c>
      <c r="E35">
        <v>1</v>
      </c>
      <c r="F35">
        <v>1</v>
      </c>
      <c r="G35">
        <v>1081</v>
      </c>
      <c r="H35">
        <v>2</v>
      </c>
      <c r="I35" t="s">
        <v>485</v>
      </c>
      <c r="J35" t="s">
        <v>486</v>
      </c>
      <c r="K35" t="s">
        <v>487</v>
      </c>
      <c r="L35">
        <v>1368</v>
      </c>
      <c r="N35">
        <v>1011</v>
      </c>
      <c r="O35" t="s">
        <v>463</v>
      </c>
      <c r="P35" t="s">
        <v>463</v>
      </c>
      <c r="Q35">
        <v>1</v>
      </c>
      <c r="X35">
        <v>0.02</v>
      </c>
      <c r="Y35">
        <v>0</v>
      </c>
      <c r="Z35">
        <v>0.47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32</v>
      </c>
      <c r="AG35">
        <v>7.1999999999999998E-3</v>
      </c>
      <c r="AH35">
        <v>2</v>
      </c>
      <c r="AI35">
        <v>57249610</v>
      </c>
      <c r="AJ35">
        <v>25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ROW(Source!A34)</f>
        <v>34</v>
      </c>
      <c r="B36">
        <v>57249617</v>
      </c>
      <c r="C36">
        <v>57249607</v>
      </c>
      <c r="D36">
        <v>54739204</v>
      </c>
      <c r="E36">
        <v>1</v>
      </c>
      <c r="F36">
        <v>1</v>
      </c>
      <c r="G36">
        <v>1081</v>
      </c>
      <c r="H36">
        <v>3</v>
      </c>
      <c r="I36" t="s">
        <v>488</v>
      </c>
      <c r="J36" t="s">
        <v>489</v>
      </c>
      <c r="K36" t="s">
        <v>490</v>
      </c>
      <c r="L36">
        <v>1346</v>
      </c>
      <c r="N36">
        <v>1009</v>
      </c>
      <c r="O36" t="s">
        <v>320</v>
      </c>
      <c r="P36" t="s">
        <v>320</v>
      </c>
      <c r="Q36">
        <v>1</v>
      </c>
      <c r="X36">
        <v>6.2700000000000004E-3</v>
      </c>
      <c r="Y36">
        <v>27.62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31</v>
      </c>
      <c r="AG36">
        <v>0</v>
      </c>
      <c r="AH36">
        <v>2</v>
      </c>
      <c r="AI36">
        <v>57249611</v>
      </c>
      <c r="AJ36">
        <v>26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ROW(Source!A34)</f>
        <v>34</v>
      </c>
      <c r="B37">
        <v>57249618</v>
      </c>
      <c r="C37">
        <v>57249607</v>
      </c>
      <c r="D37">
        <v>54737923</v>
      </c>
      <c r="E37">
        <v>1</v>
      </c>
      <c r="F37">
        <v>1</v>
      </c>
      <c r="G37">
        <v>1081</v>
      </c>
      <c r="H37">
        <v>3</v>
      </c>
      <c r="I37" t="s">
        <v>479</v>
      </c>
      <c r="J37" t="s">
        <v>480</v>
      </c>
      <c r="K37" t="s">
        <v>481</v>
      </c>
      <c r="L37">
        <v>1348</v>
      </c>
      <c r="N37">
        <v>1009</v>
      </c>
      <c r="O37" t="s">
        <v>298</v>
      </c>
      <c r="P37" t="s">
        <v>298</v>
      </c>
      <c r="Q37">
        <v>1000</v>
      </c>
      <c r="X37">
        <v>1.0000000000000001E-5</v>
      </c>
      <c r="Y37">
        <v>64123.05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31</v>
      </c>
      <c r="AG37">
        <v>0</v>
      </c>
      <c r="AH37">
        <v>2</v>
      </c>
      <c r="AI37">
        <v>57249612</v>
      </c>
      <c r="AJ37">
        <v>27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ROW(Source!A34)</f>
        <v>34</v>
      </c>
      <c r="B38">
        <v>57249619</v>
      </c>
      <c r="C38">
        <v>57249607</v>
      </c>
      <c r="D38">
        <v>54747383</v>
      </c>
      <c r="E38">
        <v>1</v>
      </c>
      <c r="F38">
        <v>1</v>
      </c>
      <c r="G38">
        <v>1081</v>
      </c>
      <c r="H38">
        <v>3</v>
      </c>
      <c r="I38" t="s">
        <v>491</v>
      </c>
      <c r="J38" t="s">
        <v>492</v>
      </c>
      <c r="K38" t="s">
        <v>493</v>
      </c>
      <c r="L38">
        <v>1354</v>
      </c>
      <c r="N38">
        <v>1010</v>
      </c>
      <c r="O38" t="s">
        <v>228</v>
      </c>
      <c r="P38" t="s">
        <v>228</v>
      </c>
      <c r="Q38">
        <v>1</v>
      </c>
      <c r="X38">
        <v>0.1</v>
      </c>
      <c r="Y38">
        <v>15.25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31</v>
      </c>
      <c r="AG38">
        <v>0</v>
      </c>
      <c r="AH38">
        <v>2</v>
      </c>
      <c r="AI38">
        <v>57249613</v>
      </c>
      <c r="AJ38">
        <v>28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ROW(Source!A34)</f>
        <v>34</v>
      </c>
      <c r="B39">
        <v>57249620</v>
      </c>
      <c r="C39">
        <v>57249607</v>
      </c>
      <c r="D39">
        <v>54719258</v>
      </c>
      <c r="E39">
        <v>1081</v>
      </c>
      <c r="F39">
        <v>1</v>
      </c>
      <c r="G39">
        <v>1081</v>
      </c>
      <c r="H39">
        <v>3</v>
      </c>
      <c r="I39" t="s">
        <v>634</v>
      </c>
      <c r="J39" t="s">
        <v>3</v>
      </c>
      <c r="K39" t="s">
        <v>635</v>
      </c>
      <c r="L39">
        <v>1354</v>
      </c>
      <c r="N39">
        <v>1010</v>
      </c>
      <c r="O39" t="s">
        <v>228</v>
      </c>
      <c r="P39" t="s">
        <v>228</v>
      </c>
      <c r="Q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31</v>
      </c>
      <c r="AG39">
        <v>0</v>
      </c>
      <c r="AH39">
        <v>3</v>
      </c>
      <c r="AI39">
        <v>-1</v>
      </c>
      <c r="AJ39" t="s">
        <v>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ROW(Source!A35)</f>
        <v>35</v>
      </c>
      <c r="B40">
        <v>57249614</v>
      </c>
      <c r="C40">
        <v>57249607</v>
      </c>
      <c r="D40">
        <v>54702434</v>
      </c>
      <c r="E40">
        <v>1081</v>
      </c>
      <c r="F40">
        <v>1</v>
      </c>
      <c r="G40">
        <v>1081</v>
      </c>
      <c r="H40">
        <v>1</v>
      </c>
      <c r="I40" t="s">
        <v>457</v>
      </c>
      <c r="J40" t="s">
        <v>3</v>
      </c>
      <c r="K40" t="s">
        <v>458</v>
      </c>
      <c r="L40">
        <v>1191</v>
      </c>
      <c r="N40">
        <v>1013</v>
      </c>
      <c r="O40" t="s">
        <v>459</v>
      </c>
      <c r="P40" t="s">
        <v>459</v>
      </c>
      <c r="Q40">
        <v>1</v>
      </c>
      <c r="X40">
        <v>1.36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1</v>
      </c>
      <c r="AF40" t="s">
        <v>32</v>
      </c>
      <c r="AG40">
        <v>0.48960000000000004</v>
      </c>
      <c r="AH40">
        <v>2</v>
      </c>
      <c r="AI40">
        <v>57249608</v>
      </c>
      <c r="AJ40">
        <v>29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ROW(Source!A35)</f>
        <v>35</v>
      </c>
      <c r="B41">
        <v>57249615</v>
      </c>
      <c r="C41">
        <v>57249607</v>
      </c>
      <c r="D41">
        <v>54768460</v>
      </c>
      <c r="E41">
        <v>1</v>
      </c>
      <c r="F41">
        <v>1</v>
      </c>
      <c r="G41">
        <v>1081</v>
      </c>
      <c r="H41">
        <v>2</v>
      </c>
      <c r="I41" t="s">
        <v>460</v>
      </c>
      <c r="J41" t="s">
        <v>461</v>
      </c>
      <c r="K41" t="s">
        <v>462</v>
      </c>
      <c r="L41">
        <v>1368</v>
      </c>
      <c r="N41">
        <v>1011</v>
      </c>
      <c r="O41" t="s">
        <v>463</v>
      </c>
      <c r="P41" t="s">
        <v>463</v>
      </c>
      <c r="Q41">
        <v>1</v>
      </c>
      <c r="X41">
        <v>1.7000000000000001E-2</v>
      </c>
      <c r="Y41">
        <v>0</v>
      </c>
      <c r="Z41">
        <v>0.8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32</v>
      </c>
      <c r="AG41">
        <v>6.1200000000000004E-3</v>
      </c>
      <c r="AH41">
        <v>2</v>
      </c>
      <c r="AI41">
        <v>57249609</v>
      </c>
      <c r="AJ41">
        <v>30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ROW(Source!A35)</f>
        <v>35</v>
      </c>
      <c r="B42">
        <v>57249616</v>
      </c>
      <c r="C42">
        <v>57249607</v>
      </c>
      <c r="D42">
        <v>54768426</v>
      </c>
      <c r="E42">
        <v>1</v>
      </c>
      <c r="F42">
        <v>1</v>
      </c>
      <c r="G42">
        <v>1081</v>
      </c>
      <c r="H42">
        <v>2</v>
      </c>
      <c r="I42" t="s">
        <v>485</v>
      </c>
      <c r="J42" t="s">
        <v>486</v>
      </c>
      <c r="K42" t="s">
        <v>487</v>
      </c>
      <c r="L42">
        <v>1368</v>
      </c>
      <c r="N42">
        <v>1011</v>
      </c>
      <c r="O42" t="s">
        <v>463</v>
      </c>
      <c r="P42" t="s">
        <v>463</v>
      </c>
      <c r="Q42">
        <v>1</v>
      </c>
      <c r="X42">
        <v>0.02</v>
      </c>
      <c r="Y42">
        <v>0</v>
      </c>
      <c r="Z42">
        <v>0.47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32</v>
      </c>
      <c r="AG42">
        <v>7.1999999999999998E-3</v>
      </c>
      <c r="AH42">
        <v>2</v>
      </c>
      <c r="AI42">
        <v>57249610</v>
      </c>
      <c r="AJ42">
        <v>31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ROW(Source!A35)</f>
        <v>35</v>
      </c>
      <c r="B43">
        <v>57249617</v>
      </c>
      <c r="C43">
        <v>57249607</v>
      </c>
      <c r="D43">
        <v>54739204</v>
      </c>
      <c r="E43">
        <v>1</v>
      </c>
      <c r="F43">
        <v>1</v>
      </c>
      <c r="G43">
        <v>1081</v>
      </c>
      <c r="H43">
        <v>3</v>
      </c>
      <c r="I43" t="s">
        <v>488</v>
      </c>
      <c r="J43" t="s">
        <v>489</v>
      </c>
      <c r="K43" t="s">
        <v>490</v>
      </c>
      <c r="L43">
        <v>1346</v>
      </c>
      <c r="N43">
        <v>1009</v>
      </c>
      <c r="O43" t="s">
        <v>320</v>
      </c>
      <c r="P43" t="s">
        <v>320</v>
      </c>
      <c r="Q43">
        <v>1</v>
      </c>
      <c r="X43">
        <v>6.2700000000000004E-3</v>
      </c>
      <c r="Y43">
        <v>27.62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31</v>
      </c>
      <c r="AG43">
        <v>0</v>
      </c>
      <c r="AH43">
        <v>2</v>
      </c>
      <c r="AI43">
        <v>57249611</v>
      </c>
      <c r="AJ43">
        <v>32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ROW(Source!A35)</f>
        <v>35</v>
      </c>
      <c r="B44">
        <v>57249618</v>
      </c>
      <c r="C44">
        <v>57249607</v>
      </c>
      <c r="D44">
        <v>54737923</v>
      </c>
      <c r="E44">
        <v>1</v>
      </c>
      <c r="F44">
        <v>1</v>
      </c>
      <c r="G44">
        <v>1081</v>
      </c>
      <c r="H44">
        <v>3</v>
      </c>
      <c r="I44" t="s">
        <v>479</v>
      </c>
      <c r="J44" t="s">
        <v>480</v>
      </c>
      <c r="K44" t="s">
        <v>481</v>
      </c>
      <c r="L44">
        <v>1348</v>
      </c>
      <c r="N44">
        <v>1009</v>
      </c>
      <c r="O44" t="s">
        <v>298</v>
      </c>
      <c r="P44" t="s">
        <v>298</v>
      </c>
      <c r="Q44">
        <v>1000</v>
      </c>
      <c r="X44">
        <v>1.0000000000000001E-5</v>
      </c>
      <c r="Y44">
        <v>64123.05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31</v>
      </c>
      <c r="AG44">
        <v>0</v>
      </c>
      <c r="AH44">
        <v>2</v>
      </c>
      <c r="AI44">
        <v>57249612</v>
      </c>
      <c r="AJ44">
        <v>33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ROW(Source!A35)</f>
        <v>35</v>
      </c>
      <c r="B45">
        <v>57249619</v>
      </c>
      <c r="C45">
        <v>57249607</v>
      </c>
      <c r="D45">
        <v>54747383</v>
      </c>
      <c r="E45">
        <v>1</v>
      </c>
      <c r="F45">
        <v>1</v>
      </c>
      <c r="G45">
        <v>1081</v>
      </c>
      <c r="H45">
        <v>3</v>
      </c>
      <c r="I45" t="s">
        <v>491</v>
      </c>
      <c r="J45" t="s">
        <v>492</v>
      </c>
      <c r="K45" t="s">
        <v>493</v>
      </c>
      <c r="L45">
        <v>1354</v>
      </c>
      <c r="N45">
        <v>1010</v>
      </c>
      <c r="O45" t="s">
        <v>228</v>
      </c>
      <c r="P45" t="s">
        <v>228</v>
      </c>
      <c r="Q45">
        <v>1</v>
      </c>
      <c r="X45">
        <v>0.1</v>
      </c>
      <c r="Y45">
        <v>15.25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31</v>
      </c>
      <c r="AG45">
        <v>0</v>
      </c>
      <c r="AH45">
        <v>2</v>
      </c>
      <c r="AI45">
        <v>57249613</v>
      </c>
      <c r="AJ45">
        <v>34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ROW(Source!A35)</f>
        <v>35</v>
      </c>
      <c r="B46">
        <v>57249620</v>
      </c>
      <c r="C46">
        <v>57249607</v>
      </c>
      <c r="D46">
        <v>54719258</v>
      </c>
      <c r="E46">
        <v>1081</v>
      </c>
      <c r="F46">
        <v>1</v>
      </c>
      <c r="G46">
        <v>1081</v>
      </c>
      <c r="H46">
        <v>3</v>
      </c>
      <c r="I46" t="s">
        <v>634</v>
      </c>
      <c r="J46" t="s">
        <v>3</v>
      </c>
      <c r="K46" t="s">
        <v>635</v>
      </c>
      <c r="L46">
        <v>1354</v>
      </c>
      <c r="N46">
        <v>1010</v>
      </c>
      <c r="O46" t="s">
        <v>228</v>
      </c>
      <c r="P46" t="s">
        <v>228</v>
      </c>
      <c r="Q46">
        <v>1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31</v>
      </c>
      <c r="AG46">
        <v>0</v>
      </c>
      <c r="AH46">
        <v>3</v>
      </c>
      <c r="AI46">
        <v>-1</v>
      </c>
      <c r="AJ46" t="s">
        <v>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ROW(Source!A36)</f>
        <v>36</v>
      </c>
      <c r="B47">
        <v>57249623</v>
      </c>
      <c r="C47">
        <v>57249621</v>
      </c>
      <c r="D47">
        <v>54702434</v>
      </c>
      <c r="E47">
        <v>1081</v>
      </c>
      <c r="F47">
        <v>1</v>
      </c>
      <c r="G47">
        <v>1081</v>
      </c>
      <c r="H47">
        <v>1</v>
      </c>
      <c r="I47" t="s">
        <v>457</v>
      </c>
      <c r="J47" t="s">
        <v>3</v>
      </c>
      <c r="K47" t="s">
        <v>458</v>
      </c>
      <c r="L47">
        <v>1191</v>
      </c>
      <c r="N47">
        <v>1013</v>
      </c>
      <c r="O47" t="s">
        <v>459</v>
      </c>
      <c r="P47" t="s">
        <v>459</v>
      </c>
      <c r="Q47">
        <v>1</v>
      </c>
      <c r="X47">
        <v>1.68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32</v>
      </c>
      <c r="AG47">
        <v>0.6048</v>
      </c>
      <c r="AH47">
        <v>2</v>
      </c>
      <c r="AI47">
        <v>57249622</v>
      </c>
      <c r="AJ47">
        <v>35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ROW(Source!A37)</f>
        <v>37</v>
      </c>
      <c r="B48">
        <v>57249623</v>
      </c>
      <c r="C48">
        <v>57249621</v>
      </c>
      <c r="D48">
        <v>54702434</v>
      </c>
      <c r="E48">
        <v>1081</v>
      </c>
      <c r="F48">
        <v>1</v>
      </c>
      <c r="G48">
        <v>1081</v>
      </c>
      <c r="H48">
        <v>1</v>
      </c>
      <c r="I48" t="s">
        <v>457</v>
      </c>
      <c r="J48" t="s">
        <v>3</v>
      </c>
      <c r="K48" t="s">
        <v>458</v>
      </c>
      <c r="L48">
        <v>1191</v>
      </c>
      <c r="N48">
        <v>1013</v>
      </c>
      <c r="O48" t="s">
        <v>459</v>
      </c>
      <c r="P48" t="s">
        <v>459</v>
      </c>
      <c r="Q48">
        <v>1</v>
      </c>
      <c r="X48">
        <v>1.68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1</v>
      </c>
      <c r="AF48" t="s">
        <v>32</v>
      </c>
      <c r="AG48">
        <v>0.6048</v>
      </c>
      <c r="AH48">
        <v>2</v>
      </c>
      <c r="AI48">
        <v>57249622</v>
      </c>
      <c r="AJ48">
        <v>36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ROW(Source!A38)</f>
        <v>38</v>
      </c>
      <c r="B49">
        <v>57249628</v>
      </c>
      <c r="C49">
        <v>57249624</v>
      </c>
      <c r="D49">
        <v>54702434</v>
      </c>
      <c r="E49">
        <v>1081</v>
      </c>
      <c r="F49">
        <v>1</v>
      </c>
      <c r="G49">
        <v>1081</v>
      </c>
      <c r="H49">
        <v>1</v>
      </c>
      <c r="I49" t="s">
        <v>457</v>
      </c>
      <c r="J49" t="s">
        <v>3</v>
      </c>
      <c r="K49" t="s">
        <v>458</v>
      </c>
      <c r="L49">
        <v>1191</v>
      </c>
      <c r="N49">
        <v>1013</v>
      </c>
      <c r="O49" t="s">
        <v>459</v>
      </c>
      <c r="P49" t="s">
        <v>459</v>
      </c>
      <c r="Q49">
        <v>1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1</v>
      </c>
      <c r="AF49" t="s">
        <v>32</v>
      </c>
      <c r="AG49">
        <v>0.36</v>
      </c>
      <c r="AH49">
        <v>2</v>
      </c>
      <c r="AI49">
        <v>57249625</v>
      </c>
      <c r="AJ49">
        <v>37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ROW(Source!A38)</f>
        <v>38</v>
      </c>
      <c r="B50">
        <v>57249629</v>
      </c>
      <c r="C50">
        <v>57249624</v>
      </c>
      <c r="D50">
        <v>54737923</v>
      </c>
      <c r="E50">
        <v>1</v>
      </c>
      <c r="F50">
        <v>1</v>
      </c>
      <c r="G50">
        <v>1081</v>
      </c>
      <c r="H50">
        <v>3</v>
      </c>
      <c r="I50" t="s">
        <v>479</v>
      </c>
      <c r="J50" t="s">
        <v>480</v>
      </c>
      <c r="K50" t="s">
        <v>481</v>
      </c>
      <c r="L50">
        <v>1348</v>
      </c>
      <c r="N50">
        <v>1009</v>
      </c>
      <c r="O50" t="s">
        <v>298</v>
      </c>
      <c r="P50" t="s">
        <v>298</v>
      </c>
      <c r="Q50">
        <v>1000</v>
      </c>
      <c r="X50">
        <v>1.0000000000000001E-5</v>
      </c>
      <c r="Y50">
        <v>64123.05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 t="s">
        <v>31</v>
      </c>
      <c r="AG50">
        <v>0</v>
      </c>
      <c r="AH50">
        <v>2</v>
      </c>
      <c r="AI50">
        <v>57249626</v>
      </c>
      <c r="AJ50">
        <v>38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ROW(Source!A38)</f>
        <v>38</v>
      </c>
      <c r="B51">
        <v>57249630</v>
      </c>
      <c r="C51">
        <v>57249624</v>
      </c>
      <c r="D51">
        <v>54766072</v>
      </c>
      <c r="E51">
        <v>1</v>
      </c>
      <c r="F51">
        <v>1</v>
      </c>
      <c r="G51">
        <v>1081</v>
      </c>
      <c r="H51">
        <v>3</v>
      </c>
      <c r="I51" t="s">
        <v>494</v>
      </c>
      <c r="J51" t="s">
        <v>495</v>
      </c>
      <c r="K51" t="s">
        <v>496</v>
      </c>
      <c r="L51">
        <v>1303</v>
      </c>
      <c r="N51">
        <v>1003</v>
      </c>
      <c r="O51" t="s">
        <v>390</v>
      </c>
      <c r="P51" t="s">
        <v>390</v>
      </c>
      <c r="Q51">
        <v>1000</v>
      </c>
      <c r="X51">
        <v>2E-3</v>
      </c>
      <c r="Y51">
        <v>516.63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31</v>
      </c>
      <c r="AG51">
        <v>0</v>
      </c>
      <c r="AH51">
        <v>2</v>
      </c>
      <c r="AI51">
        <v>57249627</v>
      </c>
      <c r="AJ51">
        <v>39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ROW(Source!A38)</f>
        <v>38</v>
      </c>
      <c r="B52">
        <v>57249631</v>
      </c>
      <c r="C52">
        <v>57249624</v>
      </c>
      <c r="D52">
        <v>54709555</v>
      </c>
      <c r="E52">
        <v>1081</v>
      </c>
      <c r="F52">
        <v>1</v>
      </c>
      <c r="G52">
        <v>1081</v>
      </c>
      <c r="H52">
        <v>3</v>
      </c>
      <c r="I52" t="s">
        <v>636</v>
      </c>
      <c r="J52" t="s">
        <v>3</v>
      </c>
      <c r="K52" t="s">
        <v>637</v>
      </c>
      <c r="L52">
        <v>1354</v>
      </c>
      <c r="N52">
        <v>1010</v>
      </c>
      <c r="O52" t="s">
        <v>228</v>
      </c>
      <c r="P52" t="s">
        <v>228</v>
      </c>
      <c r="Q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31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ROW(Source!A39)</f>
        <v>39</v>
      </c>
      <c r="B53">
        <v>57249628</v>
      </c>
      <c r="C53">
        <v>57249624</v>
      </c>
      <c r="D53">
        <v>54702434</v>
      </c>
      <c r="E53">
        <v>1081</v>
      </c>
      <c r="F53">
        <v>1</v>
      </c>
      <c r="G53">
        <v>1081</v>
      </c>
      <c r="H53">
        <v>1</v>
      </c>
      <c r="I53" t="s">
        <v>457</v>
      </c>
      <c r="J53" t="s">
        <v>3</v>
      </c>
      <c r="K53" t="s">
        <v>458</v>
      </c>
      <c r="L53">
        <v>1191</v>
      </c>
      <c r="N53">
        <v>1013</v>
      </c>
      <c r="O53" t="s">
        <v>459</v>
      </c>
      <c r="P53" t="s">
        <v>459</v>
      </c>
      <c r="Q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1</v>
      </c>
      <c r="AF53" t="s">
        <v>32</v>
      </c>
      <c r="AG53">
        <v>0.36</v>
      </c>
      <c r="AH53">
        <v>2</v>
      </c>
      <c r="AI53">
        <v>57249625</v>
      </c>
      <c r="AJ53">
        <v>40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ROW(Source!A39)</f>
        <v>39</v>
      </c>
      <c r="B54">
        <v>57249629</v>
      </c>
      <c r="C54">
        <v>57249624</v>
      </c>
      <c r="D54">
        <v>54737923</v>
      </c>
      <c r="E54">
        <v>1</v>
      </c>
      <c r="F54">
        <v>1</v>
      </c>
      <c r="G54">
        <v>1081</v>
      </c>
      <c r="H54">
        <v>3</v>
      </c>
      <c r="I54" t="s">
        <v>479</v>
      </c>
      <c r="J54" t="s">
        <v>480</v>
      </c>
      <c r="K54" t="s">
        <v>481</v>
      </c>
      <c r="L54">
        <v>1348</v>
      </c>
      <c r="N54">
        <v>1009</v>
      </c>
      <c r="O54" t="s">
        <v>298</v>
      </c>
      <c r="P54" t="s">
        <v>298</v>
      </c>
      <c r="Q54">
        <v>1000</v>
      </c>
      <c r="X54">
        <v>1.0000000000000001E-5</v>
      </c>
      <c r="Y54">
        <v>64123.05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31</v>
      </c>
      <c r="AG54">
        <v>0</v>
      </c>
      <c r="AH54">
        <v>2</v>
      </c>
      <c r="AI54">
        <v>57249626</v>
      </c>
      <c r="AJ54">
        <v>41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ROW(Source!A39)</f>
        <v>39</v>
      </c>
      <c r="B55">
        <v>57249630</v>
      </c>
      <c r="C55">
        <v>57249624</v>
      </c>
      <c r="D55">
        <v>54766072</v>
      </c>
      <c r="E55">
        <v>1</v>
      </c>
      <c r="F55">
        <v>1</v>
      </c>
      <c r="G55">
        <v>1081</v>
      </c>
      <c r="H55">
        <v>3</v>
      </c>
      <c r="I55" t="s">
        <v>494</v>
      </c>
      <c r="J55" t="s">
        <v>495</v>
      </c>
      <c r="K55" t="s">
        <v>496</v>
      </c>
      <c r="L55">
        <v>1303</v>
      </c>
      <c r="N55">
        <v>1003</v>
      </c>
      <c r="O55" t="s">
        <v>390</v>
      </c>
      <c r="P55" t="s">
        <v>390</v>
      </c>
      <c r="Q55">
        <v>1000</v>
      </c>
      <c r="X55">
        <v>2E-3</v>
      </c>
      <c r="Y55">
        <v>516.63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31</v>
      </c>
      <c r="AG55">
        <v>0</v>
      </c>
      <c r="AH55">
        <v>2</v>
      </c>
      <c r="AI55">
        <v>57249627</v>
      </c>
      <c r="AJ55">
        <v>42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ROW(Source!A39)</f>
        <v>39</v>
      </c>
      <c r="B56">
        <v>57249631</v>
      </c>
      <c r="C56">
        <v>57249624</v>
      </c>
      <c r="D56">
        <v>54709555</v>
      </c>
      <c r="E56">
        <v>1081</v>
      </c>
      <c r="F56">
        <v>1</v>
      </c>
      <c r="G56">
        <v>1081</v>
      </c>
      <c r="H56">
        <v>3</v>
      </c>
      <c r="I56" t="s">
        <v>636</v>
      </c>
      <c r="J56" t="s">
        <v>3</v>
      </c>
      <c r="K56" t="s">
        <v>637</v>
      </c>
      <c r="L56">
        <v>1354</v>
      </c>
      <c r="N56">
        <v>1010</v>
      </c>
      <c r="O56" t="s">
        <v>228</v>
      </c>
      <c r="P56" t="s">
        <v>228</v>
      </c>
      <c r="Q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31</v>
      </c>
      <c r="AG56">
        <v>0</v>
      </c>
      <c r="AH56">
        <v>3</v>
      </c>
      <c r="AI56">
        <v>-1</v>
      </c>
      <c r="AJ56" t="s">
        <v>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ROW(Source!A40)</f>
        <v>40</v>
      </c>
      <c r="B57">
        <v>57249635</v>
      </c>
      <c r="C57">
        <v>57249633</v>
      </c>
      <c r="D57">
        <v>54702434</v>
      </c>
      <c r="E57">
        <v>1081</v>
      </c>
      <c r="F57">
        <v>1</v>
      </c>
      <c r="G57">
        <v>1081</v>
      </c>
      <c r="H57">
        <v>1</v>
      </c>
      <c r="I57" t="s">
        <v>457</v>
      </c>
      <c r="J57" t="s">
        <v>3</v>
      </c>
      <c r="K57" t="s">
        <v>458</v>
      </c>
      <c r="L57">
        <v>1191</v>
      </c>
      <c r="N57">
        <v>1013</v>
      </c>
      <c r="O57" t="s">
        <v>459</v>
      </c>
      <c r="P57" t="s">
        <v>459</v>
      </c>
      <c r="Q57">
        <v>1</v>
      </c>
      <c r="X57">
        <v>0.84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1</v>
      </c>
      <c r="AF57" t="s">
        <v>32</v>
      </c>
      <c r="AG57">
        <v>0.3024</v>
      </c>
      <c r="AH57">
        <v>2</v>
      </c>
      <c r="AI57">
        <v>57249634</v>
      </c>
      <c r="AJ57">
        <v>43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ROW(Source!A41)</f>
        <v>41</v>
      </c>
      <c r="B58">
        <v>57249635</v>
      </c>
      <c r="C58">
        <v>57249633</v>
      </c>
      <c r="D58">
        <v>54702434</v>
      </c>
      <c r="E58">
        <v>1081</v>
      </c>
      <c r="F58">
        <v>1</v>
      </c>
      <c r="G58">
        <v>1081</v>
      </c>
      <c r="H58">
        <v>1</v>
      </c>
      <c r="I58" t="s">
        <v>457</v>
      </c>
      <c r="J58" t="s">
        <v>3</v>
      </c>
      <c r="K58" t="s">
        <v>458</v>
      </c>
      <c r="L58">
        <v>1191</v>
      </c>
      <c r="N58">
        <v>1013</v>
      </c>
      <c r="O58" t="s">
        <v>459</v>
      </c>
      <c r="P58" t="s">
        <v>459</v>
      </c>
      <c r="Q58">
        <v>1</v>
      </c>
      <c r="X58">
        <v>0.84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1</v>
      </c>
      <c r="AF58" t="s">
        <v>32</v>
      </c>
      <c r="AG58">
        <v>0.3024</v>
      </c>
      <c r="AH58">
        <v>2</v>
      </c>
      <c r="AI58">
        <v>57249634</v>
      </c>
      <c r="AJ58">
        <v>44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ROW(Source!A42)</f>
        <v>42</v>
      </c>
      <c r="B59">
        <v>57249644</v>
      </c>
      <c r="C59">
        <v>57249637</v>
      </c>
      <c r="D59">
        <v>54702434</v>
      </c>
      <c r="E59">
        <v>1081</v>
      </c>
      <c r="F59">
        <v>1</v>
      </c>
      <c r="G59">
        <v>1081</v>
      </c>
      <c r="H59">
        <v>1</v>
      </c>
      <c r="I59" t="s">
        <v>457</v>
      </c>
      <c r="J59" t="s">
        <v>3</v>
      </c>
      <c r="K59" t="s">
        <v>458</v>
      </c>
      <c r="L59">
        <v>1191</v>
      </c>
      <c r="N59">
        <v>1013</v>
      </c>
      <c r="O59" t="s">
        <v>459</v>
      </c>
      <c r="P59" t="s">
        <v>459</v>
      </c>
      <c r="Q59">
        <v>1</v>
      </c>
      <c r="X59">
        <v>84.67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</v>
      </c>
      <c r="AF59" t="s">
        <v>32</v>
      </c>
      <c r="AG59">
        <v>30.481199999999998</v>
      </c>
      <c r="AH59">
        <v>2</v>
      </c>
      <c r="AI59">
        <v>57249638</v>
      </c>
      <c r="AJ59">
        <v>45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ROW(Source!A42)</f>
        <v>42</v>
      </c>
      <c r="B60">
        <v>57249645</v>
      </c>
      <c r="C60">
        <v>57249637</v>
      </c>
      <c r="D60">
        <v>54768339</v>
      </c>
      <c r="E60">
        <v>1</v>
      </c>
      <c r="F60">
        <v>1</v>
      </c>
      <c r="G60">
        <v>1081</v>
      </c>
      <c r="H60">
        <v>2</v>
      </c>
      <c r="I60" t="s">
        <v>497</v>
      </c>
      <c r="J60" t="s">
        <v>498</v>
      </c>
      <c r="K60" t="s">
        <v>499</v>
      </c>
      <c r="L60">
        <v>1368</v>
      </c>
      <c r="N60">
        <v>1011</v>
      </c>
      <c r="O60" t="s">
        <v>463</v>
      </c>
      <c r="P60" t="s">
        <v>463</v>
      </c>
      <c r="Q60">
        <v>1</v>
      </c>
      <c r="X60">
        <v>1.03</v>
      </c>
      <c r="Y60">
        <v>0</v>
      </c>
      <c r="Z60">
        <v>83.1</v>
      </c>
      <c r="AA60">
        <v>12.62</v>
      </c>
      <c r="AB60">
        <v>0</v>
      </c>
      <c r="AC60">
        <v>0</v>
      </c>
      <c r="AD60">
        <v>1</v>
      </c>
      <c r="AE60">
        <v>0</v>
      </c>
      <c r="AF60" t="s">
        <v>32</v>
      </c>
      <c r="AG60">
        <v>0.37079999999999996</v>
      </c>
      <c r="AH60">
        <v>2</v>
      </c>
      <c r="AI60">
        <v>57249639</v>
      </c>
      <c r="AJ60">
        <v>46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ROW(Source!A42)</f>
        <v>42</v>
      </c>
      <c r="B61">
        <v>57249646</v>
      </c>
      <c r="C61">
        <v>57249637</v>
      </c>
      <c r="D61">
        <v>54768454</v>
      </c>
      <c r="E61">
        <v>1</v>
      </c>
      <c r="F61">
        <v>1</v>
      </c>
      <c r="G61">
        <v>1081</v>
      </c>
      <c r="H61">
        <v>2</v>
      </c>
      <c r="I61" t="s">
        <v>501</v>
      </c>
      <c r="J61" t="s">
        <v>502</v>
      </c>
      <c r="K61" t="s">
        <v>503</v>
      </c>
      <c r="L61">
        <v>1368</v>
      </c>
      <c r="N61">
        <v>1011</v>
      </c>
      <c r="O61" t="s">
        <v>463</v>
      </c>
      <c r="P61" t="s">
        <v>463</v>
      </c>
      <c r="Q61">
        <v>1</v>
      </c>
      <c r="X61">
        <v>22.08</v>
      </c>
      <c r="Y61">
        <v>0</v>
      </c>
      <c r="Z61">
        <v>0.35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32</v>
      </c>
      <c r="AG61">
        <v>7.9487999999999994</v>
      </c>
      <c r="AH61">
        <v>2</v>
      </c>
      <c r="AI61">
        <v>57249640</v>
      </c>
      <c r="AJ61">
        <v>47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ROW(Source!A42)</f>
        <v>42</v>
      </c>
      <c r="B62">
        <v>57249647</v>
      </c>
      <c r="C62">
        <v>57249637</v>
      </c>
      <c r="D62">
        <v>54738554</v>
      </c>
      <c r="E62">
        <v>1</v>
      </c>
      <c r="F62">
        <v>1</v>
      </c>
      <c r="G62">
        <v>1081</v>
      </c>
      <c r="H62">
        <v>3</v>
      </c>
      <c r="I62" t="s">
        <v>504</v>
      </c>
      <c r="J62" t="s">
        <v>505</v>
      </c>
      <c r="K62" t="s">
        <v>506</v>
      </c>
      <c r="L62">
        <v>1346</v>
      </c>
      <c r="N62">
        <v>1009</v>
      </c>
      <c r="O62" t="s">
        <v>320</v>
      </c>
      <c r="P62" t="s">
        <v>320</v>
      </c>
      <c r="Q62">
        <v>1</v>
      </c>
      <c r="X62">
        <v>0.21</v>
      </c>
      <c r="Y62">
        <v>159.06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31</v>
      </c>
      <c r="AG62">
        <v>0</v>
      </c>
      <c r="AH62">
        <v>2</v>
      </c>
      <c r="AI62">
        <v>57249641</v>
      </c>
      <c r="AJ62">
        <v>48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ROW(Source!A42)</f>
        <v>42</v>
      </c>
      <c r="B63">
        <v>57249648</v>
      </c>
      <c r="C63">
        <v>57249637</v>
      </c>
      <c r="D63">
        <v>54737470</v>
      </c>
      <c r="E63">
        <v>1</v>
      </c>
      <c r="F63">
        <v>1</v>
      </c>
      <c r="G63">
        <v>1081</v>
      </c>
      <c r="H63">
        <v>3</v>
      </c>
      <c r="I63" t="s">
        <v>467</v>
      </c>
      <c r="J63" t="s">
        <v>468</v>
      </c>
      <c r="K63" t="s">
        <v>469</v>
      </c>
      <c r="L63">
        <v>1354</v>
      </c>
      <c r="N63">
        <v>1010</v>
      </c>
      <c r="O63" t="s">
        <v>228</v>
      </c>
      <c r="P63" t="s">
        <v>228</v>
      </c>
      <c r="Q63">
        <v>1</v>
      </c>
      <c r="X63">
        <v>4.08</v>
      </c>
      <c r="Y63">
        <v>0.89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31</v>
      </c>
      <c r="AG63">
        <v>0</v>
      </c>
      <c r="AH63">
        <v>2</v>
      </c>
      <c r="AI63">
        <v>57249642</v>
      </c>
      <c r="AJ63">
        <v>49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ROW(Source!A42)</f>
        <v>42</v>
      </c>
      <c r="B64">
        <v>57249649</v>
      </c>
      <c r="C64">
        <v>57249637</v>
      </c>
      <c r="D64">
        <v>54766003</v>
      </c>
      <c r="E64">
        <v>1</v>
      </c>
      <c r="F64">
        <v>1</v>
      </c>
      <c r="G64">
        <v>1081</v>
      </c>
      <c r="H64">
        <v>3</v>
      </c>
      <c r="I64" t="s">
        <v>507</v>
      </c>
      <c r="J64" t="s">
        <v>508</v>
      </c>
      <c r="K64" t="s">
        <v>509</v>
      </c>
      <c r="L64">
        <v>1303</v>
      </c>
      <c r="N64">
        <v>1003</v>
      </c>
      <c r="O64" t="s">
        <v>390</v>
      </c>
      <c r="P64" t="s">
        <v>390</v>
      </c>
      <c r="Q64">
        <v>1000</v>
      </c>
      <c r="X64">
        <v>1.5299999999999999E-2</v>
      </c>
      <c r="Y64">
        <v>2897.31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 t="s">
        <v>31</v>
      </c>
      <c r="AG64">
        <v>0</v>
      </c>
      <c r="AH64">
        <v>2</v>
      </c>
      <c r="AI64">
        <v>57249643</v>
      </c>
      <c r="AJ64">
        <v>50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ROW(Source!A42)</f>
        <v>42</v>
      </c>
      <c r="B65">
        <v>57249650</v>
      </c>
      <c r="C65">
        <v>57249637</v>
      </c>
      <c r="D65">
        <v>54711904</v>
      </c>
      <c r="E65">
        <v>1081</v>
      </c>
      <c r="F65">
        <v>1</v>
      </c>
      <c r="G65">
        <v>1081</v>
      </c>
      <c r="H65">
        <v>3</v>
      </c>
      <c r="I65" t="s">
        <v>638</v>
      </c>
      <c r="J65" t="s">
        <v>3</v>
      </c>
      <c r="K65" t="s">
        <v>639</v>
      </c>
      <c r="L65">
        <v>1354</v>
      </c>
      <c r="N65">
        <v>1010</v>
      </c>
      <c r="O65" t="s">
        <v>228</v>
      </c>
      <c r="P65" t="s">
        <v>228</v>
      </c>
      <c r="Q65">
        <v>1</v>
      </c>
      <c r="X65">
        <v>100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31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ROW(Source!A42)</f>
        <v>42</v>
      </c>
      <c r="B66">
        <v>57249651</v>
      </c>
      <c r="C66">
        <v>57249637</v>
      </c>
      <c r="D66">
        <v>54712418</v>
      </c>
      <c r="E66">
        <v>1081</v>
      </c>
      <c r="F66">
        <v>1</v>
      </c>
      <c r="G66">
        <v>1081</v>
      </c>
      <c r="H66">
        <v>3</v>
      </c>
      <c r="I66" t="s">
        <v>640</v>
      </c>
      <c r="J66" t="s">
        <v>3</v>
      </c>
      <c r="K66" t="s">
        <v>641</v>
      </c>
      <c r="L66">
        <v>1358</v>
      </c>
      <c r="N66">
        <v>1010</v>
      </c>
      <c r="O66" t="s">
        <v>82</v>
      </c>
      <c r="P66" t="s">
        <v>82</v>
      </c>
      <c r="Q66">
        <v>10</v>
      </c>
      <c r="X66">
        <v>10.199999999999999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31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ROW(Source!A43)</f>
        <v>43</v>
      </c>
      <c r="B67">
        <v>57249644</v>
      </c>
      <c r="C67">
        <v>57249637</v>
      </c>
      <c r="D67">
        <v>54702434</v>
      </c>
      <c r="E67">
        <v>1081</v>
      </c>
      <c r="F67">
        <v>1</v>
      </c>
      <c r="G67">
        <v>1081</v>
      </c>
      <c r="H67">
        <v>1</v>
      </c>
      <c r="I67" t="s">
        <v>457</v>
      </c>
      <c r="J67" t="s">
        <v>3</v>
      </c>
      <c r="K67" t="s">
        <v>458</v>
      </c>
      <c r="L67">
        <v>1191</v>
      </c>
      <c r="N67">
        <v>1013</v>
      </c>
      <c r="O67" t="s">
        <v>459</v>
      </c>
      <c r="P67" t="s">
        <v>459</v>
      </c>
      <c r="Q67">
        <v>1</v>
      </c>
      <c r="X67">
        <v>84.67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32</v>
      </c>
      <c r="AG67">
        <v>30.481199999999998</v>
      </c>
      <c r="AH67">
        <v>2</v>
      </c>
      <c r="AI67">
        <v>57249638</v>
      </c>
      <c r="AJ67">
        <v>51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ROW(Source!A43)</f>
        <v>43</v>
      </c>
      <c r="B68">
        <v>57249645</v>
      </c>
      <c r="C68">
        <v>57249637</v>
      </c>
      <c r="D68">
        <v>54768339</v>
      </c>
      <c r="E68">
        <v>1</v>
      </c>
      <c r="F68">
        <v>1</v>
      </c>
      <c r="G68">
        <v>1081</v>
      </c>
      <c r="H68">
        <v>2</v>
      </c>
      <c r="I68" t="s">
        <v>497</v>
      </c>
      <c r="J68" t="s">
        <v>498</v>
      </c>
      <c r="K68" t="s">
        <v>499</v>
      </c>
      <c r="L68">
        <v>1368</v>
      </c>
      <c r="N68">
        <v>1011</v>
      </c>
      <c r="O68" t="s">
        <v>463</v>
      </c>
      <c r="P68" t="s">
        <v>463</v>
      </c>
      <c r="Q68">
        <v>1</v>
      </c>
      <c r="X68">
        <v>1.03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32</v>
      </c>
      <c r="AG68">
        <v>0.37079999999999996</v>
      </c>
      <c r="AH68">
        <v>2</v>
      </c>
      <c r="AI68">
        <v>57249639</v>
      </c>
      <c r="AJ68">
        <v>52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ROW(Source!A43)</f>
        <v>43</v>
      </c>
      <c r="B69">
        <v>57249646</v>
      </c>
      <c r="C69">
        <v>57249637</v>
      </c>
      <c r="D69">
        <v>54768454</v>
      </c>
      <c r="E69">
        <v>1</v>
      </c>
      <c r="F69">
        <v>1</v>
      </c>
      <c r="G69">
        <v>1081</v>
      </c>
      <c r="H69">
        <v>2</v>
      </c>
      <c r="I69" t="s">
        <v>501</v>
      </c>
      <c r="J69" t="s">
        <v>502</v>
      </c>
      <c r="K69" t="s">
        <v>503</v>
      </c>
      <c r="L69">
        <v>1368</v>
      </c>
      <c r="N69">
        <v>1011</v>
      </c>
      <c r="O69" t="s">
        <v>463</v>
      </c>
      <c r="P69" t="s">
        <v>463</v>
      </c>
      <c r="Q69">
        <v>1</v>
      </c>
      <c r="X69">
        <v>22.08</v>
      </c>
      <c r="Y69">
        <v>0</v>
      </c>
      <c r="Z69">
        <v>0.35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32</v>
      </c>
      <c r="AG69">
        <v>7.9487999999999994</v>
      </c>
      <c r="AH69">
        <v>2</v>
      </c>
      <c r="AI69">
        <v>57249640</v>
      </c>
      <c r="AJ69">
        <v>53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ROW(Source!A43)</f>
        <v>43</v>
      </c>
      <c r="B70">
        <v>57249647</v>
      </c>
      <c r="C70">
        <v>57249637</v>
      </c>
      <c r="D70">
        <v>54738554</v>
      </c>
      <c r="E70">
        <v>1</v>
      </c>
      <c r="F70">
        <v>1</v>
      </c>
      <c r="G70">
        <v>1081</v>
      </c>
      <c r="H70">
        <v>3</v>
      </c>
      <c r="I70" t="s">
        <v>504</v>
      </c>
      <c r="J70" t="s">
        <v>505</v>
      </c>
      <c r="K70" t="s">
        <v>506</v>
      </c>
      <c r="L70">
        <v>1346</v>
      </c>
      <c r="N70">
        <v>1009</v>
      </c>
      <c r="O70" t="s">
        <v>320</v>
      </c>
      <c r="P70" t="s">
        <v>320</v>
      </c>
      <c r="Q70">
        <v>1</v>
      </c>
      <c r="X70">
        <v>0.21</v>
      </c>
      <c r="Y70">
        <v>159.06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31</v>
      </c>
      <c r="AG70">
        <v>0</v>
      </c>
      <c r="AH70">
        <v>2</v>
      </c>
      <c r="AI70">
        <v>57249641</v>
      </c>
      <c r="AJ70">
        <v>54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ROW(Source!A43)</f>
        <v>43</v>
      </c>
      <c r="B71">
        <v>57249648</v>
      </c>
      <c r="C71">
        <v>57249637</v>
      </c>
      <c r="D71">
        <v>54737470</v>
      </c>
      <c r="E71">
        <v>1</v>
      </c>
      <c r="F71">
        <v>1</v>
      </c>
      <c r="G71">
        <v>1081</v>
      </c>
      <c r="H71">
        <v>3</v>
      </c>
      <c r="I71" t="s">
        <v>467</v>
      </c>
      <c r="J71" t="s">
        <v>468</v>
      </c>
      <c r="K71" t="s">
        <v>469</v>
      </c>
      <c r="L71">
        <v>1354</v>
      </c>
      <c r="N71">
        <v>1010</v>
      </c>
      <c r="O71" t="s">
        <v>228</v>
      </c>
      <c r="P71" t="s">
        <v>228</v>
      </c>
      <c r="Q71">
        <v>1</v>
      </c>
      <c r="X71">
        <v>4.08</v>
      </c>
      <c r="Y71">
        <v>0.89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31</v>
      </c>
      <c r="AG71">
        <v>0</v>
      </c>
      <c r="AH71">
        <v>2</v>
      </c>
      <c r="AI71">
        <v>57249642</v>
      </c>
      <c r="AJ71">
        <v>55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ROW(Source!A43)</f>
        <v>43</v>
      </c>
      <c r="B72">
        <v>57249649</v>
      </c>
      <c r="C72">
        <v>57249637</v>
      </c>
      <c r="D72">
        <v>54766003</v>
      </c>
      <c r="E72">
        <v>1</v>
      </c>
      <c r="F72">
        <v>1</v>
      </c>
      <c r="G72">
        <v>1081</v>
      </c>
      <c r="H72">
        <v>3</v>
      </c>
      <c r="I72" t="s">
        <v>507</v>
      </c>
      <c r="J72" t="s">
        <v>508</v>
      </c>
      <c r="K72" t="s">
        <v>509</v>
      </c>
      <c r="L72">
        <v>1303</v>
      </c>
      <c r="N72">
        <v>1003</v>
      </c>
      <c r="O72" t="s">
        <v>390</v>
      </c>
      <c r="P72" t="s">
        <v>390</v>
      </c>
      <c r="Q72">
        <v>1000</v>
      </c>
      <c r="X72">
        <v>1.5299999999999999E-2</v>
      </c>
      <c r="Y72">
        <v>2897.31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31</v>
      </c>
      <c r="AG72">
        <v>0</v>
      </c>
      <c r="AH72">
        <v>2</v>
      </c>
      <c r="AI72">
        <v>57249643</v>
      </c>
      <c r="AJ72">
        <v>56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ROW(Source!A43)</f>
        <v>43</v>
      </c>
      <c r="B73">
        <v>57249650</v>
      </c>
      <c r="C73">
        <v>57249637</v>
      </c>
      <c r="D73">
        <v>54711904</v>
      </c>
      <c r="E73">
        <v>1081</v>
      </c>
      <c r="F73">
        <v>1</v>
      </c>
      <c r="G73">
        <v>1081</v>
      </c>
      <c r="H73">
        <v>3</v>
      </c>
      <c r="I73" t="s">
        <v>638</v>
      </c>
      <c r="J73" t="s">
        <v>3</v>
      </c>
      <c r="K73" t="s">
        <v>639</v>
      </c>
      <c r="L73">
        <v>1354</v>
      </c>
      <c r="N73">
        <v>1010</v>
      </c>
      <c r="O73" t="s">
        <v>228</v>
      </c>
      <c r="P73" t="s">
        <v>228</v>
      </c>
      <c r="Q73">
        <v>1</v>
      </c>
      <c r="X73">
        <v>100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31</v>
      </c>
      <c r="AG73">
        <v>0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ROW(Source!A43)</f>
        <v>43</v>
      </c>
      <c r="B74">
        <v>57249651</v>
      </c>
      <c r="C74">
        <v>57249637</v>
      </c>
      <c r="D74">
        <v>54712418</v>
      </c>
      <c r="E74">
        <v>1081</v>
      </c>
      <c r="F74">
        <v>1</v>
      </c>
      <c r="G74">
        <v>1081</v>
      </c>
      <c r="H74">
        <v>3</v>
      </c>
      <c r="I74" t="s">
        <v>640</v>
      </c>
      <c r="J74" t="s">
        <v>3</v>
      </c>
      <c r="K74" t="s">
        <v>641</v>
      </c>
      <c r="L74">
        <v>1358</v>
      </c>
      <c r="N74">
        <v>1010</v>
      </c>
      <c r="O74" t="s">
        <v>82</v>
      </c>
      <c r="P74" t="s">
        <v>82</v>
      </c>
      <c r="Q74">
        <v>10</v>
      </c>
      <c r="X74">
        <v>10.199999999999999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31</v>
      </c>
      <c r="AG74">
        <v>0</v>
      </c>
      <c r="AH74">
        <v>3</v>
      </c>
      <c r="AI74">
        <v>-1</v>
      </c>
      <c r="AJ74" t="s">
        <v>3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ROW(Source!A44)</f>
        <v>44</v>
      </c>
      <c r="B75">
        <v>57249655</v>
      </c>
      <c r="C75">
        <v>57249653</v>
      </c>
      <c r="D75">
        <v>54702434</v>
      </c>
      <c r="E75">
        <v>1081</v>
      </c>
      <c r="F75">
        <v>1</v>
      </c>
      <c r="G75">
        <v>1081</v>
      </c>
      <c r="H75">
        <v>1</v>
      </c>
      <c r="I75" t="s">
        <v>457</v>
      </c>
      <c r="J75" t="s">
        <v>3</v>
      </c>
      <c r="K75" t="s">
        <v>458</v>
      </c>
      <c r="L75">
        <v>1191</v>
      </c>
      <c r="N75">
        <v>1013</v>
      </c>
      <c r="O75" t="s">
        <v>459</v>
      </c>
      <c r="P75" t="s">
        <v>459</v>
      </c>
      <c r="Q75">
        <v>1</v>
      </c>
      <c r="X75">
        <v>1.68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1</v>
      </c>
      <c r="AF75" t="s">
        <v>32</v>
      </c>
      <c r="AG75">
        <v>0.6048</v>
      </c>
      <c r="AH75">
        <v>2</v>
      </c>
      <c r="AI75">
        <v>57249654</v>
      </c>
      <c r="AJ75">
        <v>57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ROW(Source!A45)</f>
        <v>45</v>
      </c>
      <c r="B76">
        <v>57249655</v>
      </c>
      <c r="C76">
        <v>57249653</v>
      </c>
      <c r="D76">
        <v>54702434</v>
      </c>
      <c r="E76">
        <v>1081</v>
      </c>
      <c r="F76">
        <v>1</v>
      </c>
      <c r="G76">
        <v>1081</v>
      </c>
      <c r="H76">
        <v>1</v>
      </c>
      <c r="I76" t="s">
        <v>457</v>
      </c>
      <c r="J76" t="s">
        <v>3</v>
      </c>
      <c r="K76" t="s">
        <v>458</v>
      </c>
      <c r="L76">
        <v>1191</v>
      </c>
      <c r="N76">
        <v>1013</v>
      </c>
      <c r="O76" t="s">
        <v>459</v>
      </c>
      <c r="P76" t="s">
        <v>459</v>
      </c>
      <c r="Q76">
        <v>1</v>
      </c>
      <c r="X76">
        <v>1.68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1</v>
      </c>
      <c r="AF76" t="s">
        <v>32</v>
      </c>
      <c r="AG76">
        <v>0.6048</v>
      </c>
      <c r="AH76">
        <v>2</v>
      </c>
      <c r="AI76">
        <v>57249654</v>
      </c>
      <c r="AJ76">
        <v>58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ROW(Source!A46)</f>
        <v>46</v>
      </c>
      <c r="B77">
        <v>57249662</v>
      </c>
      <c r="C77">
        <v>57249657</v>
      </c>
      <c r="D77">
        <v>54702434</v>
      </c>
      <c r="E77">
        <v>1081</v>
      </c>
      <c r="F77">
        <v>1</v>
      </c>
      <c r="G77">
        <v>1081</v>
      </c>
      <c r="H77">
        <v>1</v>
      </c>
      <c r="I77" t="s">
        <v>457</v>
      </c>
      <c r="J77" t="s">
        <v>3</v>
      </c>
      <c r="K77" t="s">
        <v>458</v>
      </c>
      <c r="L77">
        <v>1191</v>
      </c>
      <c r="N77">
        <v>1013</v>
      </c>
      <c r="O77" t="s">
        <v>459</v>
      </c>
      <c r="P77" t="s">
        <v>459</v>
      </c>
      <c r="Q77">
        <v>1</v>
      </c>
      <c r="X77">
        <v>0.6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  <c r="AE77">
        <v>1</v>
      </c>
      <c r="AF77" t="s">
        <v>32</v>
      </c>
      <c r="AG77">
        <v>0.216</v>
      </c>
      <c r="AH77">
        <v>2</v>
      </c>
      <c r="AI77">
        <v>57249658</v>
      </c>
      <c r="AJ77">
        <v>59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ROW(Source!A46)</f>
        <v>46</v>
      </c>
      <c r="B78">
        <v>57249663</v>
      </c>
      <c r="C78">
        <v>57249657</v>
      </c>
      <c r="D78">
        <v>54768393</v>
      </c>
      <c r="E78">
        <v>1</v>
      </c>
      <c r="F78">
        <v>1</v>
      </c>
      <c r="G78">
        <v>1081</v>
      </c>
      <c r="H78">
        <v>2</v>
      </c>
      <c r="I78" t="s">
        <v>510</v>
      </c>
      <c r="J78" t="s">
        <v>511</v>
      </c>
      <c r="K78" t="s">
        <v>512</v>
      </c>
      <c r="L78">
        <v>1368</v>
      </c>
      <c r="N78">
        <v>1011</v>
      </c>
      <c r="O78" t="s">
        <v>463</v>
      </c>
      <c r="P78" t="s">
        <v>463</v>
      </c>
      <c r="Q78">
        <v>1</v>
      </c>
      <c r="X78">
        <v>0.06</v>
      </c>
      <c r="Y78">
        <v>0</v>
      </c>
      <c r="Z78">
        <v>0.77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32</v>
      </c>
      <c r="AG78">
        <v>2.1599999999999998E-2</v>
      </c>
      <c r="AH78">
        <v>2</v>
      </c>
      <c r="AI78">
        <v>57249659</v>
      </c>
      <c r="AJ78">
        <v>60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ROW(Source!A46)</f>
        <v>46</v>
      </c>
      <c r="B79">
        <v>57249664</v>
      </c>
      <c r="C79">
        <v>57249657</v>
      </c>
      <c r="D79">
        <v>54691787</v>
      </c>
      <c r="E79">
        <v>1081</v>
      </c>
      <c r="F79">
        <v>1</v>
      </c>
      <c r="G79">
        <v>1081</v>
      </c>
      <c r="H79">
        <v>3</v>
      </c>
      <c r="I79" t="s">
        <v>642</v>
      </c>
      <c r="J79" t="s">
        <v>3</v>
      </c>
      <c r="K79" t="s">
        <v>643</v>
      </c>
      <c r="L79">
        <v>1339</v>
      </c>
      <c r="N79">
        <v>1007</v>
      </c>
      <c r="O79" t="s">
        <v>591</v>
      </c>
      <c r="P79" t="s">
        <v>591</v>
      </c>
      <c r="Q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31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ROW(Source!A46)</f>
        <v>46</v>
      </c>
      <c r="B80">
        <v>57249665</v>
      </c>
      <c r="C80">
        <v>57249657</v>
      </c>
      <c r="D80">
        <v>54739202</v>
      </c>
      <c r="E80">
        <v>1</v>
      </c>
      <c r="F80">
        <v>1</v>
      </c>
      <c r="G80">
        <v>1081</v>
      </c>
      <c r="H80">
        <v>3</v>
      </c>
      <c r="I80" t="s">
        <v>513</v>
      </c>
      <c r="J80" t="s">
        <v>514</v>
      </c>
      <c r="K80" t="s">
        <v>515</v>
      </c>
      <c r="L80">
        <v>1348</v>
      </c>
      <c r="N80">
        <v>1009</v>
      </c>
      <c r="O80" t="s">
        <v>298</v>
      </c>
      <c r="P80" t="s">
        <v>298</v>
      </c>
      <c r="Q80">
        <v>1000</v>
      </c>
      <c r="X80">
        <v>3.0000000000000001E-5</v>
      </c>
      <c r="Y80">
        <v>37835.07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31</v>
      </c>
      <c r="AG80">
        <v>0</v>
      </c>
      <c r="AH80">
        <v>2</v>
      </c>
      <c r="AI80">
        <v>57249660</v>
      </c>
      <c r="AJ80">
        <v>61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ROW(Source!A46)</f>
        <v>46</v>
      </c>
      <c r="B81">
        <v>57249666</v>
      </c>
      <c r="C81">
        <v>57249657</v>
      </c>
      <c r="D81">
        <v>54739891</v>
      </c>
      <c r="E81">
        <v>1</v>
      </c>
      <c r="F81">
        <v>1</v>
      </c>
      <c r="G81">
        <v>1081</v>
      </c>
      <c r="H81">
        <v>3</v>
      </c>
      <c r="I81" t="s">
        <v>516</v>
      </c>
      <c r="J81" t="s">
        <v>517</v>
      </c>
      <c r="K81" t="s">
        <v>518</v>
      </c>
      <c r="L81">
        <v>1348</v>
      </c>
      <c r="N81">
        <v>1009</v>
      </c>
      <c r="O81" t="s">
        <v>298</v>
      </c>
      <c r="P81" t="s">
        <v>298</v>
      </c>
      <c r="Q81">
        <v>1000</v>
      </c>
      <c r="X81">
        <v>1.0000000000000001E-5</v>
      </c>
      <c r="Y81">
        <v>17047.89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31</v>
      </c>
      <c r="AG81">
        <v>0</v>
      </c>
      <c r="AH81">
        <v>2</v>
      </c>
      <c r="AI81">
        <v>57249661</v>
      </c>
      <c r="AJ81">
        <v>62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ROW(Source!A46)</f>
        <v>46</v>
      </c>
      <c r="B82">
        <v>57249667</v>
      </c>
      <c r="C82">
        <v>57249657</v>
      </c>
      <c r="D82">
        <v>54719682</v>
      </c>
      <c r="E82">
        <v>1081</v>
      </c>
      <c r="F82">
        <v>1</v>
      </c>
      <c r="G82">
        <v>1081</v>
      </c>
      <c r="H82">
        <v>3</v>
      </c>
      <c r="I82" t="s">
        <v>644</v>
      </c>
      <c r="J82" t="s">
        <v>3</v>
      </c>
      <c r="K82" t="s">
        <v>645</v>
      </c>
      <c r="L82">
        <v>1354</v>
      </c>
      <c r="N82">
        <v>1010</v>
      </c>
      <c r="O82" t="s">
        <v>228</v>
      </c>
      <c r="P82" t="s">
        <v>228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31</v>
      </c>
      <c r="AG82">
        <v>0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ROW(Source!A47)</f>
        <v>47</v>
      </c>
      <c r="B83">
        <v>57249662</v>
      </c>
      <c r="C83">
        <v>57249657</v>
      </c>
      <c r="D83">
        <v>54702434</v>
      </c>
      <c r="E83">
        <v>1081</v>
      </c>
      <c r="F83">
        <v>1</v>
      </c>
      <c r="G83">
        <v>1081</v>
      </c>
      <c r="H83">
        <v>1</v>
      </c>
      <c r="I83" t="s">
        <v>457</v>
      </c>
      <c r="J83" t="s">
        <v>3</v>
      </c>
      <c r="K83" t="s">
        <v>458</v>
      </c>
      <c r="L83">
        <v>1191</v>
      </c>
      <c r="N83">
        <v>1013</v>
      </c>
      <c r="O83" t="s">
        <v>459</v>
      </c>
      <c r="P83" t="s">
        <v>459</v>
      </c>
      <c r="Q83">
        <v>1</v>
      </c>
      <c r="X83">
        <v>0.6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32</v>
      </c>
      <c r="AG83">
        <v>0.216</v>
      </c>
      <c r="AH83">
        <v>2</v>
      </c>
      <c r="AI83">
        <v>57249658</v>
      </c>
      <c r="AJ83">
        <v>63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ROW(Source!A47)</f>
        <v>47</v>
      </c>
      <c r="B84">
        <v>57249663</v>
      </c>
      <c r="C84">
        <v>57249657</v>
      </c>
      <c r="D84">
        <v>54768393</v>
      </c>
      <c r="E84">
        <v>1</v>
      </c>
      <c r="F84">
        <v>1</v>
      </c>
      <c r="G84">
        <v>1081</v>
      </c>
      <c r="H84">
        <v>2</v>
      </c>
      <c r="I84" t="s">
        <v>510</v>
      </c>
      <c r="J84" t="s">
        <v>511</v>
      </c>
      <c r="K84" t="s">
        <v>512</v>
      </c>
      <c r="L84">
        <v>1368</v>
      </c>
      <c r="N84">
        <v>1011</v>
      </c>
      <c r="O84" t="s">
        <v>463</v>
      </c>
      <c r="P84" t="s">
        <v>463</v>
      </c>
      <c r="Q84">
        <v>1</v>
      </c>
      <c r="X84">
        <v>0.06</v>
      </c>
      <c r="Y84">
        <v>0</v>
      </c>
      <c r="Z84">
        <v>0.77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32</v>
      </c>
      <c r="AG84">
        <v>2.1599999999999998E-2</v>
      </c>
      <c r="AH84">
        <v>2</v>
      </c>
      <c r="AI84">
        <v>57249659</v>
      </c>
      <c r="AJ84">
        <v>64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ROW(Source!A47)</f>
        <v>47</v>
      </c>
      <c r="B85">
        <v>57249664</v>
      </c>
      <c r="C85">
        <v>57249657</v>
      </c>
      <c r="D85">
        <v>54691787</v>
      </c>
      <c r="E85">
        <v>1081</v>
      </c>
      <c r="F85">
        <v>1</v>
      </c>
      <c r="G85">
        <v>1081</v>
      </c>
      <c r="H85">
        <v>3</v>
      </c>
      <c r="I85" t="s">
        <v>642</v>
      </c>
      <c r="J85" t="s">
        <v>3</v>
      </c>
      <c r="K85" t="s">
        <v>643</v>
      </c>
      <c r="L85">
        <v>1339</v>
      </c>
      <c r="N85">
        <v>1007</v>
      </c>
      <c r="O85" t="s">
        <v>591</v>
      </c>
      <c r="P85" t="s">
        <v>591</v>
      </c>
      <c r="Q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31</v>
      </c>
      <c r="AG85">
        <v>0</v>
      </c>
      <c r="AH85">
        <v>3</v>
      </c>
      <c r="AI85">
        <v>-1</v>
      </c>
      <c r="AJ85" t="s">
        <v>3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ROW(Source!A47)</f>
        <v>47</v>
      </c>
      <c r="B86">
        <v>57249665</v>
      </c>
      <c r="C86">
        <v>57249657</v>
      </c>
      <c r="D86">
        <v>54739202</v>
      </c>
      <c r="E86">
        <v>1</v>
      </c>
      <c r="F86">
        <v>1</v>
      </c>
      <c r="G86">
        <v>1081</v>
      </c>
      <c r="H86">
        <v>3</v>
      </c>
      <c r="I86" t="s">
        <v>513</v>
      </c>
      <c r="J86" t="s">
        <v>514</v>
      </c>
      <c r="K86" t="s">
        <v>515</v>
      </c>
      <c r="L86">
        <v>1348</v>
      </c>
      <c r="N86">
        <v>1009</v>
      </c>
      <c r="O86" t="s">
        <v>298</v>
      </c>
      <c r="P86" t="s">
        <v>298</v>
      </c>
      <c r="Q86">
        <v>1000</v>
      </c>
      <c r="X86">
        <v>3.0000000000000001E-5</v>
      </c>
      <c r="Y86">
        <v>37835.07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31</v>
      </c>
      <c r="AG86">
        <v>0</v>
      </c>
      <c r="AH86">
        <v>2</v>
      </c>
      <c r="AI86">
        <v>57249660</v>
      </c>
      <c r="AJ86">
        <v>65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ROW(Source!A47)</f>
        <v>47</v>
      </c>
      <c r="B87">
        <v>57249666</v>
      </c>
      <c r="C87">
        <v>57249657</v>
      </c>
      <c r="D87">
        <v>54739891</v>
      </c>
      <c r="E87">
        <v>1</v>
      </c>
      <c r="F87">
        <v>1</v>
      </c>
      <c r="G87">
        <v>1081</v>
      </c>
      <c r="H87">
        <v>3</v>
      </c>
      <c r="I87" t="s">
        <v>516</v>
      </c>
      <c r="J87" t="s">
        <v>517</v>
      </c>
      <c r="K87" t="s">
        <v>518</v>
      </c>
      <c r="L87">
        <v>1348</v>
      </c>
      <c r="N87">
        <v>1009</v>
      </c>
      <c r="O87" t="s">
        <v>298</v>
      </c>
      <c r="P87" t="s">
        <v>298</v>
      </c>
      <c r="Q87">
        <v>1000</v>
      </c>
      <c r="X87">
        <v>1.0000000000000001E-5</v>
      </c>
      <c r="Y87">
        <v>17047.89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31</v>
      </c>
      <c r="AG87">
        <v>0</v>
      </c>
      <c r="AH87">
        <v>2</v>
      </c>
      <c r="AI87">
        <v>57249661</v>
      </c>
      <c r="AJ87">
        <v>66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ROW(Source!A47)</f>
        <v>47</v>
      </c>
      <c r="B88">
        <v>57249667</v>
      </c>
      <c r="C88">
        <v>57249657</v>
      </c>
      <c r="D88">
        <v>54719682</v>
      </c>
      <c r="E88">
        <v>1081</v>
      </c>
      <c r="F88">
        <v>1</v>
      </c>
      <c r="G88">
        <v>1081</v>
      </c>
      <c r="H88">
        <v>3</v>
      </c>
      <c r="I88" t="s">
        <v>644</v>
      </c>
      <c r="J88" t="s">
        <v>3</v>
      </c>
      <c r="K88" t="s">
        <v>645</v>
      </c>
      <c r="L88">
        <v>1354</v>
      </c>
      <c r="N88">
        <v>1010</v>
      </c>
      <c r="O88" t="s">
        <v>228</v>
      </c>
      <c r="P88" t="s">
        <v>228</v>
      </c>
      <c r="Q88">
        <v>1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31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ROW(Source!A48)</f>
        <v>48</v>
      </c>
      <c r="B89">
        <v>57249677</v>
      </c>
      <c r="C89">
        <v>57249669</v>
      </c>
      <c r="D89">
        <v>54702434</v>
      </c>
      <c r="E89">
        <v>1081</v>
      </c>
      <c r="F89">
        <v>1</v>
      </c>
      <c r="G89">
        <v>1081</v>
      </c>
      <c r="H89">
        <v>1</v>
      </c>
      <c r="I89" t="s">
        <v>457</v>
      </c>
      <c r="J89" t="s">
        <v>3</v>
      </c>
      <c r="K89" t="s">
        <v>458</v>
      </c>
      <c r="L89">
        <v>1191</v>
      </c>
      <c r="N89">
        <v>1013</v>
      </c>
      <c r="O89" t="s">
        <v>459</v>
      </c>
      <c r="P89" t="s">
        <v>459</v>
      </c>
      <c r="Q89">
        <v>1</v>
      </c>
      <c r="X89">
        <v>18.38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1</v>
      </c>
      <c r="AF89" t="s">
        <v>85</v>
      </c>
      <c r="AG89">
        <v>13.233599999999997</v>
      </c>
      <c r="AH89">
        <v>2</v>
      </c>
      <c r="AI89">
        <v>57249670</v>
      </c>
      <c r="AJ89">
        <v>67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ROW(Source!A48)</f>
        <v>48</v>
      </c>
      <c r="B90">
        <v>57249678</v>
      </c>
      <c r="C90">
        <v>57249669</v>
      </c>
      <c r="D90">
        <v>54768339</v>
      </c>
      <c r="E90">
        <v>1</v>
      </c>
      <c r="F90">
        <v>1</v>
      </c>
      <c r="G90">
        <v>1081</v>
      </c>
      <c r="H90">
        <v>2</v>
      </c>
      <c r="I90" t="s">
        <v>497</v>
      </c>
      <c r="J90" t="s">
        <v>498</v>
      </c>
      <c r="K90" t="s">
        <v>499</v>
      </c>
      <c r="L90">
        <v>1368</v>
      </c>
      <c r="N90">
        <v>1011</v>
      </c>
      <c r="O90" t="s">
        <v>463</v>
      </c>
      <c r="P90" t="s">
        <v>463</v>
      </c>
      <c r="Q90">
        <v>1</v>
      </c>
      <c r="X90">
        <v>1.36</v>
      </c>
      <c r="Y90">
        <v>0</v>
      </c>
      <c r="Z90">
        <v>83.1</v>
      </c>
      <c r="AA90">
        <v>12.62</v>
      </c>
      <c r="AB90">
        <v>0</v>
      </c>
      <c r="AC90">
        <v>0</v>
      </c>
      <c r="AD90">
        <v>1</v>
      </c>
      <c r="AE90">
        <v>0</v>
      </c>
      <c r="AF90" t="s">
        <v>85</v>
      </c>
      <c r="AG90">
        <v>0.97920000000000007</v>
      </c>
      <c r="AH90">
        <v>2</v>
      </c>
      <c r="AI90">
        <v>57249671</v>
      </c>
      <c r="AJ90">
        <v>68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ROW(Source!A48)</f>
        <v>48</v>
      </c>
      <c r="B91">
        <v>57249679</v>
      </c>
      <c r="C91">
        <v>57249669</v>
      </c>
      <c r="D91">
        <v>54768461</v>
      </c>
      <c r="E91">
        <v>1</v>
      </c>
      <c r="F91">
        <v>1</v>
      </c>
      <c r="G91">
        <v>1081</v>
      </c>
      <c r="H91">
        <v>2</v>
      </c>
      <c r="I91" t="s">
        <v>464</v>
      </c>
      <c r="J91" t="s">
        <v>465</v>
      </c>
      <c r="K91" t="s">
        <v>466</v>
      </c>
      <c r="L91">
        <v>1368</v>
      </c>
      <c r="N91">
        <v>1011</v>
      </c>
      <c r="O91" t="s">
        <v>463</v>
      </c>
      <c r="P91" t="s">
        <v>463</v>
      </c>
      <c r="Q91">
        <v>1</v>
      </c>
      <c r="X91">
        <v>0.54</v>
      </c>
      <c r="Y91">
        <v>0</v>
      </c>
      <c r="Z91">
        <v>1.1100000000000001</v>
      </c>
      <c r="AA91">
        <v>0</v>
      </c>
      <c r="AB91">
        <v>0</v>
      </c>
      <c r="AC91">
        <v>0</v>
      </c>
      <c r="AD91">
        <v>1</v>
      </c>
      <c r="AE91">
        <v>0</v>
      </c>
      <c r="AF91" t="s">
        <v>85</v>
      </c>
      <c r="AG91">
        <v>0.38879999999999998</v>
      </c>
      <c r="AH91">
        <v>2</v>
      </c>
      <c r="AI91">
        <v>57249672</v>
      </c>
      <c r="AJ91">
        <v>69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ROW(Source!A48)</f>
        <v>48</v>
      </c>
      <c r="B92">
        <v>57249680</v>
      </c>
      <c r="C92">
        <v>57249669</v>
      </c>
      <c r="D92">
        <v>54768426</v>
      </c>
      <c r="E92">
        <v>1</v>
      </c>
      <c r="F92">
        <v>1</v>
      </c>
      <c r="G92">
        <v>1081</v>
      </c>
      <c r="H92">
        <v>2</v>
      </c>
      <c r="I92" t="s">
        <v>485</v>
      </c>
      <c r="J92" t="s">
        <v>486</v>
      </c>
      <c r="K92" t="s">
        <v>487</v>
      </c>
      <c r="L92">
        <v>1368</v>
      </c>
      <c r="N92">
        <v>1011</v>
      </c>
      <c r="O92" t="s">
        <v>463</v>
      </c>
      <c r="P92" t="s">
        <v>463</v>
      </c>
      <c r="Q92">
        <v>1</v>
      </c>
      <c r="X92">
        <v>0.24</v>
      </c>
      <c r="Y92">
        <v>0</v>
      </c>
      <c r="Z92">
        <v>0.47</v>
      </c>
      <c r="AA92">
        <v>0</v>
      </c>
      <c r="AB92">
        <v>0</v>
      </c>
      <c r="AC92">
        <v>0</v>
      </c>
      <c r="AD92">
        <v>1</v>
      </c>
      <c r="AE92">
        <v>0</v>
      </c>
      <c r="AF92" t="s">
        <v>85</v>
      </c>
      <c r="AG92">
        <v>0.17279999999999998</v>
      </c>
      <c r="AH92">
        <v>2</v>
      </c>
      <c r="AI92">
        <v>57249673</v>
      </c>
      <c r="AJ92">
        <v>70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ROW(Source!A48)</f>
        <v>48</v>
      </c>
      <c r="B93">
        <v>57249681</v>
      </c>
      <c r="C93">
        <v>57249669</v>
      </c>
      <c r="D93">
        <v>54739820</v>
      </c>
      <c r="E93">
        <v>1</v>
      </c>
      <c r="F93">
        <v>1</v>
      </c>
      <c r="G93">
        <v>1081</v>
      </c>
      <c r="H93">
        <v>3</v>
      </c>
      <c r="I93" t="s">
        <v>519</v>
      </c>
      <c r="J93" t="s">
        <v>520</v>
      </c>
      <c r="K93" t="s">
        <v>521</v>
      </c>
      <c r="L93">
        <v>1296</v>
      </c>
      <c r="N93">
        <v>1002</v>
      </c>
      <c r="O93" t="s">
        <v>522</v>
      </c>
      <c r="P93" t="s">
        <v>522</v>
      </c>
      <c r="Q93">
        <v>1</v>
      </c>
      <c r="X93">
        <v>2.52</v>
      </c>
      <c r="Y93">
        <v>125.73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 t="s">
        <v>84</v>
      </c>
      <c r="AG93">
        <v>1.512</v>
      </c>
      <c r="AH93">
        <v>2</v>
      </c>
      <c r="AI93">
        <v>57249674</v>
      </c>
      <c r="AJ93">
        <v>71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ROW(Source!A48)</f>
        <v>48</v>
      </c>
      <c r="B94">
        <v>57249682</v>
      </c>
      <c r="C94">
        <v>57249669</v>
      </c>
      <c r="D94">
        <v>54747392</v>
      </c>
      <c r="E94">
        <v>1</v>
      </c>
      <c r="F94">
        <v>1</v>
      </c>
      <c r="G94">
        <v>1081</v>
      </c>
      <c r="H94">
        <v>3</v>
      </c>
      <c r="I94" t="s">
        <v>482</v>
      </c>
      <c r="J94" t="s">
        <v>483</v>
      </c>
      <c r="K94" t="s">
        <v>484</v>
      </c>
      <c r="L94">
        <v>1354</v>
      </c>
      <c r="N94">
        <v>1010</v>
      </c>
      <c r="O94" t="s">
        <v>228</v>
      </c>
      <c r="P94" t="s">
        <v>228</v>
      </c>
      <c r="Q94">
        <v>1</v>
      </c>
      <c r="X94">
        <v>9.6000000000000002E-2</v>
      </c>
      <c r="Y94">
        <v>10.53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 t="s">
        <v>84</v>
      </c>
      <c r="AG94">
        <v>5.7599999999999998E-2</v>
      </c>
      <c r="AH94">
        <v>2</v>
      </c>
      <c r="AI94">
        <v>57249675</v>
      </c>
      <c r="AJ94">
        <v>72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ROW(Source!A48)</f>
        <v>48</v>
      </c>
      <c r="B95">
        <v>57249683</v>
      </c>
      <c r="C95">
        <v>57249669</v>
      </c>
      <c r="D95">
        <v>54747602</v>
      </c>
      <c r="E95">
        <v>1</v>
      </c>
      <c r="F95">
        <v>1</v>
      </c>
      <c r="G95">
        <v>1081</v>
      </c>
      <c r="H95">
        <v>3</v>
      </c>
      <c r="I95" t="s">
        <v>523</v>
      </c>
      <c r="J95" t="s">
        <v>524</v>
      </c>
      <c r="K95" t="s">
        <v>525</v>
      </c>
      <c r="L95">
        <v>1355</v>
      </c>
      <c r="N95">
        <v>1010</v>
      </c>
      <c r="O95" t="s">
        <v>67</v>
      </c>
      <c r="P95" t="s">
        <v>67</v>
      </c>
      <c r="Q95">
        <v>100</v>
      </c>
      <c r="X95">
        <v>0.61</v>
      </c>
      <c r="Y95">
        <v>278.73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84</v>
      </c>
      <c r="AG95">
        <v>0.36599999999999999</v>
      </c>
      <c r="AH95">
        <v>2</v>
      </c>
      <c r="AI95">
        <v>57249676</v>
      </c>
      <c r="AJ95">
        <v>73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ROW(Source!A48)</f>
        <v>48</v>
      </c>
      <c r="B96">
        <v>57249684</v>
      </c>
      <c r="C96">
        <v>57249669</v>
      </c>
      <c r="D96">
        <v>54723795</v>
      </c>
      <c r="E96">
        <v>1081</v>
      </c>
      <c r="F96">
        <v>1</v>
      </c>
      <c r="G96">
        <v>1081</v>
      </c>
      <c r="H96">
        <v>3</v>
      </c>
      <c r="I96" t="s">
        <v>646</v>
      </c>
      <c r="J96" t="s">
        <v>3</v>
      </c>
      <c r="K96" t="s">
        <v>647</v>
      </c>
      <c r="L96">
        <v>1354</v>
      </c>
      <c r="N96">
        <v>1010</v>
      </c>
      <c r="O96" t="s">
        <v>228</v>
      </c>
      <c r="P96" t="s">
        <v>228</v>
      </c>
      <c r="Q96">
        <v>1</v>
      </c>
      <c r="X96">
        <v>10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84</v>
      </c>
      <c r="AG96">
        <v>6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ROW(Source!A49)</f>
        <v>49</v>
      </c>
      <c r="B97">
        <v>57249677</v>
      </c>
      <c r="C97">
        <v>57249669</v>
      </c>
      <c r="D97">
        <v>54702434</v>
      </c>
      <c r="E97">
        <v>1081</v>
      </c>
      <c r="F97">
        <v>1</v>
      </c>
      <c r="G97">
        <v>1081</v>
      </c>
      <c r="H97">
        <v>1</v>
      </c>
      <c r="I97" t="s">
        <v>457</v>
      </c>
      <c r="J97" t="s">
        <v>3</v>
      </c>
      <c r="K97" t="s">
        <v>458</v>
      </c>
      <c r="L97">
        <v>1191</v>
      </c>
      <c r="N97">
        <v>1013</v>
      </c>
      <c r="O97" t="s">
        <v>459</v>
      </c>
      <c r="P97" t="s">
        <v>459</v>
      </c>
      <c r="Q97">
        <v>1</v>
      </c>
      <c r="X97">
        <v>18.38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85</v>
      </c>
      <c r="AG97">
        <v>13.233599999999997</v>
      </c>
      <c r="AH97">
        <v>2</v>
      </c>
      <c r="AI97">
        <v>57249670</v>
      </c>
      <c r="AJ97">
        <v>74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ROW(Source!A49)</f>
        <v>49</v>
      </c>
      <c r="B98">
        <v>57249678</v>
      </c>
      <c r="C98">
        <v>57249669</v>
      </c>
      <c r="D98">
        <v>54768339</v>
      </c>
      <c r="E98">
        <v>1</v>
      </c>
      <c r="F98">
        <v>1</v>
      </c>
      <c r="G98">
        <v>1081</v>
      </c>
      <c r="H98">
        <v>2</v>
      </c>
      <c r="I98" t="s">
        <v>497</v>
      </c>
      <c r="J98" t="s">
        <v>498</v>
      </c>
      <c r="K98" t="s">
        <v>499</v>
      </c>
      <c r="L98">
        <v>1368</v>
      </c>
      <c r="N98">
        <v>1011</v>
      </c>
      <c r="O98" t="s">
        <v>463</v>
      </c>
      <c r="P98" t="s">
        <v>463</v>
      </c>
      <c r="Q98">
        <v>1</v>
      </c>
      <c r="X98">
        <v>1.36</v>
      </c>
      <c r="Y98">
        <v>0</v>
      </c>
      <c r="Z98">
        <v>83.1</v>
      </c>
      <c r="AA98">
        <v>12.62</v>
      </c>
      <c r="AB98">
        <v>0</v>
      </c>
      <c r="AC98">
        <v>0</v>
      </c>
      <c r="AD98">
        <v>1</v>
      </c>
      <c r="AE98">
        <v>0</v>
      </c>
      <c r="AF98" t="s">
        <v>85</v>
      </c>
      <c r="AG98">
        <v>0.97920000000000007</v>
      </c>
      <c r="AH98">
        <v>2</v>
      </c>
      <c r="AI98">
        <v>57249671</v>
      </c>
      <c r="AJ98">
        <v>75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ROW(Source!A49)</f>
        <v>49</v>
      </c>
      <c r="B99">
        <v>57249679</v>
      </c>
      <c r="C99">
        <v>57249669</v>
      </c>
      <c r="D99">
        <v>54768461</v>
      </c>
      <c r="E99">
        <v>1</v>
      </c>
      <c r="F99">
        <v>1</v>
      </c>
      <c r="G99">
        <v>1081</v>
      </c>
      <c r="H99">
        <v>2</v>
      </c>
      <c r="I99" t="s">
        <v>464</v>
      </c>
      <c r="J99" t="s">
        <v>465</v>
      </c>
      <c r="K99" t="s">
        <v>466</v>
      </c>
      <c r="L99">
        <v>1368</v>
      </c>
      <c r="N99">
        <v>1011</v>
      </c>
      <c r="O99" t="s">
        <v>463</v>
      </c>
      <c r="P99" t="s">
        <v>463</v>
      </c>
      <c r="Q99">
        <v>1</v>
      </c>
      <c r="X99">
        <v>0.54</v>
      </c>
      <c r="Y99">
        <v>0</v>
      </c>
      <c r="Z99">
        <v>1.1100000000000001</v>
      </c>
      <c r="AA99">
        <v>0</v>
      </c>
      <c r="AB99">
        <v>0</v>
      </c>
      <c r="AC99">
        <v>0</v>
      </c>
      <c r="AD99">
        <v>1</v>
      </c>
      <c r="AE99">
        <v>0</v>
      </c>
      <c r="AF99" t="s">
        <v>85</v>
      </c>
      <c r="AG99">
        <v>0.38879999999999998</v>
      </c>
      <c r="AH99">
        <v>2</v>
      </c>
      <c r="AI99">
        <v>57249672</v>
      </c>
      <c r="AJ99">
        <v>76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ROW(Source!A49)</f>
        <v>49</v>
      </c>
      <c r="B100">
        <v>57249680</v>
      </c>
      <c r="C100">
        <v>57249669</v>
      </c>
      <c r="D100">
        <v>54768426</v>
      </c>
      <c r="E100">
        <v>1</v>
      </c>
      <c r="F100">
        <v>1</v>
      </c>
      <c r="G100">
        <v>1081</v>
      </c>
      <c r="H100">
        <v>2</v>
      </c>
      <c r="I100" t="s">
        <v>485</v>
      </c>
      <c r="J100" t="s">
        <v>486</v>
      </c>
      <c r="K100" t="s">
        <v>487</v>
      </c>
      <c r="L100">
        <v>1368</v>
      </c>
      <c r="N100">
        <v>1011</v>
      </c>
      <c r="O100" t="s">
        <v>463</v>
      </c>
      <c r="P100" t="s">
        <v>463</v>
      </c>
      <c r="Q100">
        <v>1</v>
      </c>
      <c r="X100">
        <v>0.24</v>
      </c>
      <c r="Y100">
        <v>0</v>
      </c>
      <c r="Z100">
        <v>0.47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85</v>
      </c>
      <c r="AG100">
        <v>0.17279999999999998</v>
      </c>
      <c r="AH100">
        <v>2</v>
      </c>
      <c r="AI100">
        <v>57249673</v>
      </c>
      <c r="AJ100">
        <v>77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ROW(Source!A49)</f>
        <v>49</v>
      </c>
      <c r="B101">
        <v>57249681</v>
      </c>
      <c r="C101">
        <v>57249669</v>
      </c>
      <c r="D101">
        <v>54739820</v>
      </c>
      <c r="E101">
        <v>1</v>
      </c>
      <c r="F101">
        <v>1</v>
      </c>
      <c r="G101">
        <v>1081</v>
      </c>
      <c r="H101">
        <v>3</v>
      </c>
      <c r="I101" t="s">
        <v>519</v>
      </c>
      <c r="J101" t="s">
        <v>520</v>
      </c>
      <c r="K101" t="s">
        <v>521</v>
      </c>
      <c r="L101">
        <v>1296</v>
      </c>
      <c r="N101">
        <v>1002</v>
      </c>
      <c r="O101" t="s">
        <v>522</v>
      </c>
      <c r="P101" t="s">
        <v>522</v>
      </c>
      <c r="Q101">
        <v>1</v>
      </c>
      <c r="X101">
        <v>2.52</v>
      </c>
      <c r="Y101">
        <v>125.73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 t="s">
        <v>84</v>
      </c>
      <c r="AG101">
        <v>1.512</v>
      </c>
      <c r="AH101">
        <v>2</v>
      </c>
      <c r="AI101">
        <v>57249674</v>
      </c>
      <c r="AJ101">
        <v>78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ROW(Source!A49)</f>
        <v>49</v>
      </c>
      <c r="B102">
        <v>57249682</v>
      </c>
      <c r="C102">
        <v>57249669</v>
      </c>
      <c r="D102">
        <v>54747392</v>
      </c>
      <c r="E102">
        <v>1</v>
      </c>
      <c r="F102">
        <v>1</v>
      </c>
      <c r="G102">
        <v>1081</v>
      </c>
      <c r="H102">
        <v>3</v>
      </c>
      <c r="I102" t="s">
        <v>482</v>
      </c>
      <c r="J102" t="s">
        <v>483</v>
      </c>
      <c r="K102" t="s">
        <v>484</v>
      </c>
      <c r="L102">
        <v>1354</v>
      </c>
      <c r="N102">
        <v>1010</v>
      </c>
      <c r="O102" t="s">
        <v>228</v>
      </c>
      <c r="P102" t="s">
        <v>228</v>
      </c>
      <c r="Q102">
        <v>1</v>
      </c>
      <c r="X102">
        <v>9.6000000000000002E-2</v>
      </c>
      <c r="Y102">
        <v>10.53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84</v>
      </c>
      <c r="AG102">
        <v>5.7599999999999998E-2</v>
      </c>
      <c r="AH102">
        <v>2</v>
      </c>
      <c r="AI102">
        <v>57249675</v>
      </c>
      <c r="AJ102">
        <v>79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ROW(Source!A49)</f>
        <v>49</v>
      </c>
      <c r="B103">
        <v>57249683</v>
      </c>
      <c r="C103">
        <v>57249669</v>
      </c>
      <c r="D103">
        <v>54747602</v>
      </c>
      <c r="E103">
        <v>1</v>
      </c>
      <c r="F103">
        <v>1</v>
      </c>
      <c r="G103">
        <v>1081</v>
      </c>
      <c r="H103">
        <v>3</v>
      </c>
      <c r="I103" t="s">
        <v>523</v>
      </c>
      <c r="J103" t="s">
        <v>524</v>
      </c>
      <c r="K103" t="s">
        <v>525</v>
      </c>
      <c r="L103">
        <v>1355</v>
      </c>
      <c r="N103">
        <v>1010</v>
      </c>
      <c r="O103" t="s">
        <v>67</v>
      </c>
      <c r="P103" t="s">
        <v>67</v>
      </c>
      <c r="Q103">
        <v>100</v>
      </c>
      <c r="X103">
        <v>0.61</v>
      </c>
      <c r="Y103">
        <v>278.73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0</v>
      </c>
      <c r="AF103" t="s">
        <v>84</v>
      </c>
      <c r="AG103">
        <v>0.36599999999999999</v>
      </c>
      <c r="AH103">
        <v>2</v>
      </c>
      <c r="AI103">
        <v>57249676</v>
      </c>
      <c r="AJ103">
        <v>80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ROW(Source!A49)</f>
        <v>49</v>
      </c>
      <c r="B104">
        <v>57249684</v>
      </c>
      <c r="C104">
        <v>57249669</v>
      </c>
      <c r="D104">
        <v>54723795</v>
      </c>
      <c r="E104">
        <v>1081</v>
      </c>
      <c r="F104">
        <v>1</v>
      </c>
      <c r="G104">
        <v>1081</v>
      </c>
      <c r="H104">
        <v>3</v>
      </c>
      <c r="I104" t="s">
        <v>646</v>
      </c>
      <c r="J104" t="s">
        <v>3</v>
      </c>
      <c r="K104" t="s">
        <v>647</v>
      </c>
      <c r="L104">
        <v>1354</v>
      </c>
      <c r="N104">
        <v>1010</v>
      </c>
      <c r="O104" t="s">
        <v>228</v>
      </c>
      <c r="P104" t="s">
        <v>228</v>
      </c>
      <c r="Q104">
        <v>1</v>
      </c>
      <c r="X104">
        <v>10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84</v>
      </c>
      <c r="AG104">
        <v>6</v>
      </c>
      <c r="AH104">
        <v>3</v>
      </c>
      <c r="AI104">
        <v>-1</v>
      </c>
      <c r="AJ104" t="s">
        <v>3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ROW(Source!A50)</f>
        <v>50</v>
      </c>
      <c r="B105">
        <v>57249688</v>
      </c>
      <c r="C105">
        <v>57249686</v>
      </c>
      <c r="D105">
        <v>54702434</v>
      </c>
      <c r="E105">
        <v>1081</v>
      </c>
      <c r="F105">
        <v>1</v>
      </c>
      <c r="G105">
        <v>1081</v>
      </c>
      <c r="H105">
        <v>1</v>
      </c>
      <c r="I105" t="s">
        <v>457</v>
      </c>
      <c r="J105" t="s">
        <v>3</v>
      </c>
      <c r="K105" t="s">
        <v>458</v>
      </c>
      <c r="L105">
        <v>1191</v>
      </c>
      <c r="N105">
        <v>1013</v>
      </c>
      <c r="O105" t="s">
        <v>459</v>
      </c>
      <c r="P105" t="s">
        <v>459</v>
      </c>
      <c r="Q105">
        <v>1</v>
      </c>
      <c r="X105">
        <v>7.0000000000000007E-2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32</v>
      </c>
      <c r="AG105">
        <v>2.52E-2</v>
      </c>
      <c r="AH105">
        <v>2</v>
      </c>
      <c r="AI105">
        <v>57249687</v>
      </c>
      <c r="AJ105">
        <v>81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ROW(Source!A50)</f>
        <v>50</v>
      </c>
      <c r="B106">
        <v>57249689</v>
      </c>
      <c r="C106">
        <v>57249686</v>
      </c>
      <c r="D106">
        <v>54726259</v>
      </c>
      <c r="E106">
        <v>1081</v>
      </c>
      <c r="F106">
        <v>1</v>
      </c>
      <c r="G106">
        <v>1081</v>
      </c>
      <c r="H106">
        <v>3</v>
      </c>
      <c r="I106" t="s">
        <v>648</v>
      </c>
      <c r="J106" t="s">
        <v>3</v>
      </c>
      <c r="K106" t="s">
        <v>649</v>
      </c>
      <c r="L106">
        <v>1354</v>
      </c>
      <c r="N106">
        <v>1010</v>
      </c>
      <c r="O106" t="s">
        <v>228</v>
      </c>
      <c r="P106" t="s">
        <v>228</v>
      </c>
      <c r="Q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31</v>
      </c>
      <c r="AG106">
        <v>0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ROW(Source!A51)</f>
        <v>51</v>
      </c>
      <c r="B107">
        <v>57249688</v>
      </c>
      <c r="C107">
        <v>57249686</v>
      </c>
      <c r="D107">
        <v>54702434</v>
      </c>
      <c r="E107">
        <v>1081</v>
      </c>
      <c r="F107">
        <v>1</v>
      </c>
      <c r="G107">
        <v>1081</v>
      </c>
      <c r="H107">
        <v>1</v>
      </c>
      <c r="I107" t="s">
        <v>457</v>
      </c>
      <c r="J107" t="s">
        <v>3</v>
      </c>
      <c r="K107" t="s">
        <v>458</v>
      </c>
      <c r="L107">
        <v>1191</v>
      </c>
      <c r="N107">
        <v>1013</v>
      </c>
      <c r="O107" t="s">
        <v>459</v>
      </c>
      <c r="P107" t="s">
        <v>459</v>
      </c>
      <c r="Q107">
        <v>1</v>
      </c>
      <c r="X107">
        <v>7.0000000000000007E-2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32</v>
      </c>
      <c r="AG107">
        <v>2.52E-2</v>
      </c>
      <c r="AH107">
        <v>2</v>
      </c>
      <c r="AI107">
        <v>57249687</v>
      </c>
      <c r="AJ107">
        <v>82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ROW(Source!A51)</f>
        <v>51</v>
      </c>
      <c r="B108">
        <v>57249689</v>
      </c>
      <c r="C108">
        <v>57249686</v>
      </c>
      <c r="D108">
        <v>54726259</v>
      </c>
      <c r="E108">
        <v>1081</v>
      </c>
      <c r="F108">
        <v>1</v>
      </c>
      <c r="G108">
        <v>1081</v>
      </c>
      <c r="H108">
        <v>3</v>
      </c>
      <c r="I108" t="s">
        <v>648</v>
      </c>
      <c r="J108" t="s">
        <v>3</v>
      </c>
      <c r="K108" t="s">
        <v>649</v>
      </c>
      <c r="L108">
        <v>1354</v>
      </c>
      <c r="N108">
        <v>1010</v>
      </c>
      <c r="O108" t="s">
        <v>228</v>
      </c>
      <c r="P108" t="s">
        <v>228</v>
      </c>
      <c r="Q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31</v>
      </c>
      <c r="AG108">
        <v>0</v>
      </c>
      <c r="AH108">
        <v>3</v>
      </c>
      <c r="AI108">
        <v>-1</v>
      </c>
      <c r="AJ108" t="s">
        <v>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ROW(Source!A52)</f>
        <v>52</v>
      </c>
      <c r="B109">
        <v>57249698</v>
      </c>
      <c r="C109">
        <v>57249691</v>
      </c>
      <c r="D109">
        <v>54702434</v>
      </c>
      <c r="E109">
        <v>1081</v>
      </c>
      <c r="F109">
        <v>1</v>
      </c>
      <c r="G109">
        <v>1081</v>
      </c>
      <c r="H109">
        <v>1</v>
      </c>
      <c r="I109" t="s">
        <v>457</v>
      </c>
      <c r="J109" t="s">
        <v>3</v>
      </c>
      <c r="K109" t="s">
        <v>458</v>
      </c>
      <c r="L109">
        <v>1191</v>
      </c>
      <c r="N109">
        <v>1013</v>
      </c>
      <c r="O109" t="s">
        <v>459</v>
      </c>
      <c r="P109" t="s">
        <v>459</v>
      </c>
      <c r="Q109">
        <v>1</v>
      </c>
      <c r="X109">
        <v>11.57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1</v>
      </c>
      <c r="AF109" t="s">
        <v>85</v>
      </c>
      <c r="AG109">
        <v>8.3303999999999991</v>
      </c>
      <c r="AH109">
        <v>2</v>
      </c>
      <c r="AI109">
        <v>57249692</v>
      </c>
      <c r="AJ109">
        <v>83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ROW(Source!A52)</f>
        <v>52</v>
      </c>
      <c r="B110">
        <v>57249699</v>
      </c>
      <c r="C110">
        <v>57249691</v>
      </c>
      <c r="D110">
        <v>54768339</v>
      </c>
      <c r="E110">
        <v>1</v>
      </c>
      <c r="F110">
        <v>1</v>
      </c>
      <c r="G110">
        <v>1081</v>
      </c>
      <c r="H110">
        <v>2</v>
      </c>
      <c r="I110" t="s">
        <v>497</v>
      </c>
      <c r="J110" t="s">
        <v>498</v>
      </c>
      <c r="K110" t="s">
        <v>499</v>
      </c>
      <c r="L110">
        <v>1368</v>
      </c>
      <c r="N110">
        <v>1011</v>
      </c>
      <c r="O110" t="s">
        <v>463</v>
      </c>
      <c r="P110" t="s">
        <v>463</v>
      </c>
      <c r="Q110">
        <v>1</v>
      </c>
      <c r="X110">
        <v>0.18</v>
      </c>
      <c r="Y110">
        <v>0</v>
      </c>
      <c r="Z110">
        <v>83.1</v>
      </c>
      <c r="AA110">
        <v>12.62</v>
      </c>
      <c r="AB110">
        <v>0</v>
      </c>
      <c r="AC110">
        <v>0</v>
      </c>
      <c r="AD110">
        <v>1</v>
      </c>
      <c r="AE110">
        <v>0</v>
      </c>
      <c r="AF110" t="s">
        <v>85</v>
      </c>
      <c r="AG110">
        <v>0.12959999999999999</v>
      </c>
      <c r="AH110">
        <v>2</v>
      </c>
      <c r="AI110">
        <v>57249693</v>
      </c>
      <c r="AJ110">
        <v>84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ROW(Source!A52)</f>
        <v>52</v>
      </c>
      <c r="B111">
        <v>57249700</v>
      </c>
      <c r="C111">
        <v>57249691</v>
      </c>
      <c r="D111">
        <v>54768460</v>
      </c>
      <c r="E111">
        <v>1</v>
      </c>
      <c r="F111">
        <v>1</v>
      </c>
      <c r="G111">
        <v>1081</v>
      </c>
      <c r="H111">
        <v>2</v>
      </c>
      <c r="I111" t="s">
        <v>460</v>
      </c>
      <c r="J111" t="s">
        <v>461</v>
      </c>
      <c r="K111" t="s">
        <v>462</v>
      </c>
      <c r="L111">
        <v>1368</v>
      </c>
      <c r="N111">
        <v>1011</v>
      </c>
      <c r="O111" t="s">
        <v>463</v>
      </c>
      <c r="P111" t="s">
        <v>463</v>
      </c>
      <c r="Q111">
        <v>1</v>
      </c>
      <c r="X111">
        <v>1.38</v>
      </c>
      <c r="Y111">
        <v>0</v>
      </c>
      <c r="Z111">
        <v>0.8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85</v>
      </c>
      <c r="AG111">
        <v>0.99359999999999993</v>
      </c>
      <c r="AH111">
        <v>2</v>
      </c>
      <c r="AI111">
        <v>57249694</v>
      </c>
      <c r="AJ111">
        <v>85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ROW(Source!A52)</f>
        <v>52</v>
      </c>
      <c r="B112">
        <v>57249701</v>
      </c>
      <c r="C112">
        <v>57249691</v>
      </c>
      <c r="D112">
        <v>54768426</v>
      </c>
      <c r="E112">
        <v>1</v>
      </c>
      <c r="F112">
        <v>1</v>
      </c>
      <c r="G112">
        <v>1081</v>
      </c>
      <c r="H112">
        <v>2</v>
      </c>
      <c r="I112" t="s">
        <v>485</v>
      </c>
      <c r="J112" t="s">
        <v>486</v>
      </c>
      <c r="K112" t="s">
        <v>487</v>
      </c>
      <c r="L112">
        <v>1368</v>
      </c>
      <c r="N112">
        <v>1011</v>
      </c>
      <c r="O112" t="s">
        <v>463</v>
      </c>
      <c r="P112" t="s">
        <v>463</v>
      </c>
      <c r="Q112">
        <v>1</v>
      </c>
      <c r="X112">
        <v>5.6</v>
      </c>
      <c r="Y112">
        <v>0</v>
      </c>
      <c r="Z112">
        <v>0.47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85</v>
      </c>
      <c r="AG112">
        <v>4.032</v>
      </c>
      <c r="AH112">
        <v>2</v>
      </c>
      <c r="AI112">
        <v>57249695</v>
      </c>
      <c r="AJ112">
        <v>86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ROW(Source!A52)</f>
        <v>52</v>
      </c>
      <c r="B113">
        <v>57249702</v>
      </c>
      <c r="C113">
        <v>57249691</v>
      </c>
      <c r="D113">
        <v>54739203</v>
      </c>
      <c r="E113">
        <v>1</v>
      </c>
      <c r="F113">
        <v>1</v>
      </c>
      <c r="G113">
        <v>1081</v>
      </c>
      <c r="H113">
        <v>3</v>
      </c>
      <c r="I113" t="s">
        <v>526</v>
      </c>
      <c r="J113" t="s">
        <v>527</v>
      </c>
      <c r="K113" t="s">
        <v>528</v>
      </c>
      <c r="L113">
        <v>1346</v>
      </c>
      <c r="N113">
        <v>1009</v>
      </c>
      <c r="O113" t="s">
        <v>320</v>
      </c>
      <c r="P113" t="s">
        <v>320</v>
      </c>
      <c r="Q113">
        <v>1</v>
      </c>
      <c r="X113">
        <v>2.72</v>
      </c>
      <c r="Y113">
        <v>20.62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84</v>
      </c>
      <c r="AG113">
        <v>1.6320000000000001</v>
      </c>
      <c r="AH113">
        <v>2</v>
      </c>
      <c r="AI113">
        <v>57249696</v>
      </c>
      <c r="AJ113">
        <v>87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ROW(Source!A52)</f>
        <v>52</v>
      </c>
      <c r="B114">
        <v>57249703</v>
      </c>
      <c r="C114">
        <v>57249691</v>
      </c>
      <c r="D114">
        <v>54747383</v>
      </c>
      <c r="E114">
        <v>1</v>
      </c>
      <c r="F114">
        <v>1</v>
      </c>
      <c r="G114">
        <v>1081</v>
      </c>
      <c r="H114">
        <v>3</v>
      </c>
      <c r="I114" t="s">
        <v>491</v>
      </c>
      <c r="J114" t="s">
        <v>492</v>
      </c>
      <c r="K114" t="s">
        <v>493</v>
      </c>
      <c r="L114">
        <v>1354</v>
      </c>
      <c r="N114">
        <v>1010</v>
      </c>
      <c r="O114" t="s">
        <v>228</v>
      </c>
      <c r="P114" t="s">
        <v>228</v>
      </c>
      <c r="Q114">
        <v>1</v>
      </c>
      <c r="X114">
        <v>5</v>
      </c>
      <c r="Y114">
        <v>15.25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84</v>
      </c>
      <c r="AG114">
        <v>3</v>
      </c>
      <c r="AH114">
        <v>2</v>
      </c>
      <c r="AI114">
        <v>57249697</v>
      </c>
      <c r="AJ114">
        <v>88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ROW(Source!A52)</f>
        <v>52</v>
      </c>
      <c r="B115">
        <v>57249704</v>
      </c>
      <c r="C115">
        <v>57249691</v>
      </c>
      <c r="D115">
        <v>54722801</v>
      </c>
      <c r="E115">
        <v>1081</v>
      </c>
      <c r="F115">
        <v>1</v>
      </c>
      <c r="G115">
        <v>1081</v>
      </c>
      <c r="H115">
        <v>3</v>
      </c>
      <c r="I115" t="s">
        <v>650</v>
      </c>
      <c r="J115" t="s">
        <v>3</v>
      </c>
      <c r="K115" t="s">
        <v>651</v>
      </c>
      <c r="L115">
        <v>1354</v>
      </c>
      <c r="N115">
        <v>1010</v>
      </c>
      <c r="O115" t="s">
        <v>228</v>
      </c>
      <c r="P115" t="s">
        <v>228</v>
      </c>
      <c r="Q115">
        <v>1</v>
      </c>
      <c r="X115">
        <v>100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84</v>
      </c>
      <c r="AG115">
        <v>60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ROW(Source!A53)</f>
        <v>53</v>
      </c>
      <c r="B116">
        <v>57249698</v>
      </c>
      <c r="C116">
        <v>57249691</v>
      </c>
      <c r="D116">
        <v>54702434</v>
      </c>
      <c r="E116">
        <v>1081</v>
      </c>
      <c r="F116">
        <v>1</v>
      </c>
      <c r="G116">
        <v>1081</v>
      </c>
      <c r="H116">
        <v>1</v>
      </c>
      <c r="I116" t="s">
        <v>457</v>
      </c>
      <c r="J116" t="s">
        <v>3</v>
      </c>
      <c r="K116" t="s">
        <v>458</v>
      </c>
      <c r="L116">
        <v>1191</v>
      </c>
      <c r="N116">
        <v>1013</v>
      </c>
      <c r="O116" t="s">
        <v>459</v>
      </c>
      <c r="P116" t="s">
        <v>459</v>
      </c>
      <c r="Q116">
        <v>1</v>
      </c>
      <c r="X116">
        <v>11.57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1</v>
      </c>
      <c r="AF116" t="s">
        <v>85</v>
      </c>
      <c r="AG116">
        <v>8.3303999999999991</v>
      </c>
      <c r="AH116">
        <v>2</v>
      </c>
      <c r="AI116">
        <v>57249692</v>
      </c>
      <c r="AJ116">
        <v>89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ROW(Source!A53)</f>
        <v>53</v>
      </c>
      <c r="B117">
        <v>57249699</v>
      </c>
      <c r="C117">
        <v>57249691</v>
      </c>
      <c r="D117">
        <v>54768339</v>
      </c>
      <c r="E117">
        <v>1</v>
      </c>
      <c r="F117">
        <v>1</v>
      </c>
      <c r="G117">
        <v>1081</v>
      </c>
      <c r="H117">
        <v>2</v>
      </c>
      <c r="I117" t="s">
        <v>497</v>
      </c>
      <c r="J117" t="s">
        <v>498</v>
      </c>
      <c r="K117" t="s">
        <v>499</v>
      </c>
      <c r="L117">
        <v>1368</v>
      </c>
      <c r="N117">
        <v>1011</v>
      </c>
      <c r="O117" t="s">
        <v>463</v>
      </c>
      <c r="P117" t="s">
        <v>463</v>
      </c>
      <c r="Q117">
        <v>1</v>
      </c>
      <c r="X117">
        <v>0.18</v>
      </c>
      <c r="Y117">
        <v>0</v>
      </c>
      <c r="Z117">
        <v>83.1</v>
      </c>
      <c r="AA117">
        <v>12.62</v>
      </c>
      <c r="AB117">
        <v>0</v>
      </c>
      <c r="AC117">
        <v>0</v>
      </c>
      <c r="AD117">
        <v>1</v>
      </c>
      <c r="AE117">
        <v>0</v>
      </c>
      <c r="AF117" t="s">
        <v>85</v>
      </c>
      <c r="AG117">
        <v>0.12959999999999999</v>
      </c>
      <c r="AH117">
        <v>2</v>
      </c>
      <c r="AI117">
        <v>57249693</v>
      </c>
      <c r="AJ117">
        <v>90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ROW(Source!A53)</f>
        <v>53</v>
      </c>
      <c r="B118">
        <v>57249700</v>
      </c>
      <c r="C118">
        <v>57249691</v>
      </c>
      <c r="D118">
        <v>54768460</v>
      </c>
      <c r="E118">
        <v>1</v>
      </c>
      <c r="F118">
        <v>1</v>
      </c>
      <c r="G118">
        <v>1081</v>
      </c>
      <c r="H118">
        <v>2</v>
      </c>
      <c r="I118" t="s">
        <v>460</v>
      </c>
      <c r="J118" t="s">
        <v>461</v>
      </c>
      <c r="K118" t="s">
        <v>462</v>
      </c>
      <c r="L118">
        <v>1368</v>
      </c>
      <c r="N118">
        <v>1011</v>
      </c>
      <c r="O118" t="s">
        <v>463</v>
      </c>
      <c r="P118" t="s">
        <v>463</v>
      </c>
      <c r="Q118">
        <v>1</v>
      </c>
      <c r="X118">
        <v>1.38</v>
      </c>
      <c r="Y118">
        <v>0</v>
      </c>
      <c r="Z118">
        <v>0.8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85</v>
      </c>
      <c r="AG118">
        <v>0.99359999999999993</v>
      </c>
      <c r="AH118">
        <v>2</v>
      </c>
      <c r="AI118">
        <v>57249694</v>
      </c>
      <c r="AJ118">
        <v>91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ROW(Source!A53)</f>
        <v>53</v>
      </c>
      <c r="B119">
        <v>57249701</v>
      </c>
      <c r="C119">
        <v>57249691</v>
      </c>
      <c r="D119">
        <v>54768426</v>
      </c>
      <c r="E119">
        <v>1</v>
      </c>
      <c r="F119">
        <v>1</v>
      </c>
      <c r="G119">
        <v>1081</v>
      </c>
      <c r="H119">
        <v>2</v>
      </c>
      <c r="I119" t="s">
        <v>485</v>
      </c>
      <c r="J119" t="s">
        <v>486</v>
      </c>
      <c r="K119" t="s">
        <v>487</v>
      </c>
      <c r="L119">
        <v>1368</v>
      </c>
      <c r="N119">
        <v>1011</v>
      </c>
      <c r="O119" t="s">
        <v>463</v>
      </c>
      <c r="P119" t="s">
        <v>463</v>
      </c>
      <c r="Q119">
        <v>1</v>
      </c>
      <c r="X119">
        <v>5.6</v>
      </c>
      <c r="Y119">
        <v>0</v>
      </c>
      <c r="Z119">
        <v>0.47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85</v>
      </c>
      <c r="AG119">
        <v>4.032</v>
      </c>
      <c r="AH119">
        <v>2</v>
      </c>
      <c r="AI119">
        <v>57249695</v>
      </c>
      <c r="AJ119">
        <v>92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ROW(Source!A53)</f>
        <v>53</v>
      </c>
      <c r="B120">
        <v>57249702</v>
      </c>
      <c r="C120">
        <v>57249691</v>
      </c>
      <c r="D120">
        <v>54739203</v>
      </c>
      <c r="E120">
        <v>1</v>
      </c>
      <c r="F120">
        <v>1</v>
      </c>
      <c r="G120">
        <v>1081</v>
      </c>
      <c r="H120">
        <v>3</v>
      </c>
      <c r="I120" t="s">
        <v>526</v>
      </c>
      <c r="J120" t="s">
        <v>527</v>
      </c>
      <c r="K120" t="s">
        <v>528</v>
      </c>
      <c r="L120">
        <v>1346</v>
      </c>
      <c r="N120">
        <v>1009</v>
      </c>
      <c r="O120" t="s">
        <v>320</v>
      </c>
      <c r="P120" t="s">
        <v>320</v>
      </c>
      <c r="Q120">
        <v>1</v>
      </c>
      <c r="X120">
        <v>2.72</v>
      </c>
      <c r="Y120">
        <v>20.62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84</v>
      </c>
      <c r="AG120">
        <v>1.6320000000000001</v>
      </c>
      <c r="AH120">
        <v>2</v>
      </c>
      <c r="AI120">
        <v>57249696</v>
      </c>
      <c r="AJ120">
        <v>93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ROW(Source!A53)</f>
        <v>53</v>
      </c>
      <c r="B121">
        <v>57249703</v>
      </c>
      <c r="C121">
        <v>57249691</v>
      </c>
      <c r="D121">
        <v>54747383</v>
      </c>
      <c r="E121">
        <v>1</v>
      </c>
      <c r="F121">
        <v>1</v>
      </c>
      <c r="G121">
        <v>1081</v>
      </c>
      <c r="H121">
        <v>3</v>
      </c>
      <c r="I121" t="s">
        <v>491</v>
      </c>
      <c r="J121" t="s">
        <v>492</v>
      </c>
      <c r="K121" t="s">
        <v>493</v>
      </c>
      <c r="L121">
        <v>1354</v>
      </c>
      <c r="N121">
        <v>1010</v>
      </c>
      <c r="O121" t="s">
        <v>228</v>
      </c>
      <c r="P121" t="s">
        <v>228</v>
      </c>
      <c r="Q121">
        <v>1</v>
      </c>
      <c r="X121">
        <v>5</v>
      </c>
      <c r="Y121">
        <v>15.25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 t="s">
        <v>84</v>
      </c>
      <c r="AG121">
        <v>3</v>
      </c>
      <c r="AH121">
        <v>2</v>
      </c>
      <c r="AI121">
        <v>57249697</v>
      </c>
      <c r="AJ121">
        <v>94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ROW(Source!A53)</f>
        <v>53</v>
      </c>
      <c r="B122">
        <v>57249704</v>
      </c>
      <c r="C122">
        <v>57249691</v>
      </c>
      <c r="D122">
        <v>54722801</v>
      </c>
      <c r="E122">
        <v>1081</v>
      </c>
      <c r="F122">
        <v>1</v>
      </c>
      <c r="G122">
        <v>1081</v>
      </c>
      <c r="H122">
        <v>3</v>
      </c>
      <c r="I122" t="s">
        <v>650</v>
      </c>
      <c r="J122" t="s">
        <v>3</v>
      </c>
      <c r="K122" t="s">
        <v>651</v>
      </c>
      <c r="L122">
        <v>1354</v>
      </c>
      <c r="N122">
        <v>1010</v>
      </c>
      <c r="O122" t="s">
        <v>228</v>
      </c>
      <c r="P122" t="s">
        <v>228</v>
      </c>
      <c r="Q122">
        <v>1</v>
      </c>
      <c r="X122">
        <v>100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84</v>
      </c>
      <c r="AG122">
        <v>60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ROW(Source!A54)</f>
        <v>54</v>
      </c>
      <c r="B123">
        <v>57249711</v>
      </c>
      <c r="C123">
        <v>57249706</v>
      </c>
      <c r="D123">
        <v>54702434</v>
      </c>
      <c r="E123">
        <v>1081</v>
      </c>
      <c r="F123">
        <v>1</v>
      </c>
      <c r="G123">
        <v>1081</v>
      </c>
      <c r="H123">
        <v>1</v>
      </c>
      <c r="I123" t="s">
        <v>457</v>
      </c>
      <c r="J123" t="s">
        <v>3</v>
      </c>
      <c r="K123" t="s">
        <v>458</v>
      </c>
      <c r="L123">
        <v>1191</v>
      </c>
      <c r="N123">
        <v>1013</v>
      </c>
      <c r="O123" t="s">
        <v>459</v>
      </c>
      <c r="P123" t="s">
        <v>459</v>
      </c>
      <c r="Q123">
        <v>1</v>
      </c>
      <c r="X123">
        <v>1.03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85</v>
      </c>
      <c r="AG123">
        <v>0.74159999999999993</v>
      </c>
      <c r="AH123">
        <v>2</v>
      </c>
      <c r="AI123">
        <v>57249707</v>
      </c>
      <c r="AJ123">
        <v>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ROW(Source!A54)</f>
        <v>54</v>
      </c>
      <c r="B124">
        <v>57249712</v>
      </c>
      <c r="C124">
        <v>57249706</v>
      </c>
      <c r="D124">
        <v>54768339</v>
      </c>
      <c r="E124">
        <v>1</v>
      </c>
      <c r="F124">
        <v>1</v>
      </c>
      <c r="G124">
        <v>1081</v>
      </c>
      <c r="H124">
        <v>2</v>
      </c>
      <c r="I124" t="s">
        <v>497</v>
      </c>
      <c r="J124" t="s">
        <v>498</v>
      </c>
      <c r="K124" t="s">
        <v>499</v>
      </c>
      <c r="L124">
        <v>1368</v>
      </c>
      <c r="N124">
        <v>1011</v>
      </c>
      <c r="O124" t="s">
        <v>463</v>
      </c>
      <c r="P124" t="s">
        <v>463</v>
      </c>
      <c r="Q124">
        <v>1</v>
      </c>
      <c r="X124">
        <v>0.01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85</v>
      </c>
      <c r="AG124">
        <v>7.1999999999999998E-3</v>
      </c>
      <c r="AH124">
        <v>2</v>
      </c>
      <c r="AI124">
        <v>57249708</v>
      </c>
      <c r="AJ124">
        <v>96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ROW(Source!A54)</f>
        <v>54</v>
      </c>
      <c r="B125">
        <v>57249713</v>
      </c>
      <c r="C125">
        <v>57249706</v>
      </c>
      <c r="D125">
        <v>54767653</v>
      </c>
      <c r="E125">
        <v>1</v>
      </c>
      <c r="F125">
        <v>1</v>
      </c>
      <c r="G125">
        <v>1081</v>
      </c>
      <c r="H125">
        <v>2</v>
      </c>
      <c r="I125" t="s">
        <v>529</v>
      </c>
      <c r="J125" t="s">
        <v>530</v>
      </c>
      <c r="K125" t="s">
        <v>531</v>
      </c>
      <c r="L125">
        <v>1368</v>
      </c>
      <c r="N125">
        <v>1011</v>
      </c>
      <c r="O125" t="s">
        <v>463</v>
      </c>
      <c r="P125" t="s">
        <v>463</v>
      </c>
      <c r="Q125">
        <v>1</v>
      </c>
      <c r="X125">
        <v>0.26</v>
      </c>
      <c r="Y125">
        <v>0</v>
      </c>
      <c r="Z125">
        <v>0.32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85</v>
      </c>
      <c r="AG125">
        <v>0.18720000000000001</v>
      </c>
      <c r="AH125">
        <v>2</v>
      </c>
      <c r="AI125">
        <v>57249709</v>
      </c>
      <c r="AJ125">
        <v>97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ROW(Source!A54)</f>
        <v>54</v>
      </c>
      <c r="B126">
        <v>57249714</v>
      </c>
      <c r="C126">
        <v>57249706</v>
      </c>
      <c r="D126">
        <v>54739177</v>
      </c>
      <c r="E126">
        <v>1</v>
      </c>
      <c r="F126">
        <v>1</v>
      </c>
      <c r="G126">
        <v>1081</v>
      </c>
      <c r="H126">
        <v>3</v>
      </c>
      <c r="I126" t="s">
        <v>532</v>
      </c>
      <c r="J126" t="s">
        <v>533</v>
      </c>
      <c r="K126" t="s">
        <v>534</v>
      </c>
      <c r="L126">
        <v>1346</v>
      </c>
      <c r="N126">
        <v>1009</v>
      </c>
      <c r="O126" t="s">
        <v>320</v>
      </c>
      <c r="P126" t="s">
        <v>320</v>
      </c>
      <c r="Q126">
        <v>1</v>
      </c>
      <c r="X126">
        <v>0.25</v>
      </c>
      <c r="Y126">
        <v>15.02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84</v>
      </c>
      <c r="AG126">
        <v>0.15</v>
      </c>
      <c r="AH126">
        <v>2</v>
      </c>
      <c r="AI126">
        <v>57249710</v>
      </c>
      <c r="AJ126">
        <v>98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ROW(Source!A54)</f>
        <v>54</v>
      </c>
      <c r="B127">
        <v>57249715</v>
      </c>
      <c r="C127">
        <v>57249706</v>
      </c>
      <c r="D127">
        <v>54695112</v>
      </c>
      <c r="E127">
        <v>1081</v>
      </c>
      <c r="F127">
        <v>1</v>
      </c>
      <c r="G127">
        <v>1081</v>
      </c>
      <c r="H127">
        <v>3</v>
      </c>
      <c r="I127" t="s">
        <v>652</v>
      </c>
      <c r="J127" t="s">
        <v>3</v>
      </c>
      <c r="K127" t="s">
        <v>653</v>
      </c>
      <c r="L127">
        <v>1348</v>
      </c>
      <c r="N127">
        <v>1009</v>
      </c>
      <c r="O127" t="s">
        <v>298</v>
      </c>
      <c r="P127" t="s">
        <v>298</v>
      </c>
      <c r="Q127">
        <v>1000</v>
      </c>
      <c r="X127">
        <v>2.0000000000000001E-4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84</v>
      </c>
      <c r="AG127">
        <v>1.2E-4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ROW(Source!A54)</f>
        <v>54</v>
      </c>
      <c r="B128">
        <v>57249716</v>
      </c>
      <c r="C128">
        <v>57249706</v>
      </c>
      <c r="D128">
        <v>54720166</v>
      </c>
      <c r="E128">
        <v>1081</v>
      </c>
      <c r="F128">
        <v>1</v>
      </c>
      <c r="G128">
        <v>1081</v>
      </c>
      <c r="H128">
        <v>3</v>
      </c>
      <c r="I128" t="s">
        <v>654</v>
      </c>
      <c r="J128" t="s">
        <v>3</v>
      </c>
      <c r="K128" t="s">
        <v>655</v>
      </c>
      <c r="L128">
        <v>1354</v>
      </c>
      <c r="N128">
        <v>1010</v>
      </c>
      <c r="O128" t="s">
        <v>228</v>
      </c>
      <c r="P128" t="s">
        <v>228</v>
      </c>
      <c r="Q128">
        <v>1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84</v>
      </c>
      <c r="AG128">
        <v>0.6</v>
      </c>
      <c r="AH128">
        <v>3</v>
      </c>
      <c r="AI128">
        <v>-1</v>
      </c>
      <c r="AJ128" t="s">
        <v>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ROW(Source!A55)</f>
        <v>55</v>
      </c>
      <c r="B129">
        <v>57249711</v>
      </c>
      <c r="C129">
        <v>57249706</v>
      </c>
      <c r="D129">
        <v>54702434</v>
      </c>
      <c r="E129">
        <v>1081</v>
      </c>
      <c r="F129">
        <v>1</v>
      </c>
      <c r="G129">
        <v>1081</v>
      </c>
      <c r="H129">
        <v>1</v>
      </c>
      <c r="I129" t="s">
        <v>457</v>
      </c>
      <c r="J129" t="s">
        <v>3</v>
      </c>
      <c r="K129" t="s">
        <v>458</v>
      </c>
      <c r="L129">
        <v>1191</v>
      </c>
      <c r="N129">
        <v>1013</v>
      </c>
      <c r="O129" t="s">
        <v>459</v>
      </c>
      <c r="P129" t="s">
        <v>459</v>
      </c>
      <c r="Q129">
        <v>1</v>
      </c>
      <c r="X129">
        <v>1.03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1</v>
      </c>
      <c r="AF129" t="s">
        <v>85</v>
      </c>
      <c r="AG129">
        <v>0.74159999999999993</v>
      </c>
      <c r="AH129">
        <v>2</v>
      </c>
      <c r="AI129">
        <v>57249707</v>
      </c>
      <c r="AJ129">
        <v>99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ROW(Source!A55)</f>
        <v>55</v>
      </c>
      <c r="B130">
        <v>57249712</v>
      </c>
      <c r="C130">
        <v>57249706</v>
      </c>
      <c r="D130">
        <v>54768339</v>
      </c>
      <c r="E130">
        <v>1</v>
      </c>
      <c r="F130">
        <v>1</v>
      </c>
      <c r="G130">
        <v>1081</v>
      </c>
      <c r="H130">
        <v>2</v>
      </c>
      <c r="I130" t="s">
        <v>497</v>
      </c>
      <c r="J130" t="s">
        <v>498</v>
      </c>
      <c r="K130" t="s">
        <v>499</v>
      </c>
      <c r="L130">
        <v>1368</v>
      </c>
      <c r="N130">
        <v>1011</v>
      </c>
      <c r="O130" t="s">
        <v>463</v>
      </c>
      <c r="P130" t="s">
        <v>463</v>
      </c>
      <c r="Q130">
        <v>1</v>
      </c>
      <c r="X130">
        <v>0.01</v>
      </c>
      <c r="Y130">
        <v>0</v>
      </c>
      <c r="Z130">
        <v>83.1</v>
      </c>
      <c r="AA130">
        <v>12.62</v>
      </c>
      <c r="AB130">
        <v>0</v>
      </c>
      <c r="AC130">
        <v>0</v>
      </c>
      <c r="AD130">
        <v>1</v>
      </c>
      <c r="AE130">
        <v>0</v>
      </c>
      <c r="AF130" t="s">
        <v>85</v>
      </c>
      <c r="AG130">
        <v>7.1999999999999998E-3</v>
      </c>
      <c r="AH130">
        <v>2</v>
      </c>
      <c r="AI130">
        <v>57249708</v>
      </c>
      <c r="AJ130">
        <v>100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ROW(Source!A55)</f>
        <v>55</v>
      </c>
      <c r="B131">
        <v>57249713</v>
      </c>
      <c r="C131">
        <v>57249706</v>
      </c>
      <c r="D131">
        <v>54767653</v>
      </c>
      <c r="E131">
        <v>1</v>
      </c>
      <c r="F131">
        <v>1</v>
      </c>
      <c r="G131">
        <v>1081</v>
      </c>
      <c r="H131">
        <v>2</v>
      </c>
      <c r="I131" t="s">
        <v>529</v>
      </c>
      <c r="J131" t="s">
        <v>530</v>
      </c>
      <c r="K131" t="s">
        <v>531</v>
      </c>
      <c r="L131">
        <v>1368</v>
      </c>
      <c r="N131">
        <v>1011</v>
      </c>
      <c r="O131" t="s">
        <v>463</v>
      </c>
      <c r="P131" t="s">
        <v>463</v>
      </c>
      <c r="Q131">
        <v>1</v>
      </c>
      <c r="X131">
        <v>0.26</v>
      </c>
      <c r="Y131">
        <v>0</v>
      </c>
      <c r="Z131">
        <v>0.32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85</v>
      </c>
      <c r="AG131">
        <v>0.18720000000000001</v>
      </c>
      <c r="AH131">
        <v>2</v>
      </c>
      <c r="AI131">
        <v>57249709</v>
      </c>
      <c r="AJ131">
        <v>101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ROW(Source!A55)</f>
        <v>55</v>
      </c>
      <c r="B132">
        <v>57249714</v>
      </c>
      <c r="C132">
        <v>57249706</v>
      </c>
      <c r="D132">
        <v>54739177</v>
      </c>
      <c r="E132">
        <v>1</v>
      </c>
      <c r="F132">
        <v>1</v>
      </c>
      <c r="G132">
        <v>1081</v>
      </c>
      <c r="H132">
        <v>3</v>
      </c>
      <c r="I132" t="s">
        <v>532</v>
      </c>
      <c r="J132" t="s">
        <v>533</v>
      </c>
      <c r="K132" t="s">
        <v>534</v>
      </c>
      <c r="L132">
        <v>1346</v>
      </c>
      <c r="N132">
        <v>1009</v>
      </c>
      <c r="O132" t="s">
        <v>320</v>
      </c>
      <c r="P132" t="s">
        <v>320</v>
      </c>
      <c r="Q132">
        <v>1</v>
      </c>
      <c r="X132">
        <v>0.25</v>
      </c>
      <c r="Y132">
        <v>15.02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84</v>
      </c>
      <c r="AG132">
        <v>0.15</v>
      </c>
      <c r="AH132">
        <v>2</v>
      </c>
      <c r="AI132">
        <v>57249710</v>
      </c>
      <c r="AJ132">
        <v>102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ROW(Source!A55)</f>
        <v>55</v>
      </c>
      <c r="B133">
        <v>57249715</v>
      </c>
      <c r="C133">
        <v>57249706</v>
      </c>
      <c r="D133">
        <v>54695112</v>
      </c>
      <c r="E133">
        <v>1081</v>
      </c>
      <c r="F133">
        <v>1</v>
      </c>
      <c r="G133">
        <v>1081</v>
      </c>
      <c r="H133">
        <v>3</v>
      </c>
      <c r="I133" t="s">
        <v>652</v>
      </c>
      <c r="J133" t="s">
        <v>3</v>
      </c>
      <c r="K133" t="s">
        <v>653</v>
      </c>
      <c r="L133">
        <v>1348</v>
      </c>
      <c r="N133">
        <v>1009</v>
      </c>
      <c r="O133" t="s">
        <v>298</v>
      </c>
      <c r="P133" t="s">
        <v>298</v>
      </c>
      <c r="Q133">
        <v>1000</v>
      </c>
      <c r="X133">
        <v>2.0000000000000001E-4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 t="s">
        <v>84</v>
      </c>
      <c r="AG133">
        <v>1.2E-4</v>
      </c>
      <c r="AH133">
        <v>3</v>
      </c>
      <c r="AI133">
        <v>-1</v>
      </c>
      <c r="AJ133" t="s">
        <v>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ROW(Source!A55)</f>
        <v>55</v>
      </c>
      <c r="B134">
        <v>57249716</v>
      </c>
      <c r="C134">
        <v>57249706</v>
      </c>
      <c r="D134">
        <v>54720166</v>
      </c>
      <c r="E134">
        <v>1081</v>
      </c>
      <c r="F134">
        <v>1</v>
      </c>
      <c r="G134">
        <v>1081</v>
      </c>
      <c r="H134">
        <v>3</v>
      </c>
      <c r="I134" t="s">
        <v>654</v>
      </c>
      <c r="J134" t="s">
        <v>3</v>
      </c>
      <c r="K134" t="s">
        <v>655</v>
      </c>
      <c r="L134">
        <v>1354</v>
      </c>
      <c r="N134">
        <v>1010</v>
      </c>
      <c r="O134" t="s">
        <v>228</v>
      </c>
      <c r="P134" t="s">
        <v>228</v>
      </c>
      <c r="Q134">
        <v>1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84</v>
      </c>
      <c r="AG134">
        <v>0.6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ROW(Source!A56)</f>
        <v>56</v>
      </c>
      <c r="B135">
        <v>57249724</v>
      </c>
      <c r="C135">
        <v>57249718</v>
      </c>
      <c r="D135">
        <v>54702434</v>
      </c>
      <c r="E135">
        <v>1081</v>
      </c>
      <c r="F135">
        <v>1</v>
      </c>
      <c r="G135">
        <v>1081</v>
      </c>
      <c r="H135">
        <v>1</v>
      </c>
      <c r="I135" t="s">
        <v>457</v>
      </c>
      <c r="J135" t="s">
        <v>3</v>
      </c>
      <c r="K135" t="s">
        <v>458</v>
      </c>
      <c r="L135">
        <v>1191</v>
      </c>
      <c r="N135">
        <v>1013</v>
      </c>
      <c r="O135" t="s">
        <v>459</v>
      </c>
      <c r="P135" t="s">
        <v>459</v>
      </c>
      <c r="Q135">
        <v>1</v>
      </c>
      <c r="X135">
        <v>24.8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1</v>
      </c>
      <c r="AF135" t="s">
        <v>85</v>
      </c>
      <c r="AG135">
        <v>17.855999999999998</v>
      </c>
      <c r="AH135">
        <v>2</v>
      </c>
      <c r="AI135">
        <v>57249719</v>
      </c>
      <c r="AJ135">
        <v>103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ROW(Source!A56)</f>
        <v>56</v>
      </c>
      <c r="B136">
        <v>57249725</v>
      </c>
      <c r="C136">
        <v>57249718</v>
      </c>
      <c r="D136">
        <v>54768339</v>
      </c>
      <c r="E136">
        <v>1</v>
      </c>
      <c r="F136">
        <v>1</v>
      </c>
      <c r="G136">
        <v>1081</v>
      </c>
      <c r="H136">
        <v>2</v>
      </c>
      <c r="I136" t="s">
        <v>497</v>
      </c>
      <c r="J136" t="s">
        <v>498</v>
      </c>
      <c r="K136" t="s">
        <v>499</v>
      </c>
      <c r="L136">
        <v>1368</v>
      </c>
      <c r="N136">
        <v>1011</v>
      </c>
      <c r="O136" t="s">
        <v>463</v>
      </c>
      <c r="P136" t="s">
        <v>463</v>
      </c>
      <c r="Q136">
        <v>1</v>
      </c>
      <c r="X136">
        <v>0.02</v>
      </c>
      <c r="Y136">
        <v>0</v>
      </c>
      <c r="Z136">
        <v>83.1</v>
      </c>
      <c r="AA136">
        <v>12.62</v>
      </c>
      <c r="AB136">
        <v>0</v>
      </c>
      <c r="AC136">
        <v>0</v>
      </c>
      <c r="AD136">
        <v>1</v>
      </c>
      <c r="AE136">
        <v>0</v>
      </c>
      <c r="AF136" t="s">
        <v>85</v>
      </c>
      <c r="AG136">
        <v>1.44E-2</v>
      </c>
      <c r="AH136">
        <v>2</v>
      </c>
      <c r="AI136">
        <v>57249720</v>
      </c>
      <c r="AJ136">
        <v>104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ROW(Source!A56)</f>
        <v>56</v>
      </c>
      <c r="B137">
        <v>57249726</v>
      </c>
      <c r="C137">
        <v>57249718</v>
      </c>
      <c r="D137">
        <v>54768393</v>
      </c>
      <c r="E137">
        <v>1</v>
      </c>
      <c r="F137">
        <v>1</v>
      </c>
      <c r="G137">
        <v>1081</v>
      </c>
      <c r="H137">
        <v>2</v>
      </c>
      <c r="I137" t="s">
        <v>510</v>
      </c>
      <c r="J137" t="s">
        <v>511</v>
      </c>
      <c r="K137" t="s">
        <v>512</v>
      </c>
      <c r="L137">
        <v>1368</v>
      </c>
      <c r="N137">
        <v>1011</v>
      </c>
      <c r="O137" t="s">
        <v>463</v>
      </c>
      <c r="P137" t="s">
        <v>463</v>
      </c>
      <c r="Q137">
        <v>1</v>
      </c>
      <c r="X137">
        <v>8</v>
      </c>
      <c r="Y137">
        <v>0</v>
      </c>
      <c r="Z137">
        <v>0.77</v>
      </c>
      <c r="AA137">
        <v>0</v>
      </c>
      <c r="AB137">
        <v>0</v>
      </c>
      <c r="AC137">
        <v>0</v>
      </c>
      <c r="AD137">
        <v>1</v>
      </c>
      <c r="AE137">
        <v>0</v>
      </c>
      <c r="AF137" t="s">
        <v>85</v>
      </c>
      <c r="AG137">
        <v>5.76</v>
      </c>
      <c r="AH137">
        <v>2</v>
      </c>
      <c r="AI137">
        <v>57249721</v>
      </c>
      <c r="AJ137">
        <v>105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ROW(Source!A56)</f>
        <v>56</v>
      </c>
      <c r="B138">
        <v>57249727</v>
      </c>
      <c r="C138">
        <v>57249718</v>
      </c>
      <c r="D138">
        <v>54738788</v>
      </c>
      <c r="E138">
        <v>1</v>
      </c>
      <c r="F138">
        <v>1</v>
      </c>
      <c r="G138">
        <v>1081</v>
      </c>
      <c r="H138">
        <v>3</v>
      </c>
      <c r="I138" t="s">
        <v>535</v>
      </c>
      <c r="J138" t="s">
        <v>536</v>
      </c>
      <c r="K138" t="s">
        <v>537</v>
      </c>
      <c r="L138">
        <v>1296</v>
      </c>
      <c r="N138">
        <v>1002</v>
      </c>
      <c r="O138" t="s">
        <v>522</v>
      </c>
      <c r="P138" t="s">
        <v>522</v>
      </c>
      <c r="Q138">
        <v>1</v>
      </c>
      <c r="X138">
        <v>2.1267</v>
      </c>
      <c r="Y138">
        <v>84.21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84</v>
      </c>
      <c r="AG138">
        <v>1.2760199999999999</v>
      </c>
      <c r="AH138">
        <v>2</v>
      </c>
      <c r="AI138">
        <v>57249722</v>
      </c>
      <c r="AJ138">
        <v>106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ROW(Source!A56)</f>
        <v>56</v>
      </c>
      <c r="B139">
        <v>57249728</v>
      </c>
      <c r="C139">
        <v>57249718</v>
      </c>
      <c r="D139">
        <v>54739952</v>
      </c>
      <c r="E139">
        <v>1</v>
      </c>
      <c r="F139">
        <v>1</v>
      </c>
      <c r="G139">
        <v>1081</v>
      </c>
      <c r="H139">
        <v>3</v>
      </c>
      <c r="I139" t="s">
        <v>538</v>
      </c>
      <c r="J139" t="s">
        <v>539</v>
      </c>
      <c r="K139" t="s">
        <v>540</v>
      </c>
      <c r="L139">
        <v>1355</v>
      </c>
      <c r="N139">
        <v>1010</v>
      </c>
      <c r="O139" t="s">
        <v>67</v>
      </c>
      <c r="P139" t="s">
        <v>67</v>
      </c>
      <c r="Q139">
        <v>100</v>
      </c>
      <c r="X139">
        <v>4.04</v>
      </c>
      <c r="Y139">
        <v>43.8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 t="s">
        <v>84</v>
      </c>
      <c r="AG139">
        <v>2.4239999999999999</v>
      </c>
      <c r="AH139">
        <v>2</v>
      </c>
      <c r="AI139">
        <v>57249723</v>
      </c>
      <c r="AJ139">
        <v>107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ROW(Source!A56)</f>
        <v>56</v>
      </c>
      <c r="B140">
        <v>57249729</v>
      </c>
      <c r="C140">
        <v>57249718</v>
      </c>
      <c r="D140">
        <v>54718757</v>
      </c>
      <c r="E140">
        <v>1081</v>
      </c>
      <c r="F140">
        <v>1</v>
      </c>
      <c r="G140">
        <v>1081</v>
      </c>
      <c r="H140">
        <v>3</v>
      </c>
      <c r="I140" t="s">
        <v>656</v>
      </c>
      <c r="J140" t="s">
        <v>3</v>
      </c>
      <c r="K140" t="s">
        <v>657</v>
      </c>
      <c r="L140">
        <v>1354</v>
      </c>
      <c r="N140">
        <v>1010</v>
      </c>
      <c r="O140" t="s">
        <v>228</v>
      </c>
      <c r="P140" t="s">
        <v>228</v>
      </c>
      <c r="Q140">
        <v>1</v>
      </c>
      <c r="X140">
        <v>1.7633000000000001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 t="s">
        <v>84</v>
      </c>
      <c r="AG140">
        <v>1.0579799999999999</v>
      </c>
      <c r="AH140">
        <v>3</v>
      </c>
      <c r="AI140">
        <v>-1</v>
      </c>
      <c r="AJ140" t="s">
        <v>3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ROW(Source!A56)</f>
        <v>56</v>
      </c>
      <c r="B141">
        <v>57249730</v>
      </c>
      <c r="C141">
        <v>57249718</v>
      </c>
      <c r="D141">
        <v>54727376</v>
      </c>
      <c r="E141">
        <v>1081</v>
      </c>
      <c r="F141">
        <v>1</v>
      </c>
      <c r="G141">
        <v>1081</v>
      </c>
      <c r="H141">
        <v>3</v>
      </c>
      <c r="I141" t="s">
        <v>658</v>
      </c>
      <c r="J141" t="s">
        <v>3</v>
      </c>
      <c r="K141" t="s">
        <v>659</v>
      </c>
      <c r="L141">
        <v>1354</v>
      </c>
      <c r="N141">
        <v>1010</v>
      </c>
      <c r="O141" t="s">
        <v>228</v>
      </c>
      <c r="P141" t="s">
        <v>228</v>
      </c>
      <c r="Q141">
        <v>1</v>
      </c>
      <c r="X141">
        <v>100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84</v>
      </c>
      <c r="AG141">
        <v>60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ROW(Source!A57)</f>
        <v>57</v>
      </c>
      <c r="B142">
        <v>57249724</v>
      </c>
      <c r="C142">
        <v>57249718</v>
      </c>
      <c r="D142">
        <v>54702434</v>
      </c>
      <c r="E142">
        <v>1081</v>
      </c>
      <c r="F142">
        <v>1</v>
      </c>
      <c r="G142">
        <v>1081</v>
      </c>
      <c r="H142">
        <v>1</v>
      </c>
      <c r="I142" t="s">
        <v>457</v>
      </c>
      <c r="J142" t="s">
        <v>3</v>
      </c>
      <c r="K142" t="s">
        <v>458</v>
      </c>
      <c r="L142">
        <v>1191</v>
      </c>
      <c r="N142">
        <v>1013</v>
      </c>
      <c r="O142" t="s">
        <v>459</v>
      </c>
      <c r="P142" t="s">
        <v>459</v>
      </c>
      <c r="Q142">
        <v>1</v>
      </c>
      <c r="X142">
        <v>24.8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1</v>
      </c>
      <c r="AF142" t="s">
        <v>85</v>
      </c>
      <c r="AG142">
        <v>17.855999999999998</v>
      </c>
      <c r="AH142">
        <v>2</v>
      </c>
      <c r="AI142">
        <v>57249719</v>
      </c>
      <c r="AJ142">
        <v>108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ROW(Source!A57)</f>
        <v>57</v>
      </c>
      <c r="B143">
        <v>57249725</v>
      </c>
      <c r="C143">
        <v>57249718</v>
      </c>
      <c r="D143">
        <v>54768339</v>
      </c>
      <c r="E143">
        <v>1</v>
      </c>
      <c r="F143">
        <v>1</v>
      </c>
      <c r="G143">
        <v>1081</v>
      </c>
      <c r="H143">
        <v>2</v>
      </c>
      <c r="I143" t="s">
        <v>497</v>
      </c>
      <c r="J143" t="s">
        <v>498</v>
      </c>
      <c r="K143" t="s">
        <v>499</v>
      </c>
      <c r="L143">
        <v>1368</v>
      </c>
      <c r="N143">
        <v>1011</v>
      </c>
      <c r="O143" t="s">
        <v>463</v>
      </c>
      <c r="P143" t="s">
        <v>463</v>
      </c>
      <c r="Q143">
        <v>1</v>
      </c>
      <c r="X143">
        <v>0.02</v>
      </c>
      <c r="Y143">
        <v>0</v>
      </c>
      <c r="Z143">
        <v>83.1</v>
      </c>
      <c r="AA143">
        <v>12.62</v>
      </c>
      <c r="AB143">
        <v>0</v>
      </c>
      <c r="AC143">
        <v>0</v>
      </c>
      <c r="AD143">
        <v>1</v>
      </c>
      <c r="AE143">
        <v>0</v>
      </c>
      <c r="AF143" t="s">
        <v>85</v>
      </c>
      <c r="AG143">
        <v>1.44E-2</v>
      </c>
      <c r="AH143">
        <v>2</v>
      </c>
      <c r="AI143">
        <v>57249720</v>
      </c>
      <c r="AJ143">
        <v>109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ROW(Source!A57)</f>
        <v>57</v>
      </c>
      <c r="B144">
        <v>57249726</v>
      </c>
      <c r="C144">
        <v>57249718</v>
      </c>
      <c r="D144">
        <v>54768393</v>
      </c>
      <c r="E144">
        <v>1</v>
      </c>
      <c r="F144">
        <v>1</v>
      </c>
      <c r="G144">
        <v>1081</v>
      </c>
      <c r="H144">
        <v>2</v>
      </c>
      <c r="I144" t="s">
        <v>510</v>
      </c>
      <c r="J144" t="s">
        <v>511</v>
      </c>
      <c r="K144" t="s">
        <v>512</v>
      </c>
      <c r="L144">
        <v>1368</v>
      </c>
      <c r="N144">
        <v>1011</v>
      </c>
      <c r="O144" t="s">
        <v>463</v>
      </c>
      <c r="P144" t="s">
        <v>463</v>
      </c>
      <c r="Q144">
        <v>1</v>
      </c>
      <c r="X144">
        <v>8</v>
      </c>
      <c r="Y144">
        <v>0</v>
      </c>
      <c r="Z144">
        <v>0.77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85</v>
      </c>
      <c r="AG144">
        <v>5.76</v>
      </c>
      <c r="AH144">
        <v>2</v>
      </c>
      <c r="AI144">
        <v>57249721</v>
      </c>
      <c r="AJ144">
        <v>110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ROW(Source!A57)</f>
        <v>57</v>
      </c>
      <c r="B145">
        <v>57249727</v>
      </c>
      <c r="C145">
        <v>57249718</v>
      </c>
      <c r="D145">
        <v>54738788</v>
      </c>
      <c r="E145">
        <v>1</v>
      </c>
      <c r="F145">
        <v>1</v>
      </c>
      <c r="G145">
        <v>1081</v>
      </c>
      <c r="H145">
        <v>3</v>
      </c>
      <c r="I145" t="s">
        <v>535</v>
      </c>
      <c r="J145" t="s">
        <v>536</v>
      </c>
      <c r="K145" t="s">
        <v>537</v>
      </c>
      <c r="L145">
        <v>1296</v>
      </c>
      <c r="N145">
        <v>1002</v>
      </c>
      <c r="O145" t="s">
        <v>522</v>
      </c>
      <c r="P145" t="s">
        <v>522</v>
      </c>
      <c r="Q145">
        <v>1</v>
      </c>
      <c r="X145">
        <v>2.1267</v>
      </c>
      <c r="Y145">
        <v>84.21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84</v>
      </c>
      <c r="AG145">
        <v>1.2760199999999999</v>
      </c>
      <c r="AH145">
        <v>2</v>
      </c>
      <c r="AI145">
        <v>57249722</v>
      </c>
      <c r="AJ145">
        <v>111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ROW(Source!A57)</f>
        <v>57</v>
      </c>
      <c r="B146">
        <v>57249728</v>
      </c>
      <c r="C146">
        <v>57249718</v>
      </c>
      <c r="D146">
        <v>54739952</v>
      </c>
      <c r="E146">
        <v>1</v>
      </c>
      <c r="F146">
        <v>1</v>
      </c>
      <c r="G146">
        <v>1081</v>
      </c>
      <c r="H146">
        <v>3</v>
      </c>
      <c r="I146" t="s">
        <v>538</v>
      </c>
      <c r="J146" t="s">
        <v>539</v>
      </c>
      <c r="K146" t="s">
        <v>540</v>
      </c>
      <c r="L146">
        <v>1355</v>
      </c>
      <c r="N146">
        <v>1010</v>
      </c>
      <c r="O146" t="s">
        <v>67</v>
      </c>
      <c r="P146" t="s">
        <v>67</v>
      </c>
      <c r="Q146">
        <v>100</v>
      </c>
      <c r="X146">
        <v>4.04</v>
      </c>
      <c r="Y146">
        <v>43.8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84</v>
      </c>
      <c r="AG146">
        <v>2.4239999999999999</v>
      </c>
      <c r="AH146">
        <v>2</v>
      </c>
      <c r="AI146">
        <v>57249723</v>
      </c>
      <c r="AJ146">
        <v>112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ROW(Source!A57)</f>
        <v>57</v>
      </c>
      <c r="B147">
        <v>57249729</v>
      </c>
      <c r="C147">
        <v>57249718</v>
      </c>
      <c r="D147">
        <v>54718757</v>
      </c>
      <c r="E147">
        <v>1081</v>
      </c>
      <c r="F147">
        <v>1</v>
      </c>
      <c r="G147">
        <v>1081</v>
      </c>
      <c r="H147">
        <v>3</v>
      </c>
      <c r="I147" t="s">
        <v>656</v>
      </c>
      <c r="J147" t="s">
        <v>3</v>
      </c>
      <c r="K147" t="s">
        <v>657</v>
      </c>
      <c r="L147">
        <v>1354</v>
      </c>
      <c r="N147">
        <v>1010</v>
      </c>
      <c r="O147" t="s">
        <v>228</v>
      </c>
      <c r="P147" t="s">
        <v>228</v>
      </c>
      <c r="Q147">
        <v>1</v>
      </c>
      <c r="X147">
        <v>1.7633000000000001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84</v>
      </c>
      <c r="AG147">
        <v>1.0579799999999999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ROW(Source!A57)</f>
        <v>57</v>
      </c>
      <c r="B148">
        <v>57249730</v>
      </c>
      <c r="C148">
        <v>57249718</v>
      </c>
      <c r="D148">
        <v>54727376</v>
      </c>
      <c r="E148">
        <v>1081</v>
      </c>
      <c r="F148">
        <v>1</v>
      </c>
      <c r="G148">
        <v>1081</v>
      </c>
      <c r="H148">
        <v>3</v>
      </c>
      <c r="I148" t="s">
        <v>658</v>
      </c>
      <c r="J148" t="s">
        <v>3</v>
      </c>
      <c r="K148" t="s">
        <v>659</v>
      </c>
      <c r="L148">
        <v>1354</v>
      </c>
      <c r="N148">
        <v>1010</v>
      </c>
      <c r="O148" t="s">
        <v>228</v>
      </c>
      <c r="P148" t="s">
        <v>228</v>
      </c>
      <c r="Q148">
        <v>1</v>
      </c>
      <c r="X148">
        <v>100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84</v>
      </c>
      <c r="AG148">
        <v>60</v>
      </c>
      <c r="AH148">
        <v>3</v>
      </c>
      <c r="AI148">
        <v>-1</v>
      </c>
      <c r="AJ148" t="s">
        <v>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ROW(Source!A58)</f>
        <v>58</v>
      </c>
      <c r="B149">
        <v>57249733</v>
      </c>
      <c r="C149">
        <v>57249731</v>
      </c>
      <c r="D149">
        <v>54702434</v>
      </c>
      <c r="E149">
        <v>1081</v>
      </c>
      <c r="F149">
        <v>1</v>
      </c>
      <c r="G149">
        <v>1081</v>
      </c>
      <c r="H149">
        <v>1</v>
      </c>
      <c r="I149" t="s">
        <v>457</v>
      </c>
      <c r="J149" t="s">
        <v>3</v>
      </c>
      <c r="K149" t="s">
        <v>458</v>
      </c>
      <c r="L149">
        <v>1191</v>
      </c>
      <c r="N149">
        <v>1013</v>
      </c>
      <c r="O149" t="s">
        <v>459</v>
      </c>
      <c r="P149" t="s">
        <v>459</v>
      </c>
      <c r="Q149">
        <v>1</v>
      </c>
      <c r="X149">
        <v>9.64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1</v>
      </c>
      <c r="AF149" t="s">
        <v>120</v>
      </c>
      <c r="AG149">
        <v>11.568</v>
      </c>
      <c r="AH149">
        <v>2</v>
      </c>
      <c r="AI149">
        <v>57249732</v>
      </c>
      <c r="AJ149">
        <v>113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ROW(Source!A59)</f>
        <v>59</v>
      </c>
      <c r="B150">
        <v>57249733</v>
      </c>
      <c r="C150">
        <v>57249731</v>
      </c>
      <c r="D150">
        <v>54702434</v>
      </c>
      <c r="E150">
        <v>1081</v>
      </c>
      <c r="F150">
        <v>1</v>
      </c>
      <c r="G150">
        <v>1081</v>
      </c>
      <c r="H150">
        <v>1</v>
      </c>
      <c r="I150" t="s">
        <v>457</v>
      </c>
      <c r="J150" t="s">
        <v>3</v>
      </c>
      <c r="K150" t="s">
        <v>458</v>
      </c>
      <c r="L150">
        <v>1191</v>
      </c>
      <c r="N150">
        <v>1013</v>
      </c>
      <c r="O150" t="s">
        <v>459</v>
      </c>
      <c r="P150" t="s">
        <v>459</v>
      </c>
      <c r="Q150">
        <v>1</v>
      </c>
      <c r="X150">
        <v>9.64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1</v>
      </c>
      <c r="AF150" t="s">
        <v>120</v>
      </c>
      <c r="AG150">
        <v>11.568</v>
      </c>
      <c r="AH150">
        <v>2</v>
      </c>
      <c r="AI150">
        <v>57249732</v>
      </c>
      <c r="AJ150">
        <v>114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ROW(Source!A60)</f>
        <v>60</v>
      </c>
      <c r="B151">
        <v>57249737</v>
      </c>
      <c r="C151">
        <v>57249734</v>
      </c>
      <c r="D151">
        <v>54702434</v>
      </c>
      <c r="E151">
        <v>1081</v>
      </c>
      <c r="F151">
        <v>1</v>
      </c>
      <c r="G151">
        <v>1081</v>
      </c>
      <c r="H151">
        <v>1</v>
      </c>
      <c r="I151" t="s">
        <v>457</v>
      </c>
      <c r="J151" t="s">
        <v>3</v>
      </c>
      <c r="K151" t="s">
        <v>458</v>
      </c>
      <c r="L151">
        <v>1191</v>
      </c>
      <c r="N151">
        <v>1013</v>
      </c>
      <c r="O151" t="s">
        <v>459</v>
      </c>
      <c r="P151" t="s">
        <v>459</v>
      </c>
      <c r="Q151">
        <v>1</v>
      </c>
      <c r="X151">
        <v>30.44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120</v>
      </c>
      <c r="AG151">
        <v>36.527999999999999</v>
      </c>
      <c r="AH151">
        <v>2</v>
      </c>
      <c r="AI151">
        <v>57249735</v>
      </c>
      <c r="AJ151">
        <v>115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ROW(Source!A60)</f>
        <v>60</v>
      </c>
      <c r="B152">
        <v>57249738</v>
      </c>
      <c r="C152">
        <v>57249734</v>
      </c>
      <c r="D152">
        <v>54734511</v>
      </c>
      <c r="E152">
        <v>1081</v>
      </c>
      <c r="F152">
        <v>1</v>
      </c>
      <c r="G152">
        <v>1081</v>
      </c>
      <c r="H152">
        <v>3</v>
      </c>
      <c r="I152" t="s">
        <v>541</v>
      </c>
      <c r="J152" t="s">
        <v>3</v>
      </c>
      <c r="K152" t="s">
        <v>542</v>
      </c>
      <c r="L152">
        <v>1348</v>
      </c>
      <c r="N152">
        <v>1009</v>
      </c>
      <c r="O152" t="s">
        <v>298</v>
      </c>
      <c r="P152" t="s">
        <v>298</v>
      </c>
      <c r="Q152">
        <v>1000</v>
      </c>
      <c r="X152">
        <v>0.247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 t="s">
        <v>119</v>
      </c>
      <c r="AG152">
        <v>0.247</v>
      </c>
      <c r="AH152">
        <v>2</v>
      </c>
      <c r="AI152">
        <v>57249736</v>
      </c>
      <c r="AJ152">
        <v>116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ROW(Source!A61)</f>
        <v>61</v>
      </c>
      <c r="B153">
        <v>57249737</v>
      </c>
      <c r="C153">
        <v>57249734</v>
      </c>
      <c r="D153">
        <v>54702434</v>
      </c>
      <c r="E153">
        <v>1081</v>
      </c>
      <c r="F153">
        <v>1</v>
      </c>
      <c r="G153">
        <v>1081</v>
      </c>
      <c r="H153">
        <v>1</v>
      </c>
      <c r="I153" t="s">
        <v>457</v>
      </c>
      <c r="J153" t="s">
        <v>3</v>
      </c>
      <c r="K153" t="s">
        <v>458</v>
      </c>
      <c r="L153">
        <v>1191</v>
      </c>
      <c r="N153">
        <v>1013</v>
      </c>
      <c r="O153" t="s">
        <v>459</v>
      </c>
      <c r="P153" t="s">
        <v>459</v>
      </c>
      <c r="Q153">
        <v>1</v>
      </c>
      <c r="X153">
        <v>30.44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120</v>
      </c>
      <c r="AG153">
        <v>36.527999999999999</v>
      </c>
      <c r="AH153">
        <v>2</v>
      </c>
      <c r="AI153">
        <v>57249735</v>
      </c>
      <c r="AJ153">
        <v>117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ROW(Source!A61)</f>
        <v>61</v>
      </c>
      <c r="B154">
        <v>57249738</v>
      </c>
      <c r="C154">
        <v>57249734</v>
      </c>
      <c r="D154">
        <v>54734511</v>
      </c>
      <c r="E154">
        <v>1081</v>
      </c>
      <c r="F154">
        <v>1</v>
      </c>
      <c r="G154">
        <v>1081</v>
      </c>
      <c r="H154">
        <v>3</v>
      </c>
      <c r="I154" t="s">
        <v>541</v>
      </c>
      <c r="J154" t="s">
        <v>3</v>
      </c>
      <c r="K154" t="s">
        <v>542</v>
      </c>
      <c r="L154">
        <v>1348</v>
      </c>
      <c r="N154">
        <v>1009</v>
      </c>
      <c r="O154" t="s">
        <v>298</v>
      </c>
      <c r="P154" t="s">
        <v>298</v>
      </c>
      <c r="Q154">
        <v>1000</v>
      </c>
      <c r="X154">
        <v>0.247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119</v>
      </c>
      <c r="AG154">
        <v>0.247</v>
      </c>
      <c r="AH154">
        <v>2</v>
      </c>
      <c r="AI154">
        <v>57249736</v>
      </c>
      <c r="AJ154">
        <v>118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ROW(Source!A62)</f>
        <v>62</v>
      </c>
      <c r="B155">
        <v>57257943</v>
      </c>
      <c r="C155">
        <v>57257942</v>
      </c>
      <c r="D155">
        <v>54702434</v>
      </c>
      <c r="E155">
        <v>1081</v>
      </c>
      <c r="F155">
        <v>1</v>
      </c>
      <c r="G155">
        <v>1081</v>
      </c>
      <c r="H155">
        <v>1</v>
      </c>
      <c r="I155" t="s">
        <v>457</v>
      </c>
      <c r="J155" t="s">
        <v>3</v>
      </c>
      <c r="K155" t="s">
        <v>458</v>
      </c>
      <c r="L155">
        <v>1191</v>
      </c>
      <c r="N155">
        <v>1013</v>
      </c>
      <c r="O155" t="s">
        <v>459</v>
      </c>
      <c r="P155" t="s">
        <v>459</v>
      </c>
      <c r="Q155">
        <v>1</v>
      </c>
      <c r="X155">
        <v>24.76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 t="s">
        <v>32</v>
      </c>
      <c r="AG155">
        <v>8.9135999999999989</v>
      </c>
      <c r="AH155">
        <v>2</v>
      </c>
      <c r="AI155">
        <v>57257943</v>
      </c>
      <c r="AJ155">
        <v>119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ROW(Source!A62)</f>
        <v>62</v>
      </c>
      <c r="B156">
        <v>57257944</v>
      </c>
      <c r="C156">
        <v>57257942</v>
      </c>
      <c r="D156">
        <v>54768393</v>
      </c>
      <c r="E156">
        <v>1</v>
      </c>
      <c r="F156">
        <v>1</v>
      </c>
      <c r="G156">
        <v>1081</v>
      </c>
      <c r="H156">
        <v>2</v>
      </c>
      <c r="I156" t="s">
        <v>510</v>
      </c>
      <c r="J156" t="s">
        <v>511</v>
      </c>
      <c r="K156" t="s">
        <v>512</v>
      </c>
      <c r="L156">
        <v>1368</v>
      </c>
      <c r="N156">
        <v>1011</v>
      </c>
      <c r="O156" t="s">
        <v>463</v>
      </c>
      <c r="P156" t="s">
        <v>463</v>
      </c>
      <c r="Q156">
        <v>1</v>
      </c>
      <c r="X156">
        <v>2.44</v>
      </c>
      <c r="Y156">
        <v>0</v>
      </c>
      <c r="Z156">
        <v>0.77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32</v>
      </c>
      <c r="AG156">
        <v>0.87839999999999996</v>
      </c>
      <c r="AH156">
        <v>2</v>
      </c>
      <c r="AI156">
        <v>57257944</v>
      </c>
      <c r="AJ156">
        <v>120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ROW(Source!A62)</f>
        <v>62</v>
      </c>
      <c r="B157">
        <v>57257945</v>
      </c>
      <c r="C157">
        <v>57257942</v>
      </c>
      <c r="D157">
        <v>54768426</v>
      </c>
      <c r="E157">
        <v>1</v>
      </c>
      <c r="F157">
        <v>1</v>
      </c>
      <c r="G157">
        <v>1081</v>
      </c>
      <c r="H157">
        <v>2</v>
      </c>
      <c r="I157" t="s">
        <v>485</v>
      </c>
      <c r="J157" t="s">
        <v>486</v>
      </c>
      <c r="K157" t="s">
        <v>487</v>
      </c>
      <c r="L157">
        <v>1368</v>
      </c>
      <c r="N157">
        <v>1011</v>
      </c>
      <c r="O157" t="s">
        <v>463</v>
      </c>
      <c r="P157" t="s">
        <v>463</v>
      </c>
      <c r="Q157">
        <v>1</v>
      </c>
      <c r="X157">
        <v>4.63</v>
      </c>
      <c r="Y157">
        <v>0</v>
      </c>
      <c r="Z157">
        <v>0.47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32</v>
      </c>
      <c r="AG157">
        <v>1.6668000000000001</v>
      </c>
      <c r="AH157">
        <v>2</v>
      </c>
      <c r="AI157">
        <v>57257945</v>
      </c>
      <c r="AJ157">
        <v>121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ROW(Source!A62)</f>
        <v>62</v>
      </c>
      <c r="B158">
        <v>57257946</v>
      </c>
      <c r="C158">
        <v>57257942</v>
      </c>
      <c r="D158">
        <v>54760333</v>
      </c>
      <c r="E158">
        <v>1</v>
      </c>
      <c r="F158">
        <v>1</v>
      </c>
      <c r="G158">
        <v>1081</v>
      </c>
      <c r="H158">
        <v>3</v>
      </c>
      <c r="I158" t="s">
        <v>543</v>
      </c>
      <c r="J158" t="s">
        <v>544</v>
      </c>
      <c r="K158" t="s">
        <v>545</v>
      </c>
      <c r="L158">
        <v>1356</v>
      </c>
      <c r="N158">
        <v>1010</v>
      </c>
      <c r="O158" t="s">
        <v>348</v>
      </c>
      <c r="P158" t="s">
        <v>348</v>
      </c>
      <c r="Q158">
        <v>1000</v>
      </c>
      <c r="X158">
        <v>3.1E-2</v>
      </c>
      <c r="Y158">
        <v>226.66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31</v>
      </c>
      <c r="AG158">
        <v>0</v>
      </c>
      <c r="AH158">
        <v>2</v>
      </c>
      <c r="AI158">
        <v>57257946</v>
      </c>
      <c r="AJ158">
        <v>122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ROW(Source!A62)</f>
        <v>62</v>
      </c>
      <c r="B159">
        <v>57257947</v>
      </c>
      <c r="C159">
        <v>57257942</v>
      </c>
      <c r="D159">
        <v>54760107</v>
      </c>
      <c r="E159">
        <v>1</v>
      </c>
      <c r="F159">
        <v>1</v>
      </c>
      <c r="G159">
        <v>1081</v>
      </c>
      <c r="H159">
        <v>3</v>
      </c>
      <c r="I159" t="s">
        <v>546</v>
      </c>
      <c r="J159" t="s">
        <v>547</v>
      </c>
      <c r="K159" t="s">
        <v>548</v>
      </c>
      <c r="L159">
        <v>1355</v>
      </c>
      <c r="N159">
        <v>1010</v>
      </c>
      <c r="O159" t="s">
        <v>67</v>
      </c>
      <c r="P159" t="s">
        <v>67</v>
      </c>
      <c r="Q159">
        <v>100</v>
      </c>
      <c r="X159">
        <v>0.315</v>
      </c>
      <c r="Y159">
        <v>26.71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31</v>
      </c>
      <c r="AG159">
        <v>0</v>
      </c>
      <c r="AH159">
        <v>2</v>
      </c>
      <c r="AI159">
        <v>57257947</v>
      </c>
      <c r="AJ159">
        <v>123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ROW(Source!A62)</f>
        <v>62</v>
      </c>
      <c r="B160">
        <v>57257948</v>
      </c>
      <c r="C160">
        <v>57257942</v>
      </c>
      <c r="D160">
        <v>54747393</v>
      </c>
      <c r="E160">
        <v>1</v>
      </c>
      <c r="F160">
        <v>1</v>
      </c>
      <c r="G160">
        <v>1081</v>
      </c>
      <c r="H160">
        <v>3</v>
      </c>
      <c r="I160" t="s">
        <v>549</v>
      </c>
      <c r="J160" t="s">
        <v>550</v>
      </c>
      <c r="K160" t="s">
        <v>551</v>
      </c>
      <c r="L160">
        <v>1354</v>
      </c>
      <c r="N160">
        <v>1010</v>
      </c>
      <c r="O160" t="s">
        <v>228</v>
      </c>
      <c r="P160" t="s">
        <v>228</v>
      </c>
      <c r="Q160">
        <v>1</v>
      </c>
      <c r="X160">
        <v>0.28000000000000003</v>
      </c>
      <c r="Y160">
        <v>14.22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31</v>
      </c>
      <c r="AG160">
        <v>0</v>
      </c>
      <c r="AH160">
        <v>2</v>
      </c>
      <c r="AI160">
        <v>57257948</v>
      </c>
      <c r="AJ160">
        <v>124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ROW(Source!A62)</f>
        <v>62</v>
      </c>
      <c r="B161">
        <v>57257949</v>
      </c>
      <c r="C161">
        <v>57257942</v>
      </c>
      <c r="D161">
        <v>54706435</v>
      </c>
      <c r="E161">
        <v>1081</v>
      </c>
      <c r="F161">
        <v>1</v>
      </c>
      <c r="G161">
        <v>1081</v>
      </c>
      <c r="H161">
        <v>3</v>
      </c>
      <c r="I161" t="s">
        <v>660</v>
      </c>
      <c r="J161" t="s">
        <v>3</v>
      </c>
      <c r="K161" t="s">
        <v>661</v>
      </c>
      <c r="L161">
        <v>1301</v>
      </c>
      <c r="N161">
        <v>1003</v>
      </c>
      <c r="O161" t="s">
        <v>341</v>
      </c>
      <c r="P161" t="s">
        <v>341</v>
      </c>
      <c r="Q161">
        <v>1</v>
      </c>
      <c r="X161">
        <v>102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31</v>
      </c>
      <c r="AG161">
        <v>0</v>
      </c>
      <c r="AH161">
        <v>3</v>
      </c>
      <c r="AI161">
        <v>-1</v>
      </c>
      <c r="AJ161" t="s">
        <v>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ROW(Source!A62)</f>
        <v>62</v>
      </c>
      <c r="B162">
        <v>57257950</v>
      </c>
      <c r="C162">
        <v>57257942</v>
      </c>
      <c r="D162">
        <v>54711690</v>
      </c>
      <c r="E162">
        <v>1081</v>
      </c>
      <c r="F162">
        <v>1</v>
      </c>
      <c r="G162">
        <v>1081</v>
      </c>
      <c r="H162">
        <v>3</v>
      </c>
      <c r="I162" t="s">
        <v>662</v>
      </c>
      <c r="J162" t="s">
        <v>3</v>
      </c>
      <c r="K162" t="s">
        <v>663</v>
      </c>
      <c r="L162">
        <v>1356</v>
      </c>
      <c r="N162">
        <v>1010</v>
      </c>
      <c r="O162" t="s">
        <v>348</v>
      </c>
      <c r="P162" t="s">
        <v>348</v>
      </c>
      <c r="Q162">
        <v>1000</v>
      </c>
      <c r="X162">
        <v>0.23799999999999999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31</v>
      </c>
      <c r="AG162">
        <v>0</v>
      </c>
      <c r="AH162">
        <v>3</v>
      </c>
      <c r="AI162">
        <v>-1</v>
      </c>
      <c r="AJ162" t="s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ROW(Source!A62)</f>
        <v>62</v>
      </c>
      <c r="B163">
        <v>57257951</v>
      </c>
      <c r="C163">
        <v>57257942</v>
      </c>
      <c r="D163">
        <v>54717077</v>
      </c>
      <c r="E163">
        <v>1081</v>
      </c>
      <c r="F163">
        <v>1</v>
      </c>
      <c r="G163">
        <v>1081</v>
      </c>
      <c r="H163">
        <v>3</v>
      </c>
      <c r="I163" t="s">
        <v>664</v>
      </c>
      <c r="J163" t="s">
        <v>3</v>
      </c>
      <c r="K163" t="s">
        <v>665</v>
      </c>
      <c r="L163">
        <v>1303</v>
      </c>
      <c r="N163">
        <v>1003</v>
      </c>
      <c r="O163" t="s">
        <v>390</v>
      </c>
      <c r="P163" t="s">
        <v>390</v>
      </c>
      <c r="Q163">
        <v>1000</v>
      </c>
      <c r="X163">
        <v>0.10199999999999999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31</v>
      </c>
      <c r="AG163">
        <v>0</v>
      </c>
      <c r="AH163">
        <v>3</v>
      </c>
      <c r="AI163">
        <v>-1</v>
      </c>
      <c r="AJ163" t="s">
        <v>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ROW(Source!A62)</f>
        <v>62</v>
      </c>
      <c r="B164">
        <v>57257952</v>
      </c>
      <c r="C164">
        <v>57257942</v>
      </c>
      <c r="D164">
        <v>54725934</v>
      </c>
      <c r="E164">
        <v>1081</v>
      </c>
      <c r="F164">
        <v>1</v>
      </c>
      <c r="G164">
        <v>1081</v>
      </c>
      <c r="H164">
        <v>3</v>
      </c>
      <c r="I164" t="s">
        <v>666</v>
      </c>
      <c r="J164" t="s">
        <v>3</v>
      </c>
      <c r="K164" t="s">
        <v>667</v>
      </c>
      <c r="L164">
        <v>1355</v>
      </c>
      <c r="N164">
        <v>1010</v>
      </c>
      <c r="O164" t="s">
        <v>67</v>
      </c>
      <c r="P164" t="s">
        <v>67</v>
      </c>
      <c r="Q164">
        <v>100</v>
      </c>
      <c r="X164">
        <v>2.36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31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ROW(Source!A63)</f>
        <v>63</v>
      </c>
      <c r="B165">
        <v>57257943</v>
      </c>
      <c r="C165">
        <v>57257942</v>
      </c>
      <c r="D165">
        <v>54702434</v>
      </c>
      <c r="E165">
        <v>1081</v>
      </c>
      <c r="F165">
        <v>1</v>
      </c>
      <c r="G165">
        <v>1081</v>
      </c>
      <c r="H165">
        <v>1</v>
      </c>
      <c r="I165" t="s">
        <v>457</v>
      </c>
      <c r="J165" t="s">
        <v>3</v>
      </c>
      <c r="K165" t="s">
        <v>458</v>
      </c>
      <c r="L165">
        <v>1191</v>
      </c>
      <c r="N165">
        <v>1013</v>
      </c>
      <c r="O165" t="s">
        <v>459</v>
      </c>
      <c r="P165" t="s">
        <v>459</v>
      </c>
      <c r="Q165">
        <v>1</v>
      </c>
      <c r="X165">
        <v>24.76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 t="s">
        <v>32</v>
      </c>
      <c r="AG165">
        <v>8.9135999999999989</v>
      </c>
      <c r="AH165">
        <v>2</v>
      </c>
      <c r="AI165">
        <v>57257943</v>
      </c>
      <c r="AJ165">
        <v>125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ROW(Source!A63)</f>
        <v>63</v>
      </c>
      <c r="B166">
        <v>57257944</v>
      </c>
      <c r="C166">
        <v>57257942</v>
      </c>
      <c r="D166">
        <v>54768393</v>
      </c>
      <c r="E166">
        <v>1</v>
      </c>
      <c r="F166">
        <v>1</v>
      </c>
      <c r="G166">
        <v>1081</v>
      </c>
      <c r="H166">
        <v>2</v>
      </c>
      <c r="I166" t="s">
        <v>510</v>
      </c>
      <c r="J166" t="s">
        <v>511</v>
      </c>
      <c r="K166" t="s">
        <v>512</v>
      </c>
      <c r="L166">
        <v>1368</v>
      </c>
      <c r="N166">
        <v>1011</v>
      </c>
      <c r="O166" t="s">
        <v>463</v>
      </c>
      <c r="P166" t="s">
        <v>463</v>
      </c>
      <c r="Q166">
        <v>1</v>
      </c>
      <c r="X166">
        <v>2.44</v>
      </c>
      <c r="Y166">
        <v>0</v>
      </c>
      <c r="Z166">
        <v>0.77</v>
      </c>
      <c r="AA166">
        <v>0</v>
      </c>
      <c r="AB166">
        <v>0</v>
      </c>
      <c r="AC166">
        <v>0</v>
      </c>
      <c r="AD166">
        <v>1</v>
      </c>
      <c r="AE166">
        <v>0</v>
      </c>
      <c r="AF166" t="s">
        <v>32</v>
      </c>
      <c r="AG166">
        <v>0.87839999999999996</v>
      </c>
      <c r="AH166">
        <v>2</v>
      </c>
      <c r="AI166">
        <v>57257944</v>
      </c>
      <c r="AJ166">
        <v>126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ROW(Source!A63)</f>
        <v>63</v>
      </c>
      <c r="B167">
        <v>57257945</v>
      </c>
      <c r="C167">
        <v>57257942</v>
      </c>
      <c r="D167">
        <v>54768426</v>
      </c>
      <c r="E167">
        <v>1</v>
      </c>
      <c r="F167">
        <v>1</v>
      </c>
      <c r="G167">
        <v>1081</v>
      </c>
      <c r="H167">
        <v>2</v>
      </c>
      <c r="I167" t="s">
        <v>485</v>
      </c>
      <c r="J167" t="s">
        <v>486</v>
      </c>
      <c r="K167" t="s">
        <v>487</v>
      </c>
      <c r="L167">
        <v>1368</v>
      </c>
      <c r="N167">
        <v>1011</v>
      </c>
      <c r="O167" t="s">
        <v>463</v>
      </c>
      <c r="P167" t="s">
        <v>463</v>
      </c>
      <c r="Q167">
        <v>1</v>
      </c>
      <c r="X167">
        <v>4.63</v>
      </c>
      <c r="Y167">
        <v>0</v>
      </c>
      <c r="Z167">
        <v>0.47</v>
      </c>
      <c r="AA167">
        <v>0</v>
      </c>
      <c r="AB167">
        <v>0</v>
      </c>
      <c r="AC167">
        <v>0</v>
      </c>
      <c r="AD167">
        <v>1</v>
      </c>
      <c r="AE167">
        <v>0</v>
      </c>
      <c r="AF167" t="s">
        <v>32</v>
      </c>
      <c r="AG167">
        <v>1.6668000000000001</v>
      </c>
      <c r="AH167">
        <v>2</v>
      </c>
      <c r="AI167">
        <v>57257945</v>
      </c>
      <c r="AJ167">
        <v>127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ROW(Source!A63)</f>
        <v>63</v>
      </c>
      <c r="B168">
        <v>57257946</v>
      </c>
      <c r="C168">
        <v>57257942</v>
      </c>
      <c r="D168">
        <v>54760333</v>
      </c>
      <c r="E168">
        <v>1</v>
      </c>
      <c r="F168">
        <v>1</v>
      </c>
      <c r="G168">
        <v>1081</v>
      </c>
      <c r="H168">
        <v>3</v>
      </c>
      <c r="I168" t="s">
        <v>543</v>
      </c>
      <c r="J168" t="s">
        <v>544</v>
      </c>
      <c r="K168" t="s">
        <v>545</v>
      </c>
      <c r="L168">
        <v>1356</v>
      </c>
      <c r="N168">
        <v>1010</v>
      </c>
      <c r="O168" t="s">
        <v>348</v>
      </c>
      <c r="P168" t="s">
        <v>348</v>
      </c>
      <c r="Q168">
        <v>1000</v>
      </c>
      <c r="X168">
        <v>3.1E-2</v>
      </c>
      <c r="Y168">
        <v>226.66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31</v>
      </c>
      <c r="AG168">
        <v>0</v>
      </c>
      <c r="AH168">
        <v>2</v>
      </c>
      <c r="AI168">
        <v>57257946</v>
      </c>
      <c r="AJ168">
        <v>128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ROW(Source!A63)</f>
        <v>63</v>
      </c>
      <c r="B169">
        <v>57257947</v>
      </c>
      <c r="C169">
        <v>57257942</v>
      </c>
      <c r="D169">
        <v>54760107</v>
      </c>
      <c r="E169">
        <v>1</v>
      </c>
      <c r="F169">
        <v>1</v>
      </c>
      <c r="G169">
        <v>1081</v>
      </c>
      <c r="H169">
        <v>3</v>
      </c>
      <c r="I169" t="s">
        <v>546</v>
      </c>
      <c r="J169" t="s">
        <v>547</v>
      </c>
      <c r="K169" t="s">
        <v>548</v>
      </c>
      <c r="L169">
        <v>1355</v>
      </c>
      <c r="N169">
        <v>1010</v>
      </c>
      <c r="O169" t="s">
        <v>67</v>
      </c>
      <c r="P169" t="s">
        <v>67</v>
      </c>
      <c r="Q169">
        <v>100</v>
      </c>
      <c r="X169">
        <v>0.315</v>
      </c>
      <c r="Y169">
        <v>26.71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 t="s">
        <v>31</v>
      </c>
      <c r="AG169">
        <v>0</v>
      </c>
      <c r="AH169">
        <v>2</v>
      </c>
      <c r="AI169">
        <v>57257947</v>
      </c>
      <c r="AJ169">
        <v>129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ROW(Source!A63)</f>
        <v>63</v>
      </c>
      <c r="B170">
        <v>57257948</v>
      </c>
      <c r="C170">
        <v>57257942</v>
      </c>
      <c r="D170">
        <v>54747393</v>
      </c>
      <c r="E170">
        <v>1</v>
      </c>
      <c r="F170">
        <v>1</v>
      </c>
      <c r="G170">
        <v>1081</v>
      </c>
      <c r="H170">
        <v>3</v>
      </c>
      <c r="I170" t="s">
        <v>549</v>
      </c>
      <c r="J170" t="s">
        <v>550</v>
      </c>
      <c r="K170" t="s">
        <v>551</v>
      </c>
      <c r="L170">
        <v>1354</v>
      </c>
      <c r="N170">
        <v>1010</v>
      </c>
      <c r="O170" t="s">
        <v>228</v>
      </c>
      <c r="P170" t="s">
        <v>228</v>
      </c>
      <c r="Q170">
        <v>1</v>
      </c>
      <c r="X170">
        <v>0.28000000000000003</v>
      </c>
      <c r="Y170">
        <v>14.22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31</v>
      </c>
      <c r="AG170">
        <v>0</v>
      </c>
      <c r="AH170">
        <v>2</v>
      </c>
      <c r="AI170">
        <v>57257948</v>
      </c>
      <c r="AJ170">
        <v>130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ROW(Source!A63)</f>
        <v>63</v>
      </c>
      <c r="B171">
        <v>57257949</v>
      </c>
      <c r="C171">
        <v>57257942</v>
      </c>
      <c r="D171">
        <v>54706435</v>
      </c>
      <c r="E171">
        <v>1081</v>
      </c>
      <c r="F171">
        <v>1</v>
      </c>
      <c r="G171">
        <v>1081</v>
      </c>
      <c r="H171">
        <v>3</v>
      </c>
      <c r="I171" t="s">
        <v>660</v>
      </c>
      <c r="J171" t="s">
        <v>3</v>
      </c>
      <c r="K171" t="s">
        <v>661</v>
      </c>
      <c r="L171">
        <v>1301</v>
      </c>
      <c r="N171">
        <v>1003</v>
      </c>
      <c r="O171" t="s">
        <v>341</v>
      </c>
      <c r="P171" t="s">
        <v>341</v>
      </c>
      <c r="Q171">
        <v>1</v>
      </c>
      <c r="X171">
        <v>102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31</v>
      </c>
      <c r="AG171">
        <v>0</v>
      </c>
      <c r="AH171">
        <v>3</v>
      </c>
      <c r="AI171">
        <v>-1</v>
      </c>
      <c r="AJ171" t="s">
        <v>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ROW(Source!A63)</f>
        <v>63</v>
      </c>
      <c r="B172">
        <v>57257950</v>
      </c>
      <c r="C172">
        <v>57257942</v>
      </c>
      <c r="D172">
        <v>54711690</v>
      </c>
      <c r="E172">
        <v>1081</v>
      </c>
      <c r="F172">
        <v>1</v>
      </c>
      <c r="G172">
        <v>1081</v>
      </c>
      <c r="H172">
        <v>3</v>
      </c>
      <c r="I172" t="s">
        <v>662</v>
      </c>
      <c r="J172" t="s">
        <v>3</v>
      </c>
      <c r="K172" t="s">
        <v>663</v>
      </c>
      <c r="L172">
        <v>1356</v>
      </c>
      <c r="N172">
        <v>1010</v>
      </c>
      <c r="O172" t="s">
        <v>348</v>
      </c>
      <c r="P172" t="s">
        <v>348</v>
      </c>
      <c r="Q172">
        <v>1000</v>
      </c>
      <c r="X172">
        <v>0.23799999999999999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31</v>
      </c>
      <c r="AG172">
        <v>0</v>
      </c>
      <c r="AH172">
        <v>3</v>
      </c>
      <c r="AI172">
        <v>-1</v>
      </c>
      <c r="AJ172" t="s">
        <v>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ROW(Source!A63)</f>
        <v>63</v>
      </c>
      <c r="B173">
        <v>57257951</v>
      </c>
      <c r="C173">
        <v>57257942</v>
      </c>
      <c r="D173">
        <v>54717077</v>
      </c>
      <c r="E173">
        <v>1081</v>
      </c>
      <c r="F173">
        <v>1</v>
      </c>
      <c r="G173">
        <v>1081</v>
      </c>
      <c r="H173">
        <v>3</v>
      </c>
      <c r="I173" t="s">
        <v>664</v>
      </c>
      <c r="J173" t="s">
        <v>3</v>
      </c>
      <c r="K173" t="s">
        <v>665</v>
      </c>
      <c r="L173">
        <v>1303</v>
      </c>
      <c r="N173">
        <v>1003</v>
      </c>
      <c r="O173" t="s">
        <v>390</v>
      </c>
      <c r="P173" t="s">
        <v>390</v>
      </c>
      <c r="Q173">
        <v>1000</v>
      </c>
      <c r="X173">
        <v>0.10199999999999999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31</v>
      </c>
      <c r="AG173">
        <v>0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ROW(Source!A63)</f>
        <v>63</v>
      </c>
      <c r="B174">
        <v>57257952</v>
      </c>
      <c r="C174">
        <v>57257942</v>
      </c>
      <c r="D174">
        <v>54725934</v>
      </c>
      <c r="E174">
        <v>1081</v>
      </c>
      <c r="F174">
        <v>1</v>
      </c>
      <c r="G174">
        <v>1081</v>
      </c>
      <c r="H174">
        <v>3</v>
      </c>
      <c r="I174" t="s">
        <v>666</v>
      </c>
      <c r="J174" t="s">
        <v>3</v>
      </c>
      <c r="K174" t="s">
        <v>667</v>
      </c>
      <c r="L174">
        <v>1355</v>
      </c>
      <c r="N174">
        <v>1010</v>
      </c>
      <c r="O174" t="s">
        <v>67</v>
      </c>
      <c r="P174" t="s">
        <v>67</v>
      </c>
      <c r="Q174">
        <v>100</v>
      </c>
      <c r="X174">
        <v>2.36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31</v>
      </c>
      <c r="AG174">
        <v>0</v>
      </c>
      <c r="AH174">
        <v>3</v>
      </c>
      <c r="AI174">
        <v>-1</v>
      </c>
      <c r="AJ174" t="s">
        <v>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ROW(Source!A99)</f>
        <v>99</v>
      </c>
      <c r="B175">
        <v>57249136</v>
      </c>
      <c r="C175">
        <v>57249134</v>
      </c>
      <c r="D175">
        <v>54702434</v>
      </c>
      <c r="E175">
        <v>1081</v>
      </c>
      <c r="F175">
        <v>1</v>
      </c>
      <c r="G175">
        <v>1081</v>
      </c>
      <c r="H175">
        <v>1</v>
      </c>
      <c r="I175" t="s">
        <v>457</v>
      </c>
      <c r="J175" t="s">
        <v>3</v>
      </c>
      <c r="K175" t="s">
        <v>458</v>
      </c>
      <c r="L175">
        <v>1191</v>
      </c>
      <c r="N175">
        <v>1013</v>
      </c>
      <c r="O175" t="s">
        <v>459</v>
      </c>
      <c r="P175" t="s">
        <v>459</v>
      </c>
      <c r="Q175">
        <v>1</v>
      </c>
      <c r="X175">
        <v>1.8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1</v>
      </c>
      <c r="AF175" t="s">
        <v>120</v>
      </c>
      <c r="AG175">
        <v>2.16</v>
      </c>
      <c r="AH175">
        <v>2</v>
      </c>
      <c r="AI175">
        <v>57249135</v>
      </c>
      <c r="AJ175">
        <v>131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ROW(Source!A100)</f>
        <v>100</v>
      </c>
      <c r="B176">
        <v>57249136</v>
      </c>
      <c r="C176">
        <v>57249134</v>
      </c>
      <c r="D176">
        <v>54702434</v>
      </c>
      <c r="E176">
        <v>1081</v>
      </c>
      <c r="F176">
        <v>1</v>
      </c>
      <c r="G176">
        <v>1081</v>
      </c>
      <c r="H176">
        <v>1</v>
      </c>
      <c r="I176" t="s">
        <v>457</v>
      </c>
      <c r="J176" t="s">
        <v>3</v>
      </c>
      <c r="K176" t="s">
        <v>458</v>
      </c>
      <c r="L176">
        <v>1191</v>
      </c>
      <c r="N176">
        <v>1013</v>
      </c>
      <c r="O176" t="s">
        <v>459</v>
      </c>
      <c r="P176" t="s">
        <v>459</v>
      </c>
      <c r="Q176">
        <v>1</v>
      </c>
      <c r="X176">
        <v>1.8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1</v>
      </c>
      <c r="AF176" t="s">
        <v>120</v>
      </c>
      <c r="AG176">
        <v>2.16</v>
      </c>
      <c r="AH176">
        <v>2</v>
      </c>
      <c r="AI176">
        <v>57249135</v>
      </c>
      <c r="AJ176">
        <v>132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ROW(Source!A103)</f>
        <v>103</v>
      </c>
      <c r="B177">
        <v>57250073</v>
      </c>
      <c r="C177">
        <v>57249145</v>
      </c>
      <c r="D177">
        <v>54702434</v>
      </c>
      <c r="E177">
        <v>1081</v>
      </c>
      <c r="F177">
        <v>1</v>
      </c>
      <c r="G177">
        <v>1081</v>
      </c>
      <c r="H177">
        <v>1</v>
      </c>
      <c r="I177" t="s">
        <v>457</v>
      </c>
      <c r="J177" t="s">
        <v>3</v>
      </c>
      <c r="K177" t="s">
        <v>458</v>
      </c>
      <c r="L177">
        <v>1191</v>
      </c>
      <c r="N177">
        <v>1013</v>
      </c>
      <c r="O177" t="s">
        <v>459</v>
      </c>
      <c r="P177" t="s">
        <v>459</v>
      </c>
      <c r="Q177">
        <v>1</v>
      </c>
      <c r="X177">
        <v>7.2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3</v>
      </c>
      <c r="AG177">
        <v>7.2</v>
      </c>
      <c r="AH177">
        <v>2</v>
      </c>
      <c r="AI177">
        <v>57250073</v>
      </c>
      <c r="AJ177">
        <v>133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ROW(Source!A104)</f>
        <v>104</v>
      </c>
      <c r="B178">
        <v>57250073</v>
      </c>
      <c r="C178">
        <v>57249145</v>
      </c>
      <c r="D178">
        <v>54702434</v>
      </c>
      <c r="E178">
        <v>1081</v>
      </c>
      <c r="F178">
        <v>1</v>
      </c>
      <c r="G178">
        <v>1081</v>
      </c>
      <c r="H178">
        <v>1</v>
      </c>
      <c r="I178" t="s">
        <v>457</v>
      </c>
      <c r="J178" t="s">
        <v>3</v>
      </c>
      <c r="K178" t="s">
        <v>458</v>
      </c>
      <c r="L178">
        <v>1191</v>
      </c>
      <c r="N178">
        <v>1013</v>
      </c>
      <c r="O178" t="s">
        <v>459</v>
      </c>
      <c r="P178" t="s">
        <v>459</v>
      </c>
      <c r="Q178">
        <v>1</v>
      </c>
      <c r="X178">
        <v>7.2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1</v>
      </c>
      <c r="AF178" t="s">
        <v>3</v>
      </c>
      <c r="AG178">
        <v>7.2</v>
      </c>
      <c r="AH178">
        <v>2</v>
      </c>
      <c r="AI178">
        <v>57250073</v>
      </c>
      <c r="AJ178">
        <v>134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ROW(Source!A107)</f>
        <v>107</v>
      </c>
      <c r="B179">
        <v>57249167</v>
      </c>
      <c r="C179">
        <v>57249155</v>
      </c>
      <c r="D179">
        <v>54702434</v>
      </c>
      <c r="E179">
        <v>1081</v>
      </c>
      <c r="F179">
        <v>1</v>
      </c>
      <c r="G179">
        <v>1081</v>
      </c>
      <c r="H179">
        <v>1</v>
      </c>
      <c r="I179" t="s">
        <v>457</v>
      </c>
      <c r="J179" t="s">
        <v>3</v>
      </c>
      <c r="K179" t="s">
        <v>458</v>
      </c>
      <c r="L179">
        <v>1191</v>
      </c>
      <c r="N179">
        <v>1013</v>
      </c>
      <c r="O179" t="s">
        <v>459</v>
      </c>
      <c r="P179" t="s">
        <v>459</v>
      </c>
      <c r="Q179">
        <v>1</v>
      </c>
      <c r="X179">
        <v>6.01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1</v>
      </c>
      <c r="AF179" t="s">
        <v>120</v>
      </c>
      <c r="AG179">
        <v>7.2119999999999997</v>
      </c>
      <c r="AH179">
        <v>2</v>
      </c>
      <c r="AI179">
        <v>57249156</v>
      </c>
      <c r="AJ179">
        <v>135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ROW(Source!A107)</f>
        <v>107</v>
      </c>
      <c r="B180">
        <v>57249168</v>
      </c>
      <c r="C180">
        <v>57249155</v>
      </c>
      <c r="D180">
        <v>54768460</v>
      </c>
      <c r="E180">
        <v>1</v>
      </c>
      <c r="F180">
        <v>1</v>
      </c>
      <c r="G180">
        <v>1081</v>
      </c>
      <c r="H180">
        <v>2</v>
      </c>
      <c r="I180" t="s">
        <v>460</v>
      </c>
      <c r="J180" t="s">
        <v>461</v>
      </c>
      <c r="K180" t="s">
        <v>462</v>
      </c>
      <c r="L180">
        <v>1368</v>
      </c>
      <c r="N180">
        <v>1011</v>
      </c>
      <c r="O180" t="s">
        <v>463</v>
      </c>
      <c r="P180" t="s">
        <v>463</v>
      </c>
      <c r="Q180">
        <v>1</v>
      </c>
      <c r="X180">
        <v>0.25</v>
      </c>
      <c r="Y180">
        <v>0</v>
      </c>
      <c r="Z180">
        <v>0.8</v>
      </c>
      <c r="AA180">
        <v>0</v>
      </c>
      <c r="AB180">
        <v>0</v>
      </c>
      <c r="AC180">
        <v>0</v>
      </c>
      <c r="AD180">
        <v>1</v>
      </c>
      <c r="AE180">
        <v>0</v>
      </c>
      <c r="AF180" t="s">
        <v>120</v>
      </c>
      <c r="AG180">
        <v>0.3</v>
      </c>
      <c r="AH180">
        <v>2</v>
      </c>
      <c r="AI180">
        <v>57249157</v>
      </c>
      <c r="AJ180">
        <v>136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ROW(Source!A107)</f>
        <v>107</v>
      </c>
      <c r="B181">
        <v>57249169</v>
      </c>
      <c r="C181">
        <v>57249155</v>
      </c>
      <c r="D181">
        <v>54768461</v>
      </c>
      <c r="E181">
        <v>1</v>
      </c>
      <c r="F181">
        <v>1</v>
      </c>
      <c r="G181">
        <v>1081</v>
      </c>
      <c r="H181">
        <v>2</v>
      </c>
      <c r="I181" t="s">
        <v>464</v>
      </c>
      <c r="J181" t="s">
        <v>465</v>
      </c>
      <c r="K181" t="s">
        <v>466</v>
      </c>
      <c r="L181">
        <v>1368</v>
      </c>
      <c r="N181">
        <v>1011</v>
      </c>
      <c r="O181" t="s">
        <v>463</v>
      </c>
      <c r="P181" t="s">
        <v>463</v>
      </c>
      <c r="Q181">
        <v>1</v>
      </c>
      <c r="X181">
        <v>0.56000000000000005</v>
      </c>
      <c r="Y181">
        <v>0</v>
      </c>
      <c r="Z181">
        <v>1.1100000000000001</v>
      </c>
      <c r="AA181">
        <v>0</v>
      </c>
      <c r="AB181">
        <v>0</v>
      </c>
      <c r="AC181">
        <v>0</v>
      </c>
      <c r="AD181">
        <v>1</v>
      </c>
      <c r="AE181">
        <v>0</v>
      </c>
      <c r="AF181" t="s">
        <v>120</v>
      </c>
      <c r="AG181">
        <v>0.67200000000000004</v>
      </c>
      <c r="AH181">
        <v>2</v>
      </c>
      <c r="AI181">
        <v>57249158</v>
      </c>
      <c r="AJ181">
        <v>137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ROW(Source!A107)</f>
        <v>107</v>
      </c>
      <c r="B182">
        <v>57249170</v>
      </c>
      <c r="C182">
        <v>57249155</v>
      </c>
      <c r="D182">
        <v>54737470</v>
      </c>
      <c r="E182">
        <v>1</v>
      </c>
      <c r="F182">
        <v>1</v>
      </c>
      <c r="G182">
        <v>1081</v>
      </c>
      <c r="H182">
        <v>3</v>
      </c>
      <c r="I182" t="s">
        <v>467</v>
      </c>
      <c r="J182" t="s">
        <v>468</v>
      </c>
      <c r="K182" t="s">
        <v>469</v>
      </c>
      <c r="L182">
        <v>1354</v>
      </c>
      <c r="N182">
        <v>1010</v>
      </c>
      <c r="O182" t="s">
        <v>228</v>
      </c>
      <c r="P182" t="s">
        <v>228</v>
      </c>
      <c r="Q182">
        <v>1</v>
      </c>
      <c r="X182">
        <v>7</v>
      </c>
      <c r="Y182">
        <v>0.89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119</v>
      </c>
      <c r="AG182">
        <v>7</v>
      </c>
      <c r="AH182">
        <v>2</v>
      </c>
      <c r="AI182">
        <v>57249159</v>
      </c>
      <c r="AJ182">
        <v>138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ROW(Source!A107)</f>
        <v>107</v>
      </c>
      <c r="B183">
        <v>57249171</v>
      </c>
      <c r="C183">
        <v>57249155</v>
      </c>
      <c r="D183">
        <v>54739012</v>
      </c>
      <c r="E183">
        <v>1</v>
      </c>
      <c r="F183">
        <v>1</v>
      </c>
      <c r="G183">
        <v>1081</v>
      </c>
      <c r="H183">
        <v>3</v>
      </c>
      <c r="I183" t="s">
        <v>470</v>
      </c>
      <c r="J183" t="s">
        <v>471</v>
      </c>
      <c r="K183" t="s">
        <v>472</v>
      </c>
      <c r="L183">
        <v>1348</v>
      </c>
      <c r="N183">
        <v>1009</v>
      </c>
      <c r="O183" t="s">
        <v>298</v>
      </c>
      <c r="P183" t="s">
        <v>298</v>
      </c>
      <c r="Q183">
        <v>1000</v>
      </c>
      <c r="X183">
        <v>1.0000000000000001E-5</v>
      </c>
      <c r="Y183">
        <v>14327.51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119</v>
      </c>
      <c r="AG183">
        <v>1.0000000000000001E-5</v>
      </c>
      <c r="AH183">
        <v>2</v>
      </c>
      <c r="AI183">
        <v>57249160</v>
      </c>
      <c r="AJ183">
        <v>139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ROW(Source!A107)</f>
        <v>107</v>
      </c>
      <c r="B184">
        <v>57249172</v>
      </c>
      <c r="C184">
        <v>57249155</v>
      </c>
      <c r="D184">
        <v>54739257</v>
      </c>
      <c r="E184">
        <v>1</v>
      </c>
      <c r="F184">
        <v>1</v>
      </c>
      <c r="G184">
        <v>1081</v>
      </c>
      <c r="H184">
        <v>3</v>
      </c>
      <c r="I184" t="s">
        <v>473</v>
      </c>
      <c r="J184" t="s">
        <v>474</v>
      </c>
      <c r="K184" t="s">
        <v>475</v>
      </c>
      <c r="L184">
        <v>1355</v>
      </c>
      <c r="N184">
        <v>1010</v>
      </c>
      <c r="O184" t="s">
        <v>67</v>
      </c>
      <c r="P184" t="s">
        <v>67</v>
      </c>
      <c r="Q184">
        <v>100</v>
      </c>
      <c r="X184">
        <v>7.0000000000000007E-2</v>
      </c>
      <c r="Y184">
        <v>4.6100000000000003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119</v>
      </c>
      <c r="AG184">
        <v>7.0000000000000007E-2</v>
      </c>
      <c r="AH184">
        <v>2</v>
      </c>
      <c r="AI184">
        <v>57249161</v>
      </c>
      <c r="AJ184">
        <v>140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ROW(Source!A107)</f>
        <v>107</v>
      </c>
      <c r="B185">
        <v>57249173</v>
      </c>
      <c r="C185">
        <v>57249155</v>
      </c>
      <c r="D185">
        <v>54737684</v>
      </c>
      <c r="E185">
        <v>1</v>
      </c>
      <c r="F185">
        <v>1</v>
      </c>
      <c r="G185">
        <v>1081</v>
      </c>
      <c r="H185">
        <v>3</v>
      </c>
      <c r="I185" t="s">
        <v>476</v>
      </c>
      <c r="J185" t="s">
        <v>477</v>
      </c>
      <c r="K185" t="s">
        <v>478</v>
      </c>
      <c r="L185">
        <v>1346</v>
      </c>
      <c r="N185">
        <v>1009</v>
      </c>
      <c r="O185" t="s">
        <v>320</v>
      </c>
      <c r="P185" t="s">
        <v>320</v>
      </c>
      <c r="Q185">
        <v>1</v>
      </c>
      <c r="X185">
        <v>4.3999999999999997E-2</v>
      </c>
      <c r="Y185">
        <v>5.01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119</v>
      </c>
      <c r="AG185">
        <v>4.3999999999999997E-2</v>
      </c>
      <c r="AH185">
        <v>2</v>
      </c>
      <c r="AI185">
        <v>57249162</v>
      </c>
      <c r="AJ185">
        <v>141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ROW(Source!A107)</f>
        <v>107</v>
      </c>
      <c r="B186">
        <v>57249174</v>
      </c>
      <c r="C186">
        <v>57249155</v>
      </c>
      <c r="D186">
        <v>54737923</v>
      </c>
      <c r="E186">
        <v>1</v>
      </c>
      <c r="F186">
        <v>1</v>
      </c>
      <c r="G186">
        <v>1081</v>
      </c>
      <c r="H186">
        <v>3</v>
      </c>
      <c r="I186" t="s">
        <v>479</v>
      </c>
      <c r="J186" t="s">
        <v>480</v>
      </c>
      <c r="K186" t="s">
        <v>481</v>
      </c>
      <c r="L186">
        <v>1348</v>
      </c>
      <c r="N186">
        <v>1009</v>
      </c>
      <c r="O186" t="s">
        <v>298</v>
      </c>
      <c r="P186" t="s">
        <v>298</v>
      </c>
      <c r="Q186">
        <v>1000</v>
      </c>
      <c r="X186">
        <v>2.0000000000000002E-5</v>
      </c>
      <c r="Y186">
        <v>64123.05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119</v>
      </c>
      <c r="AG186">
        <v>2.0000000000000002E-5</v>
      </c>
      <c r="AH186">
        <v>2</v>
      </c>
      <c r="AI186">
        <v>57249163</v>
      </c>
      <c r="AJ186">
        <v>142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ROW(Source!A107)</f>
        <v>107</v>
      </c>
      <c r="B187">
        <v>57249175</v>
      </c>
      <c r="C187">
        <v>57249155</v>
      </c>
      <c r="D187">
        <v>54747392</v>
      </c>
      <c r="E187">
        <v>1</v>
      </c>
      <c r="F187">
        <v>1</v>
      </c>
      <c r="G187">
        <v>1081</v>
      </c>
      <c r="H187">
        <v>3</v>
      </c>
      <c r="I187" t="s">
        <v>482</v>
      </c>
      <c r="J187" t="s">
        <v>483</v>
      </c>
      <c r="K187" t="s">
        <v>484</v>
      </c>
      <c r="L187">
        <v>1354</v>
      </c>
      <c r="N187">
        <v>1010</v>
      </c>
      <c r="O187" t="s">
        <v>228</v>
      </c>
      <c r="P187" t="s">
        <v>228</v>
      </c>
      <c r="Q187">
        <v>1</v>
      </c>
      <c r="X187">
        <v>0.09</v>
      </c>
      <c r="Y187">
        <v>10.53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119</v>
      </c>
      <c r="AG187">
        <v>0.09</v>
      </c>
      <c r="AH187">
        <v>2</v>
      </c>
      <c r="AI187">
        <v>57249164</v>
      </c>
      <c r="AJ187">
        <v>143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ROW(Source!A107)</f>
        <v>107</v>
      </c>
      <c r="B188">
        <v>57249176</v>
      </c>
      <c r="C188">
        <v>57249155</v>
      </c>
      <c r="D188">
        <v>54717466</v>
      </c>
      <c r="E188">
        <v>1081</v>
      </c>
      <c r="F188">
        <v>1</v>
      </c>
      <c r="G188">
        <v>1081</v>
      </c>
      <c r="H188">
        <v>3</v>
      </c>
      <c r="I188" t="s">
        <v>625</v>
      </c>
      <c r="J188" t="s">
        <v>3</v>
      </c>
      <c r="K188" t="s">
        <v>626</v>
      </c>
      <c r="L188">
        <v>1301</v>
      </c>
      <c r="N188">
        <v>1003</v>
      </c>
      <c r="O188" t="s">
        <v>341</v>
      </c>
      <c r="P188" t="s">
        <v>341</v>
      </c>
      <c r="Q188">
        <v>1</v>
      </c>
      <c r="X188">
        <v>1.02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119</v>
      </c>
      <c r="AG188">
        <v>1.02</v>
      </c>
      <c r="AH188">
        <v>3</v>
      </c>
      <c r="AI188">
        <v>-1</v>
      </c>
      <c r="AJ188" t="s">
        <v>3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ROW(Source!A107)</f>
        <v>107</v>
      </c>
      <c r="B189">
        <v>57249177</v>
      </c>
      <c r="C189">
        <v>57249155</v>
      </c>
      <c r="D189">
        <v>54719252</v>
      </c>
      <c r="E189">
        <v>1081</v>
      </c>
      <c r="F189">
        <v>1</v>
      </c>
      <c r="G189">
        <v>1081</v>
      </c>
      <c r="H189">
        <v>3</v>
      </c>
      <c r="I189" t="s">
        <v>627</v>
      </c>
      <c r="J189" t="s">
        <v>3</v>
      </c>
      <c r="K189" t="s">
        <v>628</v>
      </c>
      <c r="L189">
        <v>1354</v>
      </c>
      <c r="N189">
        <v>1010</v>
      </c>
      <c r="O189" t="s">
        <v>228</v>
      </c>
      <c r="P189" t="s">
        <v>228</v>
      </c>
      <c r="Q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119</v>
      </c>
      <c r="AG189">
        <v>1</v>
      </c>
      <c r="AH189">
        <v>3</v>
      </c>
      <c r="AI189">
        <v>-1</v>
      </c>
      <c r="AJ189" t="s">
        <v>3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ROW(Source!A107)</f>
        <v>107</v>
      </c>
      <c r="B190">
        <v>57249178</v>
      </c>
      <c r="C190">
        <v>57249155</v>
      </c>
      <c r="D190">
        <v>54719252</v>
      </c>
      <c r="E190">
        <v>1081</v>
      </c>
      <c r="F190">
        <v>1</v>
      </c>
      <c r="G190">
        <v>1081</v>
      </c>
      <c r="H190">
        <v>3</v>
      </c>
      <c r="I190" t="s">
        <v>627</v>
      </c>
      <c r="J190" t="s">
        <v>3</v>
      </c>
      <c r="K190" t="s">
        <v>629</v>
      </c>
      <c r="L190">
        <v>1354</v>
      </c>
      <c r="N190">
        <v>1010</v>
      </c>
      <c r="O190" t="s">
        <v>228</v>
      </c>
      <c r="P190" t="s">
        <v>228</v>
      </c>
      <c r="Q190">
        <v>1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 t="s">
        <v>119</v>
      </c>
      <c r="AG190">
        <v>1</v>
      </c>
      <c r="AH190">
        <v>3</v>
      </c>
      <c r="AI190">
        <v>-1</v>
      </c>
      <c r="AJ190" t="s">
        <v>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ROW(Source!A107)</f>
        <v>107</v>
      </c>
      <c r="B191">
        <v>57249179</v>
      </c>
      <c r="C191">
        <v>57249155</v>
      </c>
      <c r="D191">
        <v>54719269</v>
      </c>
      <c r="E191">
        <v>1081</v>
      </c>
      <c r="F191">
        <v>1</v>
      </c>
      <c r="G191">
        <v>1081</v>
      </c>
      <c r="H191">
        <v>3</v>
      </c>
      <c r="I191" t="s">
        <v>630</v>
      </c>
      <c r="J191" t="s">
        <v>3</v>
      </c>
      <c r="K191" t="s">
        <v>631</v>
      </c>
      <c r="L191">
        <v>1301</v>
      </c>
      <c r="N191">
        <v>1003</v>
      </c>
      <c r="O191" t="s">
        <v>341</v>
      </c>
      <c r="P191" t="s">
        <v>341</v>
      </c>
      <c r="Q191">
        <v>1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 t="s">
        <v>119</v>
      </c>
      <c r="AG191">
        <v>2</v>
      </c>
      <c r="AH191">
        <v>3</v>
      </c>
      <c r="AI191">
        <v>-1</v>
      </c>
      <c r="AJ191" t="s">
        <v>3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ROW(Source!A107)</f>
        <v>107</v>
      </c>
      <c r="B192">
        <v>57249180</v>
      </c>
      <c r="C192">
        <v>57249155</v>
      </c>
      <c r="D192">
        <v>54731408</v>
      </c>
      <c r="E192">
        <v>1081</v>
      </c>
      <c r="F192">
        <v>1</v>
      </c>
      <c r="G192">
        <v>1081</v>
      </c>
      <c r="H192">
        <v>3</v>
      </c>
      <c r="I192" t="s">
        <v>632</v>
      </c>
      <c r="J192" t="s">
        <v>3</v>
      </c>
      <c r="K192" t="s">
        <v>633</v>
      </c>
      <c r="L192">
        <v>1301</v>
      </c>
      <c r="N192">
        <v>1003</v>
      </c>
      <c r="O192" t="s">
        <v>341</v>
      </c>
      <c r="P192" t="s">
        <v>341</v>
      </c>
      <c r="Q192">
        <v>1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119</v>
      </c>
      <c r="AG192">
        <v>1</v>
      </c>
      <c r="AH192">
        <v>3</v>
      </c>
      <c r="AI192">
        <v>-1</v>
      </c>
      <c r="AJ192" t="s">
        <v>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ROW(Source!A108)</f>
        <v>108</v>
      </c>
      <c r="B193">
        <v>57249167</v>
      </c>
      <c r="C193">
        <v>57249155</v>
      </c>
      <c r="D193">
        <v>54702434</v>
      </c>
      <c r="E193">
        <v>1081</v>
      </c>
      <c r="F193">
        <v>1</v>
      </c>
      <c r="G193">
        <v>1081</v>
      </c>
      <c r="H193">
        <v>1</v>
      </c>
      <c r="I193" t="s">
        <v>457</v>
      </c>
      <c r="J193" t="s">
        <v>3</v>
      </c>
      <c r="K193" t="s">
        <v>458</v>
      </c>
      <c r="L193">
        <v>1191</v>
      </c>
      <c r="N193">
        <v>1013</v>
      </c>
      <c r="O193" t="s">
        <v>459</v>
      </c>
      <c r="P193" t="s">
        <v>459</v>
      </c>
      <c r="Q193">
        <v>1</v>
      </c>
      <c r="X193">
        <v>6.01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1</v>
      </c>
      <c r="AF193" t="s">
        <v>120</v>
      </c>
      <c r="AG193">
        <v>7.2119999999999997</v>
      </c>
      <c r="AH193">
        <v>2</v>
      </c>
      <c r="AI193">
        <v>57249156</v>
      </c>
      <c r="AJ193">
        <v>145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ROW(Source!A108)</f>
        <v>108</v>
      </c>
      <c r="B194">
        <v>57249168</v>
      </c>
      <c r="C194">
        <v>57249155</v>
      </c>
      <c r="D194">
        <v>54768460</v>
      </c>
      <c r="E194">
        <v>1</v>
      </c>
      <c r="F194">
        <v>1</v>
      </c>
      <c r="G194">
        <v>1081</v>
      </c>
      <c r="H194">
        <v>2</v>
      </c>
      <c r="I194" t="s">
        <v>460</v>
      </c>
      <c r="J194" t="s">
        <v>461</v>
      </c>
      <c r="K194" t="s">
        <v>462</v>
      </c>
      <c r="L194">
        <v>1368</v>
      </c>
      <c r="N194">
        <v>1011</v>
      </c>
      <c r="O194" t="s">
        <v>463</v>
      </c>
      <c r="P194" t="s">
        <v>463</v>
      </c>
      <c r="Q194">
        <v>1</v>
      </c>
      <c r="X194">
        <v>0.25</v>
      </c>
      <c r="Y194">
        <v>0</v>
      </c>
      <c r="Z194">
        <v>0.8</v>
      </c>
      <c r="AA194">
        <v>0</v>
      </c>
      <c r="AB194">
        <v>0</v>
      </c>
      <c r="AC194">
        <v>0</v>
      </c>
      <c r="AD194">
        <v>1</v>
      </c>
      <c r="AE194">
        <v>0</v>
      </c>
      <c r="AF194" t="s">
        <v>120</v>
      </c>
      <c r="AG194">
        <v>0.3</v>
      </c>
      <c r="AH194">
        <v>2</v>
      </c>
      <c r="AI194">
        <v>57249157</v>
      </c>
      <c r="AJ194">
        <v>146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ROW(Source!A108)</f>
        <v>108</v>
      </c>
      <c r="B195">
        <v>57249169</v>
      </c>
      <c r="C195">
        <v>57249155</v>
      </c>
      <c r="D195">
        <v>54768461</v>
      </c>
      <c r="E195">
        <v>1</v>
      </c>
      <c r="F195">
        <v>1</v>
      </c>
      <c r="G195">
        <v>1081</v>
      </c>
      <c r="H195">
        <v>2</v>
      </c>
      <c r="I195" t="s">
        <v>464</v>
      </c>
      <c r="J195" t="s">
        <v>465</v>
      </c>
      <c r="K195" t="s">
        <v>466</v>
      </c>
      <c r="L195">
        <v>1368</v>
      </c>
      <c r="N195">
        <v>1011</v>
      </c>
      <c r="O195" t="s">
        <v>463</v>
      </c>
      <c r="P195" t="s">
        <v>463</v>
      </c>
      <c r="Q195">
        <v>1</v>
      </c>
      <c r="X195">
        <v>0.56000000000000005</v>
      </c>
      <c r="Y195">
        <v>0</v>
      </c>
      <c r="Z195">
        <v>1.1100000000000001</v>
      </c>
      <c r="AA195">
        <v>0</v>
      </c>
      <c r="AB195">
        <v>0</v>
      </c>
      <c r="AC195">
        <v>0</v>
      </c>
      <c r="AD195">
        <v>1</v>
      </c>
      <c r="AE195">
        <v>0</v>
      </c>
      <c r="AF195" t="s">
        <v>120</v>
      </c>
      <c r="AG195">
        <v>0.67200000000000004</v>
      </c>
      <c r="AH195">
        <v>2</v>
      </c>
      <c r="AI195">
        <v>57249158</v>
      </c>
      <c r="AJ195">
        <v>147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ROW(Source!A108)</f>
        <v>108</v>
      </c>
      <c r="B196">
        <v>57249170</v>
      </c>
      <c r="C196">
        <v>57249155</v>
      </c>
      <c r="D196">
        <v>54737470</v>
      </c>
      <c r="E196">
        <v>1</v>
      </c>
      <c r="F196">
        <v>1</v>
      </c>
      <c r="G196">
        <v>1081</v>
      </c>
      <c r="H196">
        <v>3</v>
      </c>
      <c r="I196" t="s">
        <v>467</v>
      </c>
      <c r="J196" t="s">
        <v>468</v>
      </c>
      <c r="K196" t="s">
        <v>469</v>
      </c>
      <c r="L196">
        <v>1354</v>
      </c>
      <c r="N196">
        <v>1010</v>
      </c>
      <c r="O196" t="s">
        <v>228</v>
      </c>
      <c r="P196" t="s">
        <v>228</v>
      </c>
      <c r="Q196">
        <v>1</v>
      </c>
      <c r="X196">
        <v>7</v>
      </c>
      <c r="Y196">
        <v>0.89</v>
      </c>
      <c r="Z196">
        <v>0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119</v>
      </c>
      <c r="AG196">
        <v>7</v>
      </c>
      <c r="AH196">
        <v>2</v>
      </c>
      <c r="AI196">
        <v>57249159</v>
      </c>
      <c r="AJ196">
        <v>148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ROW(Source!A108)</f>
        <v>108</v>
      </c>
      <c r="B197">
        <v>57249171</v>
      </c>
      <c r="C197">
        <v>57249155</v>
      </c>
      <c r="D197">
        <v>54739012</v>
      </c>
      <c r="E197">
        <v>1</v>
      </c>
      <c r="F197">
        <v>1</v>
      </c>
      <c r="G197">
        <v>1081</v>
      </c>
      <c r="H197">
        <v>3</v>
      </c>
      <c r="I197" t="s">
        <v>470</v>
      </c>
      <c r="J197" t="s">
        <v>471</v>
      </c>
      <c r="K197" t="s">
        <v>472</v>
      </c>
      <c r="L197">
        <v>1348</v>
      </c>
      <c r="N197">
        <v>1009</v>
      </c>
      <c r="O197" t="s">
        <v>298</v>
      </c>
      <c r="P197" t="s">
        <v>298</v>
      </c>
      <c r="Q197">
        <v>1000</v>
      </c>
      <c r="X197">
        <v>1.0000000000000001E-5</v>
      </c>
      <c r="Y197">
        <v>14327.51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 t="s">
        <v>119</v>
      </c>
      <c r="AG197">
        <v>1.0000000000000001E-5</v>
      </c>
      <c r="AH197">
        <v>2</v>
      </c>
      <c r="AI197">
        <v>57249160</v>
      </c>
      <c r="AJ197">
        <v>149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ROW(Source!A108)</f>
        <v>108</v>
      </c>
      <c r="B198">
        <v>57249172</v>
      </c>
      <c r="C198">
        <v>57249155</v>
      </c>
      <c r="D198">
        <v>54739257</v>
      </c>
      <c r="E198">
        <v>1</v>
      </c>
      <c r="F198">
        <v>1</v>
      </c>
      <c r="G198">
        <v>1081</v>
      </c>
      <c r="H198">
        <v>3</v>
      </c>
      <c r="I198" t="s">
        <v>473</v>
      </c>
      <c r="J198" t="s">
        <v>474</v>
      </c>
      <c r="K198" t="s">
        <v>475</v>
      </c>
      <c r="L198">
        <v>1355</v>
      </c>
      <c r="N198">
        <v>1010</v>
      </c>
      <c r="O198" t="s">
        <v>67</v>
      </c>
      <c r="P198" t="s">
        <v>67</v>
      </c>
      <c r="Q198">
        <v>100</v>
      </c>
      <c r="X198">
        <v>7.0000000000000007E-2</v>
      </c>
      <c r="Y198">
        <v>4.6100000000000003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119</v>
      </c>
      <c r="AG198">
        <v>7.0000000000000007E-2</v>
      </c>
      <c r="AH198">
        <v>2</v>
      </c>
      <c r="AI198">
        <v>57249161</v>
      </c>
      <c r="AJ198">
        <v>150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ROW(Source!A108)</f>
        <v>108</v>
      </c>
      <c r="B199">
        <v>57249173</v>
      </c>
      <c r="C199">
        <v>57249155</v>
      </c>
      <c r="D199">
        <v>54737684</v>
      </c>
      <c r="E199">
        <v>1</v>
      </c>
      <c r="F199">
        <v>1</v>
      </c>
      <c r="G199">
        <v>1081</v>
      </c>
      <c r="H199">
        <v>3</v>
      </c>
      <c r="I199" t="s">
        <v>476</v>
      </c>
      <c r="J199" t="s">
        <v>477</v>
      </c>
      <c r="K199" t="s">
        <v>478</v>
      </c>
      <c r="L199">
        <v>1346</v>
      </c>
      <c r="N199">
        <v>1009</v>
      </c>
      <c r="O199" t="s">
        <v>320</v>
      </c>
      <c r="P199" t="s">
        <v>320</v>
      </c>
      <c r="Q199">
        <v>1</v>
      </c>
      <c r="X199">
        <v>4.3999999999999997E-2</v>
      </c>
      <c r="Y199">
        <v>5.01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119</v>
      </c>
      <c r="AG199">
        <v>4.3999999999999997E-2</v>
      </c>
      <c r="AH199">
        <v>2</v>
      </c>
      <c r="AI199">
        <v>57249162</v>
      </c>
      <c r="AJ199">
        <v>151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ROW(Source!A108)</f>
        <v>108</v>
      </c>
      <c r="B200">
        <v>57249174</v>
      </c>
      <c r="C200">
        <v>57249155</v>
      </c>
      <c r="D200">
        <v>54737923</v>
      </c>
      <c r="E200">
        <v>1</v>
      </c>
      <c r="F200">
        <v>1</v>
      </c>
      <c r="G200">
        <v>1081</v>
      </c>
      <c r="H200">
        <v>3</v>
      </c>
      <c r="I200" t="s">
        <v>479</v>
      </c>
      <c r="J200" t="s">
        <v>480</v>
      </c>
      <c r="K200" t="s">
        <v>481</v>
      </c>
      <c r="L200">
        <v>1348</v>
      </c>
      <c r="N200">
        <v>1009</v>
      </c>
      <c r="O200" t="s">
        <v>298</v>
      </c>
      <c r="P200" t="s">
        <v>298</v>
      </c>
      <c r="Q200">
        <v>1000</v>
      </c>
      <c r="X200">
        <v>2.0000000000000002E-5</v>
      </c>
      <c r="Y200">
        <v>64123.05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119</v>
      </c>
      <c r="AG200">
        <v>2.0000000000000002E-5</v>
      </c>
      <c r="AH200">
        <v>2</v>
      </c>
      <c r="AI200">
        <v>57249163</v>
      </c>
      <c r="AJ200">
        <v>152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ROW(Source!A108)</f>
        <v>108</v>
      </c>
      <c r="B201">
        <v>57249175</v>
      </c>
      <c r="C201">
        <v>57249155</v>
      </c>
      <c r="D201">
        <v>54747392</v>
      </c>
      <c r="E201">
        <v>1</v>
      </c>
      <c r="F201">
        <v>1</v>
      </c>
      <c r="G201">
        <v>1081</v>
      </c>
      <c r="H201">
        <v>3</v>
      </c>
      <c r="I201" t="s">
        <v>482</v>
      </c>
      <c r="J201" t="s">
        <v>483</v>
      </c>
      <c r="K201" t="s">
        <v>484</v>
      </c>
      <c r="L201">
        <v>1354</v>
      </c>
      <c r="N201">
        <v>1010</v>
      </c>
      <c r="O201" t="s">
        <v>228</v>
      </c>
      <c r="P201" t="s">
        <v>228</v>
      </c>
      <c r="Q201">
        <v>1</v>
      </c>
      <c r="X201">
        <v>0.09</v>
      </c>
      <c r="Y201">
        <v>10.53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119</v>
      </c>
      <c r="AG201">
        <v>0.09</v>
      </c>
      <c r="AH201">
        <v>2</v>
      </c>
      <c r="AI201">
        <v>57249164</v>
      </c>
      <c r="AJ201">
        <v>153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ROW(Source!A108)</f>
        <v>108</v>
      </c>
      <c r="B202">
        <v>57249176</v>
      </c>
      <c r="C202">
        <v>57249155</v>
      </c>
      <c r="D202">
        <v>54717466</v>
      </c>
      <c r="E202">
        <v>1081</v>
      </c>
      <c r="F202">
        <v>1</v>
      </c>
      <c r="G202">
        <v>1081</v>
      </c>
      <c r="H202">
        <v>3</v>
      </c>
      <c r="I202" t="s">
        <v>625</v>
      </c>
      <c r="J202" t="s">
        <v>3</v>
      </c>
      <c r="K202" t="s">
        <v>626</v>
      </c>
      <c r="L202">
        <v>1301</v>
      </c>
      <c r="N202">
        <v>1003</v>
      </c>
      <c r="O202" t="s">
        <v>341</v>
      </c>
      <c r="P202" t="s">
        <v>341</v>
      </c>
      <c r="Q202">
        <v>1</v>
      </c>
      <c r="X202">
        <v>1.02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119</v>
      </c>
      <c r="AG202">
        <v>1.02</v>
      </c>
      <c r="AH202">
        <v>3</v>
      </c>
      <c r="AI202">
        <v>-1</v>
      </c>
      <c r="AJ202" t="s">
        <v>3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ROW(Source!A108)</f>
        <v>108</v>
      </c>
      <c r="B203">
        <v>57249177</v>
      </c>
      <c r="C203">
        <v>57249155</v>
      </c>
      <c r="D203">
        <v>54719252</v>
      </c>
      <c r="E203">
        <v>1081</v>
      </c>
      <c r="F203">
        <v>1</v>
      </c>
      <c r="G203">
        <v>1081</v>
      </c>
      <c r="H203">
        <v>3</v>
      </c>
      <c r="I203" t="s">
        <v>627</v>
      </c>
      <c r="J203" t="s">
        <v>3</v>
      </c>
      <c r="K203" t="s">
        <v>628</v>
      </c>
      <c r="L203">
        <v>1354</v>
      </c>
      <c r="N203">
        <v>1010</v>
      </c>
      <c r="O203" t="s">
        <v>228</v>
      </c>
      <c r="P203" t="s">
        <v>228</v>
      </c>
      <c r="Q203">
        <v>1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 t="s">
        <v>119</v>
      </c>
      <c r="AG203">
        <v>1</v>
      </c>
      <c r="AH203">
        <v>3</v>
      </c>
      <c r="AI203">
        <v>-1</v>
      </c>
      <c r="AJ203" t="s">
        <v>3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ROW(Source!A108)</f>
        <v>108</v>
      </c>
      <c r="B204">
        <v>57249178</v>
      </c>
      <c r="C204">
        <v>57249155</v>
      </c>
      <c r="D204">
        <v>54719252</v>
      </c>
      <c r="E204">
        <v>1081</v>
      </c>
      <c r="F204">
        <v>1</v>
      </c>
      <c r="G204">
        <v>1081</v>
      </c>
      <c r="H204">
        <v>3</v>
      </c>
      <c r="I204" t="s">
        <v>627</v>
      </c>
      <c r="J204" t="s">
        <v>3</v>
      </c>
      <c r="K204" t="s">
        <v>629</v>
      </c>
      <c r="L204">
        <v>1354</v>
      </c>
      <c r="N204">
        <v>1010</v>
      </c>
      <c r="O204" t="s">
        <v>228</v>
      </c>
      <c r="P204" t="s">
        <v>228</v>
      </c>
      <c r="Q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119</v>
      </c>
      <c r="AG204">
        <v>1</v>
      </c>
      <c r="AH204">
        <v>3</v>
      </c>
      <c r="AI204">
        <v>-1</v>
      </c>
      <c r="AJ204" t="s">
        <v>3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ROW(Source!A108)</f>
        <v>108</v>
      </c>
      <c r="B205">
        <v>57249179</v>
      </c>
      <c r="C205">
        <v>57249155</v>
      </c>
      <c r="D205">
        <v>54719269</v>
      </c>
      <c r="E205">
        <v>1081</v>
      </c>
      <c r="F205">
        <v>1</v>
      </c>
      <c r="G205">
        <v>1081</v>
      </c>
      <c r="H205">
        <v>3</v>
      </c>
      <c r="I205" t="s">
        <v>630</v>
      </c>
      <c r="J205" t="s">
        <v>3</v>
      </c>
      <c r="K205" t="s">
        <v>631</v>
      </c>
      <c r="L205">
        <v>1301</v>
      </c>
      <c r="N205">
        <v>1003</v>
      </c>
      <c r="O205" t="s">
        <v>341</v>
      </c>
      <c r="P205" t="s">
        <v>341</v>
      </c>
      <c r="Q205">
        <v>1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119</v>
      </c>
      <c r="AG205">
        <v>2</v>
      </c>
      <c r="AH205">
        <v>3</v>
      </c>
      <c r="AI205">
        <v>-1</v>
      </c>
      <c r="AJ205" t="s">
        <v>3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ROW(Source!A108)</f>
        <v>108</v>
      </c>
      <c r="B206">
        <v>57249180</v>
      </c>
      <c r="C206">
        <v>57249155</v>
      </c>
      <c r="D206">
        <v>54731408</v>
      </c>
      <c r="E206">
        <v>1081</v>
      </c>
      <c r="F206">
        <v>1</v>
      </c>
      <c r="G206">
        <v>1081</v>
      </c>
      <c r="H206">
        <v>3</v>
      </c>
      <c r="I206" t="s">
        <v>632</v>
      </c>
      <c r="J206" t="s">
        <v>3</v>
      </c>
      <c r="K206" t="s">
        <v>633</v>
      </c>
      <c r="L206">
        <v>1301</v>
      </c>
      <c r="N206">
        <v>1003</v>
      </c>
      <c r="O206" t="s">
        <v>341</v>
      </c>
      <c r="P206" t="s">
        <v>341</v>
      </c>
      <c r="Q206">
        <v>1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119</v>
      </c>
      <c r="AG206">
        <v>1</v>
      </c>
      <c r="AH206">
        <v>3</v>
      </c>
      <c r="AI206">
        <v>-1</v>
      </c>
      <c r="AJ206" t="s">
        <v>3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ROW(Source!A111)</f>
        <v>111</v>
      </c>
      <c r="B207">
        <v>57249193</v>
      </c>
      <c r="C207">
        <v>57249186</v>
      </c>
      <c r="D207">
        <v>54702434</v>
      </c>
      <c r="E207">
        <v>1081</v>
      </c>
      <c r="F207">
        <v>1</v>
      </c>
      <c r="G207">
        <v>1081</v>
      </c>
      <c r="H207">
        <v>1</v>
      </c>
      <c r="I207" t="s">
        <v>457</v>
      </c>
      <c r="J207" t="s">
        <v>3</v>
      </c>
      <c r="K207" t="s">
        <v>458</v>
      </c>
      <c r="L207">
        <v>1191</v>
      </c>
      <c r="N207">
        <v>1013</v>
      </c>
      <c r="O207" t="s">
        <v>459</v>
      </c>
      <c r="P207" t="s">
        <v>459</v>
      </c>
      <c r="Q207">
        <v>1</v>
      </c>
      <c r="X207">
        <v>1.36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1</v>
      </c>
      <c r="AF207" t="s">
        <v>120</v>
      </c>
      <c r="AG207">
        <v>1.6320000000000001</v>
      </c>
      <c r="AH207">
        <v>2</v>
      </c>
      <c r="AI207">
        <v>57249187</v>
      </c>
      <c r="AJ207">
        <v>155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ROW(Source!A111)</f>
        <v>111</v>
      </c>
      <c r="B208">
        <v>57249194</v>
      </c>
      <c r="C208">
        <v>57249186</v>
      </c>
      <c r="D208">
        <v>54768460</v>
      </c>
      <c r="E208">
        <v>1</v>
      </c>
      <c r="F208">
        <v>1</v>
      </c>
      <c r="G208">
        <v>1081</v>
      </c>
      <c r="H208">
        <v>2</v>
      </c>
      <c r="I208" t="s">
        <v>460</v>
      </c>
      <c r="J208" t="s">
        <v>461</v>
      </c>
      <c r="K208" t="s">
        <v>462</v>
      </c>
      <c r="L208">
        <v>1368</v>
      </c>
      <c r="N208">
        <v>1011</v>
      </c>
      <c r="O208" t="s">
        <v>463</v>
      </c>
      <c r="P208" t="s">
        <v>463</v>
      </c>
      <c r="Q208">
        <v>1</v>
      </c>
      <c r="X208">
        <v>1.7000000000000001E-2</v>
      </c>
      <c r="Y208">
        <v>0</v>
      </c>
      <c r="Z208">
        <v>0.8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120</v>
      </c>
      <c r="AG208">
        <v>2.0400000000000001E-2</v>
      </c>
      <c r="AH208">
        <v>2</v>
      </c>
      <c r="AI208">
        <v>57249188</v>
      </c>
      <c r="AJ208">
        <v>156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ROW(Source!A111)</f>
        <v>111</v>
      </c>
      <c r="B209">
        <v>57249195</v>
      </c>
      <c r="C209">
        <v>57249186</v>
      </c>
      <c r="D209">
        <v>54768426</v>
      </c>
      <c r="E209">
        <v>1</v>
      </c>
      <c r="F209">
        <v>1</v>
      </c>
      <c r="G209">
        <v>1081</v>
      </c>
      <c r="H209">
        <v>2</v>
      </c>
      <c r="I209" t="s">
        <v>485</v>
      </c>
      <c r="J209" t="s">
        <v>486</v>
      </c>
      <c r="K209" t="s">
        <v>487</v>
      </c>
      <c r="L209">
        <v>1368</v>
      </c>
      <c r="N209">
        <v>1011</v>
      </c>
      <c r="O209" t="s">
        <v>463</v>
      </c>
      <c r="P209" t="s">
        <v>463</v>
      </c>
      <c r="Q209">
        <v>1</v>
      </c>
      <c r="X209">
        <v>0.02</v>
      </c>
      <c r="Y209">
        <v>0</v>
      </c>
      <c r="Z209">
        <v>0.47</v>
      </c>
      <c r="AA209">
        <v>0</v>
      </c>
      <c r="AB209">
        <v>0</v>
      </c>
      <c r="AC209">
        <v>0</v>
      </c>
      <c r="AD209">
        <v>1</v>
      </c>
      <c r="AE209">
        <v>0</v>
      </c>
      <c r="AF209" t="s">
        <v>120</v>
      </c>
      <c r="AG209">
        <v>2.4E-2</v>
      </c>
      <c r="AH209">
        <v>2</v>
      </c>
      <c r="AI209">
        <v>57249189</v>
      </c>
      <c r="AJ209">
        <v>157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ROW(Source!A111)</f>
        <v>111</v>
      </c>
      <c r="B210">
        <v>57249196</v>
      </c>
      <c r="C210">
        <v>57249186</v>
      </c>
      <c r="D210">
        <v>54739204</v>
      </c>
      <c r="E210">
        <v>1</v>
      </c>
      <c r="F210">
        <v>1</v>
      </c>
      <c r="G210">
        <v>1081</v>
      </c>
      <c r="H210">
        <v>3</v>
      </c>
      <c r="I210" t="s">
        <v>488</v>
      </c>
      <c r="J210" t="s">
        <v>489</v>
      </c>
      <c r="K210" t="s">
        <v>490</v>
      </c>
      <c r="L210">
        <v>1346</v>
      </c>
      <c r="N210">
        <v>1009</v>
      </c>
      <c r="O210" t="s">
        <v>320</v>
      </c>
      <c r="P210" t="s">
        <v>320</v>
      </c>
      <c r="Q210">
        <v>1</v>
      </c>
      <c r="X210">
        <v>6.2700000000000004E-3</v>
      </c>
      <c r="Y210">
        <v>27.62</v>
      </c>
      <c r="Z210">
        <v>0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119</v>
      </c>
      <c r="AG210">
        <v>6.2700000000000004E-3</v>
      </c>
      <c r="AH210">
        <v>2</v>
      </c>
      <c r="AI210">
        <v>57249190</v>
      </c>
      <c r="AJ210">
        <v>158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ROW(Source!A111)</f>
        <v>111</v>
      </c>
      <c r="B211">
        <v>57249197</v>
      </c>
      <c r="C211">
        <v>57249186</v>
      </c>
      <c r="D211">
        <v>54737923</v>
      </c>
      <c r="E211">
        <v>1</v>
      </c>
      <c r="F211">
        <v>1</v>
      </c>
      <c r="G211">
        <v>1081</v>
      </c>
      <c r="H211">
        <v>3</v>
      </c>
      <c r="I211" t="s">
        <v>479</v>
      </c>
      <c r="J211" t="s">
        <v>480</v>
      </c>
      <c r="K211" t="s">
        <v>481</v>
      </c>
      <c r="L211">
        <v>1348</v>
      </c>
      <c r="N211">
        <v>1009</v>
      </c>
      <c r="O211" t="s">
        <v>298</v>
      </c>
      <c r="P211" t="s">
        <v>298</v>
      </c>
      <c r="Q211">
        <v>1000</v>
      </c>
      <c r="X211">
        <v>1.0000000000000001E-5</v>
      </c>
      <c r="Y211">
        <v>64123.05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119</v>
      </c>
      <c r="AG211">
        <v>1.0000000000000001E-5</v>
      </c>
      <c r="AH211">
        <v>2</v>
      </c>
      <c r="AI211">
        <v>57249191</v>
      </c>
      <c r="AJ211">
        <v>159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ROW(Source!A111)</f>
        <v>111</v>
      </c>
      <c r="B212">
        <v>57249198</v>
      </c>
      <c r="C212">
        <v>57249186</v>
      </c>
      <c r="D212">
        <v>54747383</v>
      </c>
      <c r="E212">
        <v>1</v>
      </c>
      <c r="F212">
        <v>1</v>
      </c>
      <c r="G212">
        <v>1081</v>
      </c>
      <c r="H212">
        <v>3</v>
      </c>
      <c r="I212" t="s">
        <v>491</v>
      </c>
      <c r="J212" t="s">
        <v>492</v>
      </c>
      <c r="K212" t="s">
        <v>493</v>
      </c>
      <c r="L212">
        <v>1354</v>
      </c>
      <c r="N212">
        <v>1010</v>
      </c>
      <c r="O212" t="s">
        <v>228</v>
      </c>
      <c r="P212" t="s">
        <v>228</v>
      </c>
      <c r="Q212">
        <v>1</v>
      </c>
      <c r="X212">
        <v>0.1</v>
      </c>
      <c r="Y212">
        <v>15.25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119</v>
      </c>
      <c r="AG212">
        <v>0.1</v>
      </c>
      <c r="AH212">
        <v>2</v>
      </c>
      <c r="AI212">
        <v>57249192</v>
      </c>
      <c r="AJ212">
        <v>160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ROW(Source!A111)</f>
        <v>111</v>
      </c>
      <c r="B213">
        <v>57249199</v>
      </c>
      <c r="C213">
        <v>57249186</v>
      </c>
      <c r="D213">
        <v>54719258</v>
      </c>
      <c r="E213">
        <v>1081</v>
      </c>
      <c r="F213">
        <v>1</v>
      </c>
      <c r="G213">
        <v>1081</v>
      </c>
      <c r="H213">
        <v>3</v>
      </c>
      <c r="I213" t="s">
        <v>634</v>
      </c>
      <c r="J213" t="s">
        <v>3</v>
      </c>
      <c r="K213" t="s">
        <v>635</v>
      </c>
      <c r="L213">
        <v>1354</v>
      </c>
      <c r="N213">
        <v>1010</v>
      </c>
      <c r="O213" t="s">
        <v>228</v>
      </c>
      <c r="P213" t="s">
        <v>228</v>
      </c>
      <c r="Q213">
        <v>1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119</v>
      </c>
      <c r="AG213">
        <v>1</v>
      </c>
      <c r="AH213">
        <v>3</v>
      </c>
      <c r="AI213">
        <v>-1</v>
      </c>
      <c r="AJ213" t="s">
        <v>3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ROW(Source!A112)</f>
        <v>112</v>
      </c>
      <c r="B214">
        <v>57249193</v>
      </c>
      <c r="C214">
        <v>57249186</v>
      </c>
      <c r="D214">
        <v>54702434</v>
      </c>
      <c r="E214">
        <v>1081</v>
      </c>
      <c r="F214">
        <v>1</v>
      </c>
      <c r="G214">
        <v>1081</v>
      </c>
      <c r="H214">
        <v>1</v>
      </c>
      <c r="I214" t="s">
        <v>457</v>
      </c>
      <c r="J214" t="s">
        <v>3</v>
      </c>
      <c r="K214" t="s">
        <v>458</v>
      </c>
      <c r="L214">
        <v>1191</v>
      </c>
      <c r="N214">
        <v>1013</v>
      </c>
      <c r="O214" t="s">
        <v>459</v>
      </c>
      <c r="P214" t="s">
        <v>459</v>
      </c>
      <c r="Q214">
        <v>1</v>
      </c>
      <c r="X214">
        <v>1.36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1</v>
      </c>
      <c r="AF214" t="s">
        <v>120</v>
      </c>
      <c r="AG214">
        <v>1.6320000000000001</v>
      </c>
      <c r="AH214">
        <v>2</v>
      </c>
      <c r="AI214">
        <v>57249187</v>
      </c>
      <c r="AJ214">
        <v>161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ROW(Source!A112)</f>
        <v>112</v>
      </c>
      <c r="B215">
        <v>57249194</v>
      </c>
      <c r="C215">
        <v>57249186</v>
      </c>
      <c r="D215">
        <v>54768460</v>
      </c>
      <c r="E215">
        <v>1</v>
      </c>
      <c r="F215">
        <v>1</v>
      </c>
      <c r="G215">
        <v>1081</v>
      </c>
      <c r="H215">
        <v>2</v>
      </c>
      <c r="I215" t="s">
        <v>460</v>
      </c>
      <c r="J215" t="s">
        <v>461</v>
      </c>
      <c r="K215" t="s">
        <v>462</v>
      </c>
      <c r="L215">
        <v>1368</v>
      </c>
      <c r="N215">
        <v>1011</v>
      </c>
      <c r="O215" t="s">
        <v>463</v>
      </c>
      <c r="P215" t="s">
        <v>463</v>
      </c>
      <c r="Q215">
        <v>1</v>
      </c>
      <c r="X215">
        <v>1.7000000000000001E-2</v>
      </c>
      <c r="Y215">
        <v>0</v>
      </c>
      <c r="Z215">
        <v>0.8</v>
      </c>
      <c r="AA215">
        <v>0</v>
      </c>
      <c r="AB215">
        <v>0</v>
      </c>
      <c r="AC215">
        <v>0</v>
      </c>
      <c r="AD215">
        <v>1</v>
      </c>
      <c r="AE215">
        <v>0</v>
      </c>
      <c r="AF215" t="s">
        <v>120</v>
      </c>
      <c r="AG215">
        <v>2.0400000000000001E-2</v>
      </c>
      <c r="AH215">
        <v>2</v>
      </c>
      <c r="AI215">
        <v>57249188</v>
      </c>
      <c r="AJ215">
        <v>162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ROW(Source!A112)</f>
        <v>112</v>
      </c>
      <c r="B216">
        <v>57249195</v>
      </c>
      <c r="C216">
        <v>57249186</v>
      </c>
      <c r="D216">
        <v>54768426</v>
      </c>
      <c r="E216">
        <v>1</v>
      </c>
      <c r="F216">
        <v>1</v>
      </c>
      <c r="G216">
        <v>1081</v>
      </c>
      <c r="H216">
        <v>2</v>
      </c>
      <c r="I216" t="s">
        <v>485</v>
      </c>
      <c r="J216" t="s">
        <v>486</v>
      </c>
      <c r="K216" t="s">
        <v>487</v>
      </c>
      <c r="L216">
        <v>1368</v>
      </c>
      <c r="N216">
        <v>1011</v>
      </c>
      <c r="O216" t="s">
        <v>463</v>
      </c>
      <c r="P216" t="s">
        <v>463</v>
      </c>
      <c r="Q216">
        <v>1</v>
      </c>
      <c r="X216">
        <v>0.02</v>
      </c>
      <c r="Y216">
        <v>0</v>
      </c>
      <c r="Z216">
        <v>0.47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120</v>
      </c>
      <c r="AG216">
        <v>2.4E-2</v>
      </c>
      <c r="AH216">
        <v>2</v>
      </c>
      <c r="AI216">
        <v>57249189</v>
      </c>
      <c r="AJ216">
        <v>163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ROW(Source!A112)</f>
        <v>112</v>
      </c>
      <c r="B217">
        <v>57249196</v>
      </c>
      <c r="C217">
        <v>57249186</v>
      </c>
      <c r="D217">
        <v>54739204</v>
      </c>
      <c r="E217">
        <v>1</v>
      </c>
      <c r="F217">
        <v>1</v>
      </c>
      <c r="G217">
        <v>1081</v>
      </c>
      <c r="H217">
        <v>3</v>
      </c>
      <c r="I217" t="s">
        <v>488</v>
      </c>
      <c r="J217" t="s">
        <v>489</v>
      </c>
      <c r="K217" t="s">
        <v>490</v>
      </c>
      <c r="L217">
        <v>1346</v>
      </c>
      <c r="N217">
        <v>1009</v>
      </c>
      <c r="O217" t="s">
        <v>320</v>
      </c>
      <c r="P217" t="s">
        <v>320</v>
      </c>
      <c r="Q217">
        <v>1</v>
      </c>
      <c r="X217">
        <v>6.2700000000000004E-3</v>
      </c>
      <c r="Y217">
        <v>27.62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119</v>
      </c>
      <c r="AG217">
        <v>6.2700000000000004E-3</v>
      </c>
      <c r="AH217">
        <v>2</v>
      </c>
      <c r="AI217">
        <v>57249190</v>
      </c>
      <c r="AJ217">
        <v>164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ROW(Source!A112)</f>
        <v>112</v>
      </c>
      <c r="B218">
        <v>57249197</v>
      </c>
      <c r="C218">
        <v>57249186</v>
      </c>
      <c r="D218">
        <v>54737923</v>
      </c>
      <c r="E218">
        <v>1</v>
      </c>
      <c r="F218">
        <v>1</v>
      </c>
      <c r="G218">
        <v>1081</v>
      </c>
      <c r="H218">
        <v>3</v>
      </c>
      <c r="I218" t="s">
        <v>479</v>
      </c>
      <c r="J218" t="s">
        <v>480</v>
      </c>
      <c r="K218" t="s">
        <v>481</v>
      </c>
      <c r="L218">
        <v>1348</v>
      </c>
      <c r="N218">
        <v>1009</v>
      </c>
      <c r="O218" t="s">
        <v>298</v>
      </c>
      <c r="P218" t="s">
        <v>298</v>
      </c>
      <c r="Q218">
        <v>1000</v>
      </c>
      <c r="X218">
        <v>1.0000000000000001E-5</v>
      </c>
      <c r="Y218">
        <v>64123.05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119</v>
      </c>
      <c r="AG218">
        <v>1.0000000000000001E-5</v>
      </c>
      <c r="AH218">
        <v>2</v>
      </c>
      <c r="AI218">
        <v>57249191</v>
      </c>
      <c r="AJ218">
        <v>165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ROW(Source!A112)</f>
        <v>112</v>
      </c>
      <c r="B219">
        <v>57249198</v>
      </c>
      <c r="C219">
        <v>57249186</v>
      </c>
      <c r="D219">
        <v>54747383</v>
      </c>
      <c r="E219">
        <v>1</v>
      </c>
      <c r="F219">
        <v>1</v>
      </c>
      <c r="G219">
        <v>1081</v>
      </c>
      <c r="H219">
        <v>3</v>
      </c>
      <c r="I219" t="s">
        <v>491</v>
      </c>
      <c r="J219" t="s">
        <v>492</v>
      </c>
      <c r="K219" t="s">
        <v>493</v>
      </c>
      <c r="L219">
        <v>1354</v>
      </c>
      <c r="N219">
        <v>1010</v>
      </c>
      <c r="O219" t="s">
        <v>228</v>
      </c>
      <c r="P219" t="s">
        <v>228</v>
      </c>
      <c r="Q219">
        <v>1</v>
      </c>
      <c r="X219">
        <v>0.1</v>
      </c>
      <c r="Y219">
        <v>15.25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119</v>
      </c>
      <c r="AG219">
        <v>0.1</v>
      </c>
      <c r="AH219">
        <v>2</v>
      </c>
      <c r="AI219">
        <v>57249192</v>
      </c>
      <c r="AJ219">
        <v>166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ROW(Source!A112)</f>
        <v>112</v>
      </c>
      <c r="B220">
        <v>57249199</v>
      </c>
      <c r="C220">
        <v>57249186</v>
      </c>
      <c r="D220">
        <v>54719258</v>
      </c>
      <c r="E220">
        <v>1081</v>
      </c>
      <c r="F220">
        <v>1</v>
      </c>
      <c r="G220">
        <v>1081</v>
      </c>
      <c r="H220">
        <v>3</v>
      </c>
      <c r="I220" t="s">
        <v>634</v>
      </c>
      <c r="J220" t="s">
        <v>3</v>
      </c>
      <c r="K220" t="s">
        <v>635</v>
      </c>
      <c r="L220">
        <v>1354</v>
      </c>
      <c r="N220">
        <v>1010</v>
      </c>
      <c r="O220" t="s">
        <v>228</v>
      </c>
      <c r="P220" t="s">
        <v>228</v>
      </c>
      <c r="Q220">
        <v>1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 t="s">
        <v>119</v>
      </c>
      <c r="AG220">
        <v>1</v>
      </c>
      <c r="AH220">
        <v>3</v>
      </c>
      <c r="AI220">
        <v>-1</v>
      </c>
      <c r="AJ220" t="s">
        <v>3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ROW(Source!A123)</f>
        <v>123</v>
      </c>
      <c r="B221">
        <v>57249223</v>
      </c>
      <c r="C221">
        <v>57249221</v>
      </c>
      <c r="D221">
        <v>54702434</v>
      </c>
      <c r="E221">
        <v>1081</v>
      </c>
      <c r="F221">
        <v>1</v>
      </c>
      <c r="G221">
        <v>1081</v>
      </c>
      <c r="H221">
        <v>1</v>
      </c>
      <c r="I221" t="s">
        <v>457</v>
      </c>
      <c r="J221" t="s">
        <v>3</v>
      </c>
      <c r="K221" t="s">
        <v>458</v>
      </c>
      <c r="L221">
        <v>1191</v>
      </c>
      <c r="N221">
        <v>1013</v>
      </c>
      <c r="O221" t="s">
        <v>459</v>
      </c>
      <c r="P221" t="s">
        <v>459</v>
      </c>
      <c r="Q221">
        <v>1</v>
      </c>
      <c r="X221">
        <v>1.68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1</v>
      </c>
      <c r="AF221" t="s">
        <v>120</v>
      </c>
      <c r="AG221">
        <v>2.016</v>
      </c>
      <c r="AH221">
        <v>2</v>
      </c>
      <c r="AI221">
        <v>57249222</v>
      </c>
      <c r="AJ221">
        <v>167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ROW(Source!A124)</f>
        <v>124</v>
      </c>
      <c r="B222">
        <v>57249223</v>
      </c>
      <c r="C222">
        <v>57249221</v>
      </c>
      <c r="D222">
        <v>54702434</v>
      </c>
      <c r="E222">
        <v>1081</v>
      </c>
      <c r="F222">
        <v>1</v>
      </c>
      <c r="G222">
        <v>1081</v>
      </c>
      <c r="H222">
        <v>1</v>
      </c>
      <c r="I222" t="s">
        <v>457</v>
      </c>
      <c r="J222" t="s">
        <v>3</v>
      </c>
      <c r="K222" t="s">
        <v>458</v>
      </c>
      <c r="L222">
        <v>1191</v>
      </c>
      <c r="N222">
        <v>1013</v>
      </c>
      <c r="O222" t="s">
        <v>459</v>
      </c>
      <c r="P222" t="s">
        <v>459</v>
      </c>
      <c r="Q222">
        <v>1</v>
      </c>
      <c r="X222">
        <v>1.68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1</v>
      </c>
      <c r="AF222" t="s">
        <v>120</v>
      </c>
      <c r="AG222">
        <v>2.016</v>
      </c>
      <c r="AH222">
        <v>2</v>
      </c>
      <c r="AI222">
        <v>57249222</v>
      </c>
      <c r="AJ222">
        <v>168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ROW(Source!A127)</f>
        <v>127</v>
      </c>
      <c r="B223">
        <v>57249234</v>
      </c>
      <c r="C223">
        <v>57249230</v>
      </c>
      <c r="D223">
        <v>54702434</v>
      </c>
      <c r="E223">
        <v>1081</v>
      </c>
      <c r="F223">
        <v>1</v>
      </c>
      <c r="G223">
        <v>1081</v>
      </c>
      <c r="H223">
        <v>1</v>
      </c>
      <c r="I223" t="s">
        <v>457</v>
      </c>
      <c r="J223" t="s">
        <v>3</v>
      </c>
      <c r="K223" t="s">
        <v>458</v>
      </c>
      <c r="L223">
        <v>1191</v>
      </c>
      <c r="N223">
        <v>1013</v>
      </c>
      <c r="O223" t="s">
        <v>459</v>
      </c>
      <c r="P223" t="s">
        <v>459</v>
      </c>
      <c r="Q223">
        <v>1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120</v>
      </c>
      <c r="AG223">
        <v>1.2</v>
      </c>
      <c r="AH223">
        <v>2</v>
      </c>
      <c r="AI223">
        <v>57249231</v>
      </c>
      <c r="AJ223">
        <v>169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ROW(Source!A127)</f>
        <v>127</v>
      </c>
      <c r="B224">
        <v>57249235</v>
      </c>
      <c r="C224">
        <v>57249230</v>
      </c>
      <c r="D224">
        <v>54737923</v>
      </c>
      <c r="E224">
        <v>1</v>
      </c>
      <c r="F224">
        <v>1</v>
      </c>
      <c r="G224">
        <v>1081</v>
      </c>
      <c r="H224">
        <v>3</v>
      </c>
      <c r="I224" t="s">
        <v>479</v>
      </c>
      <c r="J224" t="s">
        <v>480</v>
      </c>
      <c r="K224" t="s">
        <v>481</v>
      </c>
      <c r="L224">
        <v>1348</v>
      </c>
      <c r="N224">
        <v>1009</v>
      </c>
      <c r="O224" t="s">
        <v>298</v>
      </c>
      <c r="P224" t="s">
        <v>298</v>
      </c>
      <c r="Q224">
        <v>1000</v>
      </c>
      <c r="X224">
        <v>1.0000000000000001E-5</v>
      </c>
      <c r="Y224">
        <v>64123.05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 t="s">
        <v>119</v>
      </c>
      <c r="AG224">
        <v>1.0000000000000001E-5</v>
      </c>
      <c r="AH224">
        <v>2</v>
      </c>
      <c r="AI224">
        <v>57249232</v>
      </c>
      <c r="AJ224">
        <v>170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ROW(Source!A127)</f>
        <v>127</v>
      </c>
      <c r="B225">
        <v>57249236</v>
      </c>
      <c r="C225">
        <v>57249230</v>
      </c>
      <c r="D225">
        <v>54766072</v>
      </c>
      <c r="E225">
        <v>1</v>
      </c>
      <c r="F225">
        <v>1</v>
      </c>
      <c r="G225">
        <v>1081</v>
      </c>
      <c r="H225">
        <v>3</v>
      </c>
      <c r="I225" t="s">
        <v>494</v>
      </c>
      <c r="J225" t="s">
        <v>495</v>
      </c>
      <c r="K225" t="s">
        <v>496</v>
      </c>
      <c r="L225">
        <v>1303</v>
      </c>
      <c r="N225">
        <v>1003</v>
      </c>
      <c r="O225" t="s">
        <v>390</v>
      </c>
      <c r="P225" t="s">
        <v>390</v>
      </c>
      <c r="Q225">
        <v>1000</v>
      </c>
      <c r="X225">
        <v>2E-3</v>
      </c>
      <c r="Y225">
        <v>516.63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119</v>
      </c>
      <c r="AG225">
        <v>2E-3</v>
      </c>
      <c r="AH225">
        <v>2</v>
      </c>
      <c r="AI225">
        <v>57249233</v>
      </c>
      <c r="AJ225">
        <v>171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ROW(Source!A127)</f>
        <v>127</v>
      </c>
      <c r="B226">
        <v>57249237</v>
      </c>
      <c r="C226">
        <v>57249230</v>
      </c>
      <c r="D226">
        <v>54709555</v>
      </c>
      <c r="E226">
        <v>1081</v>
      </c>
      <c r="F226">
        <v>1</v>
      </c>
      <c r="G226">
        <v>1081</v>
      </c>
      <c r="H226">
        <v>3</v>
      </c>
      <c r="I226" t="s">
        <v>636</v>
      </c>
      <c r="J226" t="s">
        <v>3</v>
      </c>
      <c r="K226" t="s">
        <v>637</v>
      </c>
      <c r="L226">
        <v>1354</v>
      </c>
      <c r="N226">
        <v>1010</v>
      </c>
      <c r="O226" t="s">
        <v>228</v>
      </c>
      <c r="P226" t="s">
        <v>228</v>
      </c>
      <c r="Q226">
        <v>1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119</v>
      </c>
      <c r="AG226">
        <v>1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ROW(Source!A128)</f>
        <v>128</v>
      </c>
      <c r="B227">
        <v>57249234</v>
      </c>
      <c r="C227">
        <v>57249230</v>
      </c>
      <c r="D227">
        <v>54702434</v>
      </c>
      <c r="E227">
        <v>1081</v>
      </c>
      <c r="F227">
        <v>1</v>
      </c>
      <c r="G227">
        <v>1081</v>
      </c>
      <c r="H227">
        <v>1</v>
      </c>
      <c r="I227" t="s">
        <v>457</v>
      </c>
      <c r="J227" t="s">
        <v>3</v>
      </c>
      <c r="K227" t="s">
        <v>458</v>
      </c>
      <c r="L227">
        <v>1191</v>
      </c>
      <c r="N227">
        <v>1013</v>
      </c>
      <c r="O227" t="s">
        <v>459</v>
      </c>
      <c r="P227" t="s">
        <v>459</v>
      </c>
      <c r="Q227">
        <v>1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120</v>
      </c>
      <c r="AG227">
        <v>1.2</v>
      </c>
      <c r="AH227">
        <v>2</v>
      </c>
      <c r="AI227">
        <v>57249231</v>
      </c>
      <c r="AJ227">
        <v>172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ROW(Source!A128)</f>
        <v>128</v>
      </c>
      <c r="B228">
        <v>57249235</v>
      </c>
      <c r="C228">
        <v>57249230</v>
      </c>
      <c r="D228">
        <v>54737923</v>
      </c>
      <c r="E228">
        <v>1</v>
      </c>
      <c r="F228">
        <v>1</v>
      </c>
      <c r="G228">
        <v>1081</v>
      </c>
      <c r="H228">
        <v>3</v>
      </c>
      <c r="I228" t="s">
        <v>479</v>
      </c>
      <c r="J228" t="s">
        <v>480</v>
      </c>
      <c r="K228" t="s">
        <v>481</v>
      </c>
      <c r="L228">
        <v>1348</v>
      </c>
      <c r="N228">
        <v>1009</v>
      </c>
      <c r="O228" t="s">
        <v>298</v>
      </c>
      <c r="P228" t="s">
        <v>298</v>
      </c>
      <c r="Q228">
        <v>1000</v>
      </c>
      <c r="X228">
        <v>1.0000000000000001E-5</v>
      </c>
      <c r="Y228">
        <v>64123.05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119</v>
      </c>
      <c r="AG228">
        <v>1.0000000000000001E-5</v>
      </c>
      <c r="AH228">
        <v>2</v>
      </c>
      <c r="AI228">
        <v>57249232</v>
      </c>
      <c r="AJ228">
        <v>173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ROW(Source!A128)</f>
        <v>128</v>
      </c>
      <c r="B229">
        <v>57249236</v>
      </c>
      <c r="C229">
        <v>57249230</v>
      </c>
      <c r="D229">
        <v>54766072</v>
      </c>
      <c r="E229">
        <v>1</v>
      </c>
      <c r="F229">
        <v>1</v>
      </c>
      <c r="G229">
        <v>1081</v>
      </c>
      <c r="H229">
        <v>3</v>
      </c>
      <c r="I229" t="s">
        <v>494</v>
      </c>
      <c r="J229" t="s">
        <v>495</v>
      </c>
      <c r="K229" t="s">
        <v>496</v>
      </c>
      <c r="L229">
        <v>1303</v>
      </c>
      <c r="N229">
        <v>1003</v>
      </c>
      <c r="O229" t="s">
        <v>390</v>
      </c>
      <c r="P229" t="s">
        <v>390</v>
      </c>
      <c r="Q229">
        <v>1000</v>
      </c>
      <c r="X229">
        <v>2E-3</v>
      </c>
      <c r="Y229">
        <v>516.63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119</v>
      </c>
      <c r="AG229">
        <v>2E-3</v>
      </c>
      <c r="AH229">
        <v>2</v>
      </c>
      <c r="AI229">
        <v>57249233</v>
      </c>
      <c r="AJ229">
        <v>174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ROW(Source!A128)</f>
        <v>128</v>
      </c>
      <c r="B230">
        <v>57249237</v>
      </c>
      <c r="C230">
        <v>57249230</v>
      </c>
      <c r="D230">
        <v>54709555</v>
      </c>
      <c r="E230">
        <v>1081</v>
      </c>
      <c r="F230">
        <v>1</v>
      </c>
      <c r="G230">
        <v>1081</v>
      </c>
      <c r="H230">
        <v>3</v>
      </c>
      <c r="I230" t="s">
        <v>636</v>
      </c>
      <c r="J230" t="s">
        <v>3</v>
      </c>
      <c r="K230" t="s">
        <v>637</v>
      </c>
      <c r="L230">
        <v>1354</v>
      </c>
      <c r="N230">
        <v>1010</v>
      </c>
      <c r="O230" t="s">
        <v>228</v>
      </c>
      <c r="P230" t="s">
        <v>228</v>
      </c>
      <c r="Q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 t="s">
        <v>119</v>
      </c>
      <c r="AG230">
        <v>1</v>
      </c>
      <c r="AH230">
        <v>3</v>
      </c>
      <c r="AI230">
        <v>-1</v>
      </c>
      <c r="AJ230" t="s">
        <v>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ROW(Source!A131)</f>
        <v>131</v>
      </c>
      <c r="B231">
        <v>57249246</v>
      </c>
      <c r="C231">
        <v>57249244</v>
      </c>
      <c r="D231">
        <v>54702434</v>
      </c>
      <c r="E231">
        <v>1081</v>
      </c>
      <c r="F231">
        <v>1</v>
      </c>
      <c r="G231">
        <v>1081</v>
      </c>
      <c r="H231">
        <v>1</v>
      </c>
      <c r="I231" t="s">
        <v>457</v>
      </c>
      <c r="J231" t="s">
        <v>3</v>
      </c>
      <c r="K231" t="s">
        <v>458</v>
      </c>
      <c r="L231">
        <v>1191</v>
      </c>
      <c r="N231">
        <v>1013</v>
      </c>
      <c r="O231" t="s">
        <v>459</v>
      </c>
      <c r="P231" t="s">
        <v>459</v>
      </c>
      <c r="Q231">
        <v>1</v>
      </c>
      <c r="X231">
        <v>0.84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1</v>
      </c>
      <c r="AF231" t="s">
        <v>120</v>
      </c>
      <c r="AG231">
        <v>1.008</v>
      </c>
      <c r="AH231">
        <v>2</v>
      </c>
      <c r="AI231">
        <v>57249245</v>
      </c>
      <c r="AJ231">
        <v>175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ROW(Source!A132)</f>
        <v>132</v>
      </c>
      <c r="B232">
        <v>57249246</v>
      </c>
      <c r="C232">
        <v>57249244</v>
      </c>
      <c r="D232">
        <v>54702434</v>
      </c>
      <c r="E232">
        <v>1081</v>
      </c>
      <c r="F232">
        <v>1</v>
      </c>
      <c r="G232">
        <v>1081</v>
      </c>
      <c r="H232">
        <v>1</v>
      </c>
      <c r="I232" t="s">
        <v>457</v>
      </c>
      <c r="J232" t="s">
        <v>3</v>
      </c>
      <c r="K232" t="s">
        <v>458</v>
      </c>
      <c r="L232">
        <v>1191</v>
      </c>
      <c r="N232">
        <v>1013</v>
      </c>
      <c r="O232" t="s">
        <v>459</v>
      </c>
      <c r="P232" t="s">
        <v>459</v>
      </c>
      <c r="Q232">
        <v>1</v>
      </c>
      <c r="X232">
        <v>0.84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 t="s">
        <v>120</v>
      </c>
      <c r="AG232">
        <v>1.008</v>
      </c>
      <c r="AH232">
        <v>2</v>
      </c>
      <c r="AI232">
        <v>57249245</v>
      </c>
      <c r="AJ232">
        <v>176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ROW(Source!A135)</f>
        <v>135</v>
      </c>
      <c r="B233">
        <v>57249255</v>
      </c>
      <c r="C233">
        <v>57249248</v>
      </c>
      <c r="D233">
        <v>54702434</v>
      </c>
      <c r="E233">
        <v>1081</v>
      </c>
      <c r="F233">
        <v>1</v>
      </c>
      <c r="G233">
        <v>1081</v>
      </c>
      <c r="H233">
        <v>1</v>
      </c>
      <c r="I233" t="s">
        <v>457</v>
      </c>
      <c r="J233" t="s">
        <v>3</v>
      </c>
      <c r="K233" t="s">
        <v>458</v>
      </c>
      <c r="L233">
        <v>1191</v>
      </c>
      <c r="N233">
        <v>1013</v>
      </c>
      <c r="O233" t="s">
        <v>459</v>
      </c>
      <c r="P233" t="s">
        <v>459</v>
      </c>
      <c r="Q233">
        <v>1</v>
      </c>
      <c r="X233">
        <v>84.67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120</v>
      </c>
      <c r="AG233">
        <v>101.604</v>
      </c>
      <c r="AH233">
        <v>2</v>
      </c>
      <c r="AI233">
        <v>57249249</v>
      </c>
      <c r="AJ233">
        <v>177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ROW(Source!A135)</f>
        <v>135</v>
      </c>
      <c r="B234">
        <v>57249256</v>
      </c>
      <c r="C234">
        <v>57249248</v>
      </c>
      <c r="D234">
        <v>54768339</v>
      </c>
      <c r="E234">
        <v>1</v>
      </c>
      <c r="F234">
        <v>1</v>
      </c>
      <c r="G234">
        <v>1081</v>
      </c>
      <c r="H234">
        <v>2</v>
      </c>
      <c r="I234" t="s">
        <v>497</v>
      </c>
      <c r="J234" t="s">
        <v>498</v>
      </c>
      <c r="K234" t="s">
        <v>499</v>
      </c>
      <c r="L234">
        <v>1368</v>
      </c>
      <c r="N234">
        <v>1011</v>
      </c>
      <c r="O234" t="s">
        <v>463</v>
      </c>
      <c r="P234" t="s">
        <v>463</v>
      </c>
      <c r="Q234">
        <v>1</v>
      </c>
      <c r="X234">
        <v>1.03</v>
      </c>
      <c r="Y234">
        <v>0</v>
      </c>
      <c r="Z234">
        <v>83.1</v>
      </c>
      <c r="AA234">
        <v>12.62</v>
      </c>
      <c r="AB234">
        <v>0</v>
      </c>
      <c r="AC234">
        <v>0</v>
      </c>
      <c r="AD234">
        <v>1</v>
      </c>
      <c r="AE234">
        <v>0</v>
      </c>
      <c r="AF234" t="s">
        <v>120</v>
      </c>
      <c r="AG234">
        <v>1.236</v>
      </c>
      <c r="AH234">
        <v>2</v>
      </c>
      <c r="AI234">
        <v>57249250</v>
      </c>
      <c r="AJ234">
        <v>178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ROW(Source!A135)</f>
        <v>135</v>
      </c>
      <c r="B235">
        <v>57249257</v>
      </c>
      <c r="C235">
        <v>57249248</v>
      </c>
      <c r="D235">
        <v>54768454</v>
      </c>
      <c r="E235">
        <v>1</v>
      </c>
      <c r="F235">
        <v>1</v>
      </c>
      <c r="G235">
        <v>1081</v>
      </c>
      <c r="H235">
        <v>2</v>
      </c>
      <c r="I235" t="s">
        <v>501</v>
      </c>
      <c r="J235" t="s">
        <v>502</v>
      </c>
      <c r="K235" t="s">
        <v>503</v>
      </c>
      <c r="L235">
        <v>1368</v>
      </c>
      <c r="N235">
        <v>1011</v>
      </c>
      <c r="O235" t="s">
        <v>463</v>
      </c>
      <c r="P235" t="s">
        <v>463</v>
      </c>
      <c r="Q235">
        <v>1</v>
      </c>
      <c r="X235">
        <v>22.08</v>
      </c>
      <c r="Y235">
        <v>0</v>
      </c>
      <c r="Z235">
        <v>0.35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120</v>
      </c>
      <c r="AG235">
        <v>26.495999999999999</v>
      </c>
      <c r="AH235">
        <v>2</v>
      </c>
      <c r="AI235">
        <v>57249251</v>
      </c>
      <c r="AJ235">
        <v>179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ROW(Source!A135)</f>
        <v>135</v>
      </c>
      <c r="B236">
        <v>57249258</v>
      </c>
      <c r="C236">
        <v>57249248</v>
      </c>
      <c r="D236">
        <v>54738554</v>
      </c>
      <c r="E236">
        <v>1</v>
      </c>
      <c r="F236">
        <v>1</v>
      </c>
      <c r="G236">
        <v>1081</v>
      </c>
      <c r="H236">
        <v>3</v>
      </c>
      <c r="I236" t="s">
        <v>504</v>
      </c>
      <c r="J236" t="s">
        <v>505</v>
      </c>
      <c r="K236" t="s">
        <v>506</v>
      </c>
      <c r="L236">
        <v>1346</v>
      </c>
      <c r="N236">
        <v>1009</v>
      </c>
      <c r="O236" t="s">
        <v>320</v>
      </c>
      <c r="P236" t="s">
        <v>320</v>
      </c>
      <c r="Q236">
        <v>1</v>
      </c>
      <c r="X236">
        <v>0.21</v>
      </c>
      <c r="Y236">
        <v>159.06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119</v>
      </c>
      <c r="AG236">
        <v>0.21</v>
      </c>
      <c r="AH236">
        <v>2</v>
      </c>
      <c r="AI236">
        <v>57249252</v>
      </c>
      <c r="AJ236">
        <v>180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ROW(Source!A135)</f>
        <v>135</v>
      </c>
      <c r="B237">
        <v>57249259</v>
      </c>
      <c r="C237">
        <v>57249248</v>
      </c>
      <c r="D237">
        <v>54737470</v>
      </c>
      <c r="E237">
        <v>1</v>
      </c>
      <c r="F237">
        <v>1</v>
      </c>
      <c r="G237">
        <v>1081</v>
      </c>
      <c r="H237">
        <v>3</v>
      </c>
      <c r="I237" t="s">
        <v>467</v>
      </c>
      <c r="J237" t="s">
        <v>468</v>
      </c>
      <c r="K237" t="s">
        <v>469</v>
      </c>
      <c r="L237">
        <v>1354</v>
      </c>
      <c r="N237">
        <v>1010</v>
      </c>
      <c r="O237" t="s">
        <v>228</v>
      </c>
      <c r="P237" t="s">
        <v>228</v>
      </c>
      <c r="Q237">
        <v>1</v>
      </c>
      <c r="X237">
        <v>4.08</v>
      </c>
      <c r="Y237">
        <v>0.89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119</v>
      </c>
      <c r="AG237">
        <v>4.08</v>
      </c>
      <c r="AH237">
        <v>2</v>
      </c>
      <c r="AI237">
        <v>57249253</v>
      </c>
      <c r="AJ237">
        <v>181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ROW(Source!A135)</f>
        <v>135</v>
      </c>
      <c r="B238">
        <v>57249260</v>
      </c>
      <c r="C238">
        <v>57249248</v>
      </c>
      <c r="D238">
        <v>54766003</v>
      </c>
      <c r="E238">
        <v>1</v>
      </c>
      <c r="F238">
        <v>1</v>
      </c>
      <c r="G238">
        <v>1081</v>
      </c>
      <c r="H238">
        <v>3</v>
      </c>
      <c r="I238" t="s">
        <v>507</v>
      </c>
      <c r="J238" t="s">
        <v>508</v>
      </c>
      <c r="K238" t="s">
        <v>509</v>
      </c>
      <c r="L238">
        <v>1303</v>
      </c>
      <c r="N238">
        <v>1003</v>
      </c>
      <c r="O238" t="s">
        <v>390</v>
      </c>
      <c r="P238" t="s">
        <v>390</v>
      </c>
      <c r="Q238">
        <v>1000</v>
      </c>
      <c r="X238">
        <v>1.5299999999999999E-2</v>
      </c>
      <c r="Y238">
        <v>2897.31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119</v>
      </c>
      <c r="AG238">
        <v>1.5299999999999999E-2</v>
      </c>
      <c r="AH238">
        <v>2</v>
      </c>
      <c r="AI238">
        <v>57249254</v>
      </c>
      <c r="AJ238">
        <v>182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ROW(Source!A135)</f>
        <v>135</v>
      </c>
      <c r="B239">
        <v>57249261</v>
      </c>
      <c r="C239">
        <v>57249248</v>
      </c>
      <c r="D239">
        <v>54711904</v>
      </c>
      <c r="E239">
        <v>1081</v>
      </c>
      <c r="F239">
        <v>1</v>
      </c>
      <c r="G239">
        <v>1081</v>
      </c>
      <c r="H239">
        <v>3</v>
      </c>
      <c r="I239" t="s">
        <v>638</v>
      </c>
      <c r="J239" t="s">
        <v>3</v>
      </c>
      <c r="K239" t="s">
        <v>639</v>
      </c>
      <c r="L239">
        <v>1354</v>
      </c>
      <c r="N239">
        <v>1010</v>
      </c>
      <c r="O239" t="s">
        <v>228</v>
      </c>
      <c r="P239" t="s">
        <v>228</v>
      </c>
      <c r="Q239">
        <v>1</v>
      </c>
      <c r="X239">
        <v>100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119</v>
      </c>
      <c r="AG239">
        <v>100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ROW(Source!A135)</f>
        <v>135</v>
      </c>
      <c r="B240">
        <v>57249262</v>
      </c>
      <c r="C240">
        <v>57249248</v>
      </c>
      <c r="D240">
        <v>54712418</v>
      </c>
      <c r="E240">
        <v>1081</v>
      </c>
      <c r="F240">
        <v>1</v>
      </c>
      <c r="G240">
        <v>1081</v>
      </c>
      <c r="H240">
        <v>3</v>
      </c>
      <c r="I240" t="s">
        <v>640</v>
      </c>
      <c r="J240" t="s">
        <v>3</v>
      </c>
      <c r="K240" t="s">
        <v>641</v>
      </c>
      <c r="L240">
        <v>1358</v>
      </c>
      <c r="N240">
        <v>1010</v>
      </c>
      <c r="O240" t="s">
        <v>82</v>
      </c>
      <c r="P240" t="s">
        <v>82</v>
      </c>
      <c r="Q240">
        <v>10</v>
      </c>
      <c r="X240">
        <v>10.199999999999999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119</v>
      </c>
      <c r="AG240">
        <v>10.199999999999999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ROW(Source!A136)</f>
        <v>136</v>
      </c>
      <c r="B241">
        <v>57249255</v>
      </c>
      <c r="C241">
        <v>57249248</v>
      </c>
      <c r="D241">
        <v>54702434</v>
      </c>
      <c r="E241">
        <v>1081</v>
      </c>
      <c r="F241">
        <v>1</v>
      </c>
      <c r="G241">
        <v>1081</v>
      </c>
      <c r="H241">
        <v>1</v>
      </c>
      <c r="I241" t="s">
        <v>457</v>
      </c>
      <c r="J241" t="s">
        <v>3</v>
      </c>
      <c r="K241" t="s">
        <v>458</v>
      </c>
      <c r="L241">
        <v>1191</v>
      </c>
      <c r="N241">
        <v>1013</v>
      </c>
      <c r="O241" t="s">
        <v>459</v>
      </c>
      <c r="P241" t="s">
        <v>459</v>
      </c>
      <c r="Q241">
        <v>1</v>
      </c>
      <c r="X241">
        <v>84.67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120</v>
      </c>
      <c r="AG241">
        <v>101.604</v>
      </c>
      <c r="AH241">
        <v>2</v>
      </c>
      <c r="AI241">
        <v>57249249</v>
      </c>
      <c r="AJ241">
        <v>183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ROW(Source!A136)</f>
        <v>136</v>
      </c>
      <c r="B242">
        <v>57249256</v>
      </c>
      <c r="C242">
        <v>57249248</v>
      </c>
      <c r="D242">
        <v>54768339</v>
      </c>
      <c r="E242">
        <v>1</v>
      </c>
      <c r="F242">
        <v>1</v>
      </c>
      <c r="G242">
        <v>1081</v>
      </c>
      <c r="H242">
        <v>2</v>
      </c>
      <c r="I242" t="s">
        <v>497</v>
      </c>
      <c r="J242" t="s">
        <v>498</v>
      </c>
      <c r="K242" t="s">
        <v>499</v>
      </c>
      <c r="L242">
        <v>1368</v>
      </c>
      <c r="N242">
        <v>1011</v>
      </c>
      <c r="O242" t="s">
        <v>463</v>
      </c>
      <c r="P242" t="s">
        <v>463</v>
      </c>
      <c r="Q242">
        <v>1</v>
      </c>
      <c r="X242">
        <v>1.03</v>
      </c>
      <c r="Y242">
        <v>0</v>
      </c>
      <c r="Z242">
        <v>83.1</v>
      </c>
      <c r="AA242">
        <v>12.62</v>
      </c>
      <c r="AB242">
        <v>0</v>
      </c>
      <c r="AC242">
        <v>0</v>
      </c>
      <c r="AD242">
        <v>1</v>
      </c>
      <c r="AE242">
        <v>0</v>
      </c>
      <c r="AF242" t="s">
        <v>120</v>
      </c>
      <c r="AG242">
        <v>1.236</v>
      </c>
      <c r="AH242">
        <v>2</v>
      </c>
      <c r="AI242">
        <v>57249250</v>
      </c>
      <c r="AJ242">
        <v>184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ROW(Source!A136)</f>
        <v>136</v>
      </c>
      <c r="B243">
        <v>57249257</v>
      </c>
      <c r="C243">
        <v>57249248</v>
      </c>
      <c r="D243">
        <v>54768454</v>
      </c>
      <c r="E243">
        <v>1</v>
      </c>
      <c r="F243">
        <v>1</v>
      </c>
      <c r="G243">
        <v>1081</v>
      </c>
      <c r="H243">
        <v>2</v>
      </c>
      <c r="I243" t="s">
        <v>501</v>
      </c>
      <c r="J243" t="s">
        <v>502</v>
      </c>
      <c r="K243" t="s">
        <v>503</v>
      </c>
      <c r="L243">
        <v>1368</v>
      </c>
      <c r="N243">
        <v>1011</v>
      </c>
      <c r="O243" t="s">
        <v>463</v>
      </c>
      <c r="P243" t="s">
        <v>463</v>
      </c>
      <c r="Q243">
        <v>1</v>
      </c>
      <c r="X243">
        <v>22.08</v>
      </c>
      <c r="Y243">
        <v>0</v>
      </c>
      <c r="Z243">
        <v>0.35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120</v>
      </c>
      <c r="AG243">
        <v>26.495999999999999</v>
      </c>
      <c r="AH243">
        <v>2</v>
      </c>
      <c r="AI243">
        <v>57249251</v>
      </c>
      <c r="AJ243">
        <v>185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ROW(Source!A136)</f>
        <v>136</v>
      </c>
      <c r="B244">
        <v>57249258</v>
      </c>
      <c r="C244">
        <v>57249248</v>
      </c>
      <c r="D244">
        <v>54738554</v>
      </c>
      <c r="E244">
        <v>1</v>
      </c>
      <c r="F244">
        <v>1</v>
      </c>
      <c r="G244">
        <v>1081</v>
      </c>
      <c r="H244">
        <v>3</v>
      </c>
      <c r="I244" t="s">
        <v>504</v>
      </c>
      <c r="J244" t="s">
        <v>505</v>
      </c>
      <c r="K244" t="s">
        <v>506</v>
      </c>
      <c r="L244">
        <v>1346</v>
      </c>
      <c r="N244">
        <v>1009</v>
      </c>
      <c r="O244" t="s">
        <v>320</v>
      </c>
      <c r="P244" t="s">
        <v>320</v>
      </c>
      <c r="Q244">
        <v>1</v>
      </c>
      <c r="X244">
        <v>0.21</v>
      </c>
      <c r="Y244">
        <v>159.06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119</v>
      </c>
      <c r="AG244">
        <v>0.21</v>
      </c>
      <c r="AH244">
        <v>2</v>
      </c>
      <c r="AI244">
        <v>57249252</v>
      </c>
      <c r="AJ244">
        <v>186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ROW(Source!A136)</f>
        <v>136</v>
      </c>
      <c r="B245">
        <v>57249259</v>
      </c>
      <c r="C245">
        <v>57249248</v>
      </c>
      <c r="D245">
        <v>54737470</v>
      </c>
      <c r="E245">
        <v>1</v>
      </c>
      <c r="F245">
        <v>1</v>
      </c>
      <c r="G245">
        <v>1081</v>
      </c>
      <c r="H245">
        <v>3</v>
      </c>
      <c r="I245" t="s">
        <v>467</v>
      </c>
      <c r="J245" t="s">
        <v>468</v>
      </c>
      <c r="K245" t="s">
        <v>469</v>
      </c>
      <c r="L245">
        <v>1354</v>
      </c>
      <c r="N245">
        <v>1010</v>
      </c>
      <c r="O245" t="s">
        <v>228</v>
      </c>
      <c r="P245" t="s">
        <v>228</v>
      </c>
      <c r="Q245">
        <v>1</v>
      </c>
      <c r="X245">
        <v>4.08</v>
      </c>
      <c r="Y245">
        <v>0.89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 t="s">
        <v>119</v>
      </c>
      <c r="AG245">
        <v>4.08</v>
      </c>
      <c r="AH245">
        <v>2</v>
      </c>
      <c r="AI245">
        <v>57249253</v>
      </c>
      <c r="AJ245">
        <v>187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ROW(Source!A136)</f>
        <v>136</v>
      </c>
      <c r="B246">
        <v>57249260</v>
      </c>
      <c r="C246">
        <v>57249248</v>
      </c>
      <c r="D246">
        <v>54766003</v>
      </c>
      <c r="E246">
        <v>1</v>
      </c>
      <c r="F246">
        <v>1</v>
      </c>
      <c r="G246">
        <v>1081</v>
      </c>
      <c r="H246">
        <v>3</v>
      </c>
      <c r="I246" t="s">
        <v>507</v>
      </c>
      <c r="J246" t="s">
        <v>508</v>
      </c>
      <c r="K246" t="s">
        <v>509</v>
      </c>
      <c r="L246">
        <v>1303</v>
      </c>
      <c r="N246">
        <v>1003</v>
      </c>
      <c r="O246" t="s">
        <v>390</v>
      </c>
      <c r="P246" t="s">
        <v>390</v>
      </c>
      <c r="Q246">
        <v>1000</v>
      </c>
      <c r="X246">
        <v>1.5299999999999999E-2</v>
      </c>
      <c r="Y246">
        <v>2897.31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119</v>
      </c>
      <c r="AG246">
        <v>1.5299999999999999E-2</v>
      </c>
      <c r="AH246">
        <v>2</v>
      </c>
      <c r="AI246">
        <v>57249254</v>
      </c>
      <c r="AJ246">
        <v>188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ROW(Source!A136)</f>
        <v>136</v>
      </c>
      <c r="B247">
        <v>57249261</v>
      </c>
      <c r="C247">
        <v>57249248</v>
      </c>
      <c r="D247">
        <v>54711904</v>
      </c>
      <c r="E247">
        <v>1081</v>
      </c>
      <c r="F247">
        <v>1</v>
      </c>
      <c r="G247">
        <v>1081</v>
      </c>
      <c r="H247">
        <v>3</v>
      </c>
      <c r="I247" t="s">
        <v>638</v>
      </c>
      <c r="J247" t="s">
        <v>3</v>
      </c>
      <c r="K247" t="s">
        <v>639</v>
      </c>
      <c r="L247">
        <v>1354</v>
      </c>
      <c r="N247">
        <v>1010</v>
      </c>
      <c r="O247" t="s">
        <v>228</v>
      </c>
      <c r="P247" t="s">
        <v>228</v>
      </c>
      <c r="Q247">
        <v>1</v>
      </c>
      <c r="X247">
        <v>100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119</v>
      </c>
      <c r="AG247">
        <v>100</v>
      </c>
      <c r="AH247">
        <v>3</v>
      </c>
      <c r="AI247">
        <v>-1</v>
      </c>
      <c r="AJ247" t="s">
        <v>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ROW(Source!A136)</f>
        <v>136</v>
      </c>
      <c r="B248">
        <v>57249262</v>
      </c>
      <c r="C248">
        <v>57249248</v>
      </c>
      <c r="D248">
        <v>54712418</v>
      </c>
      <c r="E248">
        <v>1081</v>
      </c>
      <c r="F248">
        <v>1</v>
      </c>
      <c r="G248">
        <v>1081</v>
      </c>
      <c r="H248">
        <v>3</v>
      </c>
      <c r="I248" t="s">
        <v>640</v>
      </c>
      <c r="J248" t="s">
        <v>3</v>
      </c>
      <c r="K248" t="s">
        <v>641</v>
      </c>
      <c r="L248">
        <v>1358</v>
      </c>
      <c r="N248">
        <v>1010</v>
      </c>
      <c r="O248" t="s">
        <v>82</v>
      </c>
      <c r="P248" t="s">
        <v>82</v>
      </c>
      <c r="Q248">
        <v>10</v>
      </c>
      <c r="X248">
        <v>10.199999999999999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119</v>
      </c>
      <c r="AG248">
        <v>10.199999999999999</v>
      </c>
      <c r="AH248">
        <v>3</v>
      </c>
      <c r="AI248">
        <v>-1</v>
      </c>
      <c r="AJ248" t="s">
        <v>3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ROW(Source!A139)</f>
        <v>139</v>
      </c>
      <c r="B249">
        <v>57249266</v>
      </c>
      <c r="C249">
        <v>57249264</v>
      </c>
      <c r="D249">
        <v>54702434</v>
      </c>
      <c r="E249">
        <v>1081</v>
      </c>
      <c r="F249">
        <v>1</v>
      </c>
      <c r="G249">
        <v>1081</v>
      </c>
      <c r="H249">
        <v>1</v>
      </c>
      <c r="I249" t="s">
        <v>457</v>
      </c>
      <c r="J249" t="s">
        <v>3</v>
      </c>
      <c r="K249" t="s">
        <v>458</v>
      </c>
      <c r="L249">
        <v>1191</v>
      </c>
      <c r="N249">
        <v>1013</v>
      </c>
      <c r="O249" t="s">
        <v>459</v>
      </c>
      <c r="P249" t="s">
        <v>459</v>
      </c>
      <c r="Q249">
        <v>1</v>
      </c>
      <c r="X249">
        <v>1.68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120</v>
      </c>
      <c r="AG249">
        <v>2.016</v>
      </c>
      <c r="AH249">
        <v>2</v>
      </c>
      <c r="AI249">
        <v>57249265</v>
      </c>
      <c r="AJ249">
        <v>189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ROW(Source!A140)</f>
        <v>140</v>
      </c>
      <c r="B250">
        <v>57249266</v>
      </c>
      <c r="C250">
        <v>57249264</v>
      </c>
      <c r="D250">
        <v>54702434</v>
      </c>
      <c r="E250">
        <v>1081</v>
      </c>
      <c r="F250">
        <v>1</v>
      </c>
      <c r="G250">
        <v>1081</v>
      </c>
      <c r="H250">
        <v>1</v>
      </c>
      <c r="I250" t="s">
        <v>457</v>
      </c>
      <c r="J250" t="s">
        <v>3</v>
      </c>
      <c r="K250" t="s">
        <v>458</v>
      </c>
      <c r="L250">
        <v>1191</v>
      </c>
      <c r="N250">
        <v>1013</v>
      </c>
      <c r="O250" t="s">
        <v>459</v>
      </c>
      <c r="P250" t="s">
        <v>459</v>
      </c>
      <c r="Q250">
        <v>1</v>
      </c>
      <c r="X250">
        <v>1.68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120</v>
      </c>
      <c r="AG250">
        <v>2.016</v>
      </c>
      <c r="AH250">
        <v>2</v>
      </c>
      <c r="AI250">
        <v>57249265</v>
      </c>
      <c r="AJ250">
        <v>190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ROW(Source!A143)</f>
        <v>143</v>
      </c>
      <c r="B251">
        <v>57249278</v>
      </c>
      <c r="C251">
        <v>57249273</v>
      </c>
      <c r="D251">
        <v>54702434</v>
      </c>
      <c r="E251">
        <v>1081</v>
      </c>
      <c r="F251">
        <v>1</v>
      </c>
      <c r="G251">
        <v>1081</v>
      </c>
      <c r="H251">
        <v>1</v>
      </c>
      <c r="I251" t="s">
        <v>457</v>
      </c>
      <c r="J251" t="s">
        <v>3</v>
      </c>
      <c r="K251" t="s">
        <v>458</v>
      </c>
      <c r="L251">
        <v>1191</v>
      </c>
      <c r="N251">
        <v>1013</v>
      </c>
      <c r="O251" t="s">
        <v>459</v>
      </c>
      <c r="P251" t="s">
        <v>459</v>
      </c>
      <c r="Q251">
        <v>1</v>
      </c>
      <c r="X251">
        <v>0.6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1</v>
      </c>
      <c r="AF251" t="s">
        <v>120</v>
      </c>
      <c r="AG251">
        <v>0.72</v>
      </c>
      <c r="AH251">
        <v>2</v>
      </c>
      <c r="AI251">
        <v>57249274</v>
      </c>
      <c r="AJ251">
        <v>191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ROW(Source!A143)</f>
        <v>143</v>
      </c>
      <c r="B252">
        <v>57249279</v>
      </c>
      <c r="C252">
        <v>57249273</v>
      </c>
      <c r="D252">
        <v>54768393</v>
      </c>
      <c r="E252">
        <v>1</v>
      </c>
      <c r="F252">
        <v>1</v>
      </c>
      <c r="G252">
        <v>1081</v>
      </c>
      <c r="H252">
        <v>2</v>
      </c>
      <c r="I252" t="s">
        <v>510</v>
      </c>
      <c r="J252" t="s">
        <v>511</v>
      </c>
      <c r="K252" t="s">
        <v>512</v>
      </c>
      <c r="L252">
        <v>1368</v>
      </c>
      <c r="N252">
        <v>1011</v>
      </c>
      <c r="O252" t="s">
        <v>463</v>
      </c>
      <c r="P252" t="s">
        <v>463</v>
      </c>
      <c r="Q252">
        <v>1</v>
      </c>
      <c r="X252">
        <v>0.06</v>
      </c>
      <c r="Y252">
        <v>0</v>
      </c>
      <c r="Z252">
        <v>0.77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120</v>
      </c>
      <c r="AG252">
        <v>7.1999999999999995E-2</v>
      </c>
      <c r="AH252">
        <v>2</v>
      </c>
      <c r="AI252">
        <v>57249275</v>
      </c>
      <c r="AJ252">
        <v>192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ROW(Source!A143)</f>
        <v>143</v>
      </c>
      <c r="B253">
        <v>57249280</v>
      </c>
      <c r="C253">
        <v>57249273</v>
      </c>
      <c r="D253">
        <v>54691787</v>
      </c>
      <c r="E253">
        <v>1081</v>
      </c>
      <c r="F253">
        <v>1</v>
      </c>
      <c r="G253">
        <v>1081</v>
      </c>
      <c r="H253">
        <v>3</v>
      </c>
      <c r="I253" t="s">
        <v>642</v>
      </c>
      <c r="J253" t="s">
        <v>3</v>
      </c>
      <c r="K253" t="s">
        <v>643</v>
      </c>
      <c r="L253">
        <v>1339</v>
      </c>
      <c r="N253">
        <v>1007</v>
      </c>
      <c r="O253" t="s">
        <v>591</v>
      </c>
      <c r="P253" t="s">
        <v>591</v>
      </c>
      <c r="Q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119</v>
      </c>
      <c r="AG253">
        <v>0</v>
      </c>
      <c r="AH253">
        <v>3</v>
      </c>
      <c r="AI253">
        <v>-1</v>
      </c>
      <c r="AJ253" t="s">
        <v>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ROW(Source!A143)</f>
        <v>143</v>
      </c>
      <c r="B254">
        <v>57249281</v>
      </c>
      <c r="C254">
        <v>57249273</v>
      </c>
      <c r="D254">
        <v>54739202</v>
      </c>
      <c r="E254">
        <v>1</v>
      </c>
      <c r="F254">
        <v>1</v>
      </c>
      <c r="G254">
        <v>1081</v>
      </c>
      <c r="H254">
        <v>3</v>
      </c>
      <c r="I254" t="s">
        <v>513</v>
      </c>
      <c r="J254" t="s">
        <v>514</v>
      </c>
      <c r="K254" t="s">
        <v>515</v>
      </c>
      <c r="L254">
        <v>1348</v>
      </c>
      <c r="N254">
        <v>1009</v>
      </c>
      <c r="O254" t="s">
        <v>298</v>
      </c>
      <c r="P254" t="s">
        <v>298</v>
      </c>
      <c r="Q254">
        <v>1000</v>
      </c>
      <c r="X254">
        <v>3.0000000000000001E-5</v>
      </c>
      <c r="Y254">
        <v>37835.07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 t="s">
        <v>119</v>
      </c>
      <c r="AG254">
        <v>3.0000000000000001E-5</v>
      </c>
      <c r="AH254">
        <v>2</v>
      </c>
      <c r="AI254">
        <v>57249276</v>
      </c>
      <c r="AJ254">
        <v>193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ROW(Source!A143)</f>
        <v>143</v>
      </c>
      <c r="B255">
        <v>57249282</v>
      </c>
      <c r="C255">
        <v>57249273</v>
      </c>
      <c r="D255">
        <v>54739891</v>
      </c>
      <c r="E255">
        <v>1</v>
      </c>
      <c r="F255">
        <v>1</v>
      </c>
      <c r="G255">
        <v>1081</v>
      </c>
      <c r="H255">
        <v>3</v>
      </c>
      <c r="I255" t="s">
        <v>516</v>
      </c>
      <c r="J255" t="s">
        <v>517</v>
      </c>
      <c r="K255" t="s">
        <v>518</v>
      </c>
      <c r="L255">
        <v>1348</v>
      </c>
      <c r="N255">
        <v>1009</v>
      </c>
      <c r="O255" t="s">
        <v>298</v>
      </c>
      <c r="P255" t="s">
        <v>298</v>
      </c>
      <c r="Q255">
        <v>1000</v>
      </c>
      <c r="X255">
        <v>1.0000000000000001E-5</v>
      </c>
      <c r="Y255">
        <v>17047.89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119</v>
      </c>
      <c r="AG255">
        <v>1.0000000000000001E-5</v>
      </c>
      <c r="AH255">
        <v>2</v>
      </c>
      <c r="AI255">
        <v>57249277</v>
      </c>
      <c r="AJ255">
        <v>194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ROW(Source!A143)</f>
        <v>143</v>
      </c>
      <c r="B256">
        <v>57249283</v>
      </c>
      <c r="C256">
        <v>57249273</v>
      </c>
      <c r="D256">
        <v>54719682</v>
      </c>
      <c r="E256">
        <v>1081</v>
      </c>
      <c r="F256">
        <v>1</v>
      </c>
      <c r="G256">
        <v>1081</v>
      </c>
      <c r="H256">
        <v>3</v>
      </c>
      <c r="I256" t="s">
        <v>644</v>
      </c>
      <c r="J256" t="s">
        <v>3</v>
      </c>
      <c r="K256" t="s">
        <v>645</v>
      </c>
      <c r="L256">
        <v>1354</v>
      </c>
      <c r="N256">
        <v>1010</v>
      </c>
      <c r="O256" t="s">
        <v>228</v>
      </c>
      <c r="P256" t="s">
        <v>228</v>
      </c>
      <c r="Q256">
        <v>1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119</v>
      </c>
      <c r="AG256">
        <v>1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ROW(Source!A144)</f>
        <v>144</v>
      </c>
      <c r="B257">
        <v>57249278</v>
      </c>
      <c r="C257">
        <v>57249273</v>
      </c>
      <c r="D257">
        <v>54702434</v>
      </c>
      <c r="E257">
        <v>1081</v>
      </c>
      <c r="F257">
        <v>1</v>
      </c>
      <c r="G257">
        <v>1081</v>
      </c>
      <c r="H257">
        <v>1</v>
      </c>
      <c r="I257" t="s">
        <v>457</v>
      </c>
      <c r="J257" t="s">
        <v>3</v>
      </c>
      <c r="K257" t="s">
        <v>458</v>
      </c>
      <c r="L257">
        <v>1191</v>
      </c>
      <c r="N257">
        <v>1013</v>
      </c>
      <c r="O257" t="s">
        <v>459</v>
      </c>
      <c r="P257" t="s">
        <v>459</v>
      </c>
      <c r="Q257">
        <v>1</v>
      </c>
      <c r="X257">
        <v>0.6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120</v>
      </c>
      <c r="AG257">
        <v>0.72</v>
      </c>
      <c r="AH257">
        <v>2</v>
      </c>
      <c r="AI257">
        <v>57249274</v>
      </c>
      <c r="AJ257">
        <v>195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ROW(Source!A144)</f>
        <v>144</v>
      </c>
      <c r="B258">
        <v>57249279</v>
      </c>
      <c r="C258">
        <v>57249273</v>
      </c>
      <c r="D258">
        <v>54768393</v>
      </c>
      <c r="E258">
        <v>1</v>
      </c>
      <c r="F258">
        <v>1</v>
      </c>
      <c r="G258">
        <v>1081</v>
      </c>
      <c r="H258">
        <v>2</v>
      </c>
      <c r="I258" t="s">
        <v>510</v>
      </c>
      <c r="J258" t="s">
        <v>511</v>
      </c>
      <c r="K258" t="s">
        <v>512</v>
      </c>
      <c r="L258">
        <v>1368</v>
      </c>
      <c r="N258">
        <v>1011</v>
      </c>
      <c r="O258" t="s">
        <v>463</v>
      </c>
      <c r="P258" t="s">
        <v>463</v>
      </c>
      <c r="Q258">
        <v>1</v>
      </c>
      <c r="X258">
        <v>0.06</v>
      </c>
      <c r="Y258">
        <v>0</v>
      </c>
      <c r="Z258">
        <v>0.77</v>
      </c>
      <c r="AA258">
        <v>0</v>
      </c>
      <c r="AB258">
        <v>0</v>
      </c>
      <c r="AC258">
        <v>0</v>
      </c>
      <c r="AD258">
        <v>1</v>
      </c>
      <c r="AE258">
        <v>0</v>
      </c>
      <c r="AF258" t="s">
        <v>120</v>
      </c>
      <c r="AG258">
        <v>7.1999999999999995E-2</v>
      </c>
      <c r="AH258">
        <v>2</v>
      </c>
      <c r="AI258">
        <v>57249275</v>
      </c>
      <c r="AJ258">
        <v>196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ROW(Source!A144)</f>
        <v>144</v>
      </c>
      <c r="B259">
        <v>57249280</v>
      </c>
      <c r="C259">
        <v>57249273</v>
      </c>
      <c r="D259">
        <v>54691787</v>
      </c>
      <c r="E259">
        <v>1081</v>
      </c>
      <c r="F259">
        <v>1</v>
      </c>
      <c r="G259">
        <v>1081</v>
      </c>
      <c r="H259">
        <v>3</v>
      </c>
      <c r="I259" t="s">
        <v>642</v>
      </c>
      <c r="J259" t="s">
        <v>3</v>
      </c>
      <c r="K259" t="s">
        <v>643</v>
      </c>
      <c r="L259">
        <v>1339</v>
      </c>
      <c r="N259">
        <v>1007</v>
      </c>
      <c r="O259" t="s">
        <v>591</v>
      </c>
      <c r="P259" t="s">
        <v>591</v>
      </c>
      <c r="Q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119</v>
      </c>
      <c r="AG259">
        <v>0</v>
      </c>
      <c r="AH259">
        <v>3</v>
      </c>
      <c r="AI259">
        <v>-1</v>
      </c>
      <c r="AJ259" t="s">
        <v>3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ROW(Source!A144)</f>
        <v>144</v>
      </c>
      <c r="B260">
        <v>57249281</v>
      </c>
      <c r="C260">
        <v>57249273</v>
      </c>
      <c r="D260">
        <v>54739202</v>
      </c>
      <c r="E260">
        <v>1</v>
      </c>
      <c r="F260">
        <v>1</v>
      </c>
      <c r="G260">
        <v>1081</v>
      </c>
      <c r="H260">
        <v>3</v>
      </c>
      <c r="I260" t="s">
        <v>513</v>
      </c>
      <c r="J260" t="s">
        <v>514</v>
      </c>
      <c r="K260" t="s">
        <v>515</v>
      </c>
      <c r="L260">
        <v>1348</v>
      </c>
      <c r="N260">
        <v>1009</v>
      </c>
      <c r="O260" t="s">
        <v>298</v>
      </c>
      <c r="P260" t="s">
        <v>298</v>
      </c>
      <c r="Q260">
        <v>1000</v>
      </c>
      <c r="X260">
        <v>3.0000000000000001E-5</v>
      </c>
      <c r="Y260">
        <v>37835.07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119</v>
      </c>
      <c r="AG260">
        <v>3.0000000000000001E-5</v>
      </c>
      <c r="AH260">
        <v>2</v>
      </c>
      <c r="AI260">
        <v>57249276</v>
      </c>
      <c r="AJ260">
        <v>197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ROW(Source!A144)</f>
        <v>144</v>
      </c>
      <c r="B261">
        <v>57249282</v>
      </c>
      <c r="C261">
        <v>57249273</v>
      </c>
      <c r="D261">
        <v>54739891</v>
      </c>
      <c r="E261">
        <v>1</v>
      </c>
      <c r="F261">
        <v>1</v>
      </c>
      <c r="G261">
        <v>1081</v>
      </c>
      <c r="H261">
        <v>3</v>
      </c>
      <c r="I261" t="s">
        <v>516</v>
      </c>
      <c r="J261" t="s">
        <v>517</v>
      </c>
      <c r="K261" t="s">
        <v>518</v>
      </c>
      <c r="L261">
        <v>1348</v>
      </c>
      <c r="N261">
        <v>1009</v>
      </c>
      <c r="O261" t="s">
        <v>298</v>
      </c>
      <c r="P261" t="s">
        <v>298</v>
      </c>
      <c r="Q261">
        <v>1000</v>
      </c>
      <c r="X261">
        <v>1.0000000000000001E-5</v>
      </c>
      <c r="Y261">
        <v>17047.89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119</v>
      </c>
      <c r="AG261">
        <v>1.0000000000000001E-5</v>
      </c>
      <c r="AH261">
        <v>2</v>
      </c>
      <c r="AI261">
        <v>57249277</v>
      </c>
      <c r="AJ261">
        <v>198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ROW(Source!A144)</f>
        <v>144</v>
      </c>
      <c r="B262">
        <v>57249283</v>
      </c>
      <c r="C262">
        <v>57249273</v>
      </c>
      <c r="D262">
        <v>54719682</v>
      </c>
      <c r="E262">
        <v>1081</v>
      </c>
      <c r="F262">
        <v>1</v>
      </c>
      <c r="G262">
        <v>1081</v>
      </c>
      <c r="H262">
        <v>3</v>
      </c>
      <c r="I262" t="s">
        <v>644</v>
      </c>
      <c r="J262" t="s">
        <v>3</v>
      </c>
      <c r="K262" t="s">
        <v>645</v>
      </c>
      <c r="L262">
        <v>1354</v>
      </c>
      <c r="N262">
        <v>1010</v>
      </c>
      <c r="O262" t="s">
        <v>228</v>
      </c>
      <c r="P262" t="s">
        <v>228</v>
      </c>
      <c r="Q262">
        <v>1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119</v>
      </c>
      <c r="AG262">
        <v>1</v>
      </c>
      <c r="AH262">
        <v>3</v>
      </c>
      <c r="AI262">
        <v>-1</v>
      </c>
      <c r="AJ262" t="s">
        <v>3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ROW(Source!A157)</f>
        <v>157</v>
      </c>
      <c r="B263">
        <v>57249329</v>
      </c>
      <c r="C263">
        <v>57249320</v>
      </c>
      <c r="D263">
        <v>54702434</v>
      </c>
      <c r="E263">
        <v>1081</v>
      </c>
      <c r="F263">
        <v>1</v>
      </c>
      <c r="G263">
        <v>1081</v>
      </c>
      <c r="H263">
        <v>1</v>
      </c>
      <c r="I263" t="s">
        <v>457</v>
      </c>
      <c r="J263" t="s">
        <v>3</v>
      </c>
      <c r="K263" t="s">
        <v>458</v>
      </c>
      <c r="L263">
        <v>1191</v>
      </c>
      <c r="N263">
        <v>1013</v>
      </c>
      <c r="O263" t="s">
        <v>459</v>
      </c>
      <c r="P263" t="s">
        <v>459</v>
      </c>
      <c r="Q263">
        <v>1</v>
      </c>
      <c r="X263">
        <v>18.38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1</v>
      </c>
      <c r="AF263" t="s">
        <v>293</v>
      </c>
      <c r="AG263">
        <v>25.364399999999996</v>
      </c>
      <c r="AH263">
        <v>2</v>
      </c>
      <c r="AI263">
        <v>57249321</v>
      </c>
      <c r="AJ263">
        <v>199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ROW(Source!A157)</f>
        <v>157</v>
      </c>
      <c r="B264">
        <v>57249330</v>
      </c>
      <c r="C264">
        <v>57249320</v>
      </c>
      <c r="D264">
        <v>54768339</v>
      </c>
      <c r="E264">
        <v>1</v>
      </c>
      <c r="F264">
        <v>1</v>
      </c>
      <c r="G264">
        <v>1081</v>
      </c>
      <c r="H264">
        <v>2</v>
      </c>
      <c r="I264" t="s">
        <v>497</v>
      </c>
      <c r="J264" t="s">
        <v>498</v>
      </c>
      <c r="K264" t="s">
        <v>499</v>
      </c>
      <c r="L264">
        <v>1368</v>
      </c>
      <c r="N264">
        <v>1011</v>
      </c>
      <c r="O264" t="s">
        <v>463</v>
      </c>
      <c r="P264" t="s">
        <v>463</v>
      </c>
      <c r="Q264">
        <v>1</v>
      </c>
      <c r="X264">
        <v>1.36</v>
      </c>
      <c r="Y264">
        <v>0</v>
      </c>
      <c r="Z264">
        <v>83.1</v>
      </c>
      <c r="AA264">
        <v>12.62</v>
      </c>
      <c r="AB264">
        <v>0</v>
      </c>
      <c r="AC264">
        <v>0</v>
      </c>
      <c r="AD264">
        <v>1</v>
      </c>
      <c r="AE264">
        <v>0</v>
      </c>
      <c r="AF264" t="s">
        <v>292</v>
      </c>
      <c r="AG264">
        <v>2.04</v>
      </c>
      <c r="AH264">
        <v>2</v>
      </c>
      <c r="AI264">
        <v>57249322</v>
      </c>
      <c r="AJ264">
        <v>200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ROW(Source!A157)</f>
        <v>157</v>
      </c>
      <c r="B265">
        <v>57249331</v>
      </c>
      <c r="C265">
        <v>57249320</v>
      </c>
      <c r="D265">
        <v>54768461</v>
      </c>
      <c r="E265">
        <v>1</v>
      </c>
      <c r="F265">
        <v>1</v>
      </c>
      <c r="G265">
        <v>1081</v>
      </c>
      <c r="H265">
        <v>2</v>
      </c>
      <c r="I265" t="s">
        <v>464</v>
      </c>
      <c r="J265" t="s">
        <v>465</v>
      </c>
      <c r="K265" t="s">
        <v>466</v>
      </c>
      <c r="L265">
        <v>1368</v>
      </c>
      <c r="N265">
        <v>1011</v>
      </c>
      <c r="O265" t="s">
        <v>463</v>
      </c>
      <c r="P265" t="s">
        <v>463</v>
      </c>
      <c r="Q265">
        <v>1</v>
      </c>
      <c r="X265">
        <v>0.54</v>
      </c>
      <c r="Y265">
        <v>0</v>
      </c>
      <c r="Z265">
        <v>1.1100000000000001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292</v>
      </c>
      <c r="AG265">
        <v>0.81</v>
      </c>
      <c r="AH265">
        <v>2</v>
      </c>
      <c r="AI265">
        <v>57249323</v>
      </c>
      <c r="AJ265">
        <v>201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ROW(Source!A157)</f>
        <v>157</v>
      </c>
      <c r="B266">
        <v>57249332</v>
      </c>
      <c r="C266">
        <v>57249320</v>
      </c>
      <c r="D266">
        <v>54768426</v>
      </c>
      <c r="E266">
        <v>1</v>
      </c>
      <c r="F266">
        <v>1</v>
      </c>
      <c r="G266">
        <v>1081</v>
      </c>
      <c r="H266">
        <v>2</v>
      </c>
      <c r="I266" t="s">
        <v>485</v>
      </c>
      <c r="J266" t="s">
        <v>486</v>
      </c>
      <c r="K266" t="s">
        <v>487</v>
      </c>
      <c r="L266">
        <v>1368</v>
      </c>
      <c r="N266">
        <v>1011</v>
      </c>
      <c r="O266" t="s">
        <v>463</v>
      </c>
      <c r="P266" t="s">
        <v>463</v>
      </c>
      <c r="Q266">
        <v>1</v>
      </c>
      <c r="X266">
        <v>0.24</v>
      </c>
      <c r="Y266">
        <v>0</v>
      </c>
      <c r="Z266">
        <v>0.47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292</v>
      </c>
      <c r="AG266">
        <v>0.36</v>
      </c>
      <c r="AH266">
        <v>2</v>
      </c>
      <c r="AI266">
        <v>57249324</v>
      </c>
      <c r="AJ266">
        <v>202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ROW(Source!A157)</f>
        <v>157</v>
      </c>
      <c r="B267">
        <v>57249333</v>
      </c>
      <c r="C267">
        <v>57249320</v>
      </c>
      <c r="D267">
        <v>54739820</v>
      </c>
      <c r="E267">
        <v>1</v>
      </c>
      <c r="F267">
        <v>1</v>
      </c>
      <c r="G267">
        <v>1081</v>
      </c>
      <c r="H267">
        <v>3</v>
      </c>
      <c r="I267" t="s">
        <v>519</v>
      </c>
      <c r="J267" t="s">
        <v>520</v>
      </c>
      <c r="K267" t="s">
        <v>521</v>
      </c>
      <c r="L267">
        <v>1296</v>
      </c>
      <c r="N267">
        <v>1002</v>
      </c>
      <c r="O267" t="s">
        <v>522</v>
      </c>
      <c r="P267" t="s">
        <v>522</v>
      </c>
      <c r="Q267">
        <v>1</v>
      </c>
      <c r="X267">
        <v>2.52</v>
      </c>
      <c r="Y267">
        <v>125.73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291</v>
      </c>
      <c r="AG267">
        <v>2.52</v>
      </c>
      <c r="AH267">
        <v>2</v>
      </c>
      <c r="AI267">
        <v>57249325</v>
      </c>
      <c r="AJ267">
        <v>203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ROW(Source!A157)</f>
        <v>157</v>
      </c>
      <c r="B268">
        <v>57249334</v>
      </c>
      <c r="C268">
        <v>57249320</v>
      </c>
      <c r="D268">
        <v>54747392</v>
      </c>
      <c r="E268">
        <v>1</v>
      </c>
      <c r="F268">
        <v>1</v>
      </c>
      <c r="G268">
        <v>1081</v>
      </c>
      <c r="H268">
        <v>3</v>
      </c>
      <c r="I268" t="s">
        <v>482</v>
      </c>
      <c r="J268" t="s">
        <v>483</v>
      </c>
      <c r="K268" t="s">
        <v>484</v>
      </c>
      <c r="L268">
        <v>1354</v>
      </c>
      <c r="N268">
        <v>1010</v>
      </c>
      <c r="O268" t="s">
        <v>228</v>
      </c>
      <c r="P268" t="s">
        <v>228</v>
      </c>
      <c r="Q268">
        <v>1</v>
      </c>
      <c r="X268">
        <v>9.6000000000000002E-2</v>
      </c>
      <c r="Y268">
        <v>10.53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291</v>
      </c>
      <c r="AG268">
        <v>9.6000000000000002E-2</v>
      </c>
      <c r="AH268">
        <v>2</v>
      </c>
      <c r="AI268">
        <v>57249326</v>
      </c>
      <c r="AJ268">
        <v>205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ROW(Source!A157)</f>
        <v>157</v>
      </c>
      <c r="B269">
        <v>57249335</v>
      </c>
      <c r="C269">
        <v>57249320</v>
      </c>
      <c r="D269">
        <v>54747602</v>
      </c>
      <c r="E269">
        <v>1</v>
      </c>
      <c r="F269">
        <v>1</v>
      </c>
      <c r="G269">
        <v>1081</v>
      </c>
      <c r="H269">
        <v>3</v>
      </c>
      <c r="I269" t="s">
        <v>523</v>
      </c>
      <c r="J269" t="s">
        <v>524</v>
      </c>
      <c r="K269" t="s">
        <v>525</v>
      </c>
      <c r="L269">
        <v>1355</v>
      </c>
      <c r="N269">
        <v>1010</v>
      </c>
      <c r="O269" t="s">
        <v>67</v>
      </c>
      <c r="P269" t="s">
        <v>67</v>
      </c>
      <c r="Q269">
        <v>100</v>
      </c>
      <c r="X269">
        <v>0.61</v>
      </c>
      <c r="Y269">
        <v>278.73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291</v>
      </c>
      <c r="AG269">
        <v>0.61</v>
      </c>
      <c r="AH269">
        <v>2</v>
      </c>
      <c r="AI269">
        <v>57249327</v>
      </c>
      <c r="AJ269">
        <v>206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ROW(Source!A157)</f>
        <v>157</v>
      </c>
      <c r="B270">
        <v>57249336</v>
      </c>
      <c r="C270">
        <v>57249320</v>
      </c>
      <c r="D270">
        <v>54723795</v>
      </c>
      <c r="E270">
        <v>1081</v>
      </c>
      <c r="F270">
        <v>1</v>
      </c>
      <c r="G270">
        <v>1081</v>
      </c>
      <c r="H270">
        <v>3</v>
      </c>
      <c r="I270" t="s">
        <v>646</v>
      </c>
      <c r="J270" t="s">
        <v>3</v>
      </c>
      <c r="K270" t="s">
        <v>647</v>
      </c>
      <c r="L270">
        <v>1354</v>
      </c>
      <c r="N270">
        <v>1010</v>
      </c>
      <c r="O270" t="s">
        <v>228</v>
      </c>
      <c r="P270" t="s">
        <v>228</v>
      </c>
      <c r="Q270">
        <v>1</v>
      </c>
      <c r="X270">
        <v>10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 t="s">
        <v>291</v>
      </c>
      <c r="AG270">
        <v>10</v>
      </c>
      <c r="AH270">
        <v>3</v>
      </c>
      <c r="AI270">
        <v>-1</v>
      </c>
      <c r="AJ270" t="s">
        <v>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ROW(Source!A158)</f>
        <v>158</v>
      </c>
      <c r="B271">
        <v>57249329</v>
      </c>
      <c r="C271">
        <v>57249320</v>
      </c>
      <c r="D271">
        <v>54702434</v>
      </c>
      <c r="E271">
        <v>1081</v>
      </c>
      <c r="F271">
        <v>1</v>
      </c>
      <c r="G271">
        <v>1081</v>
      </c>
      <c r="H271">
        <v>1</v>
      </c>
      <c r="I271" t="s">
        <v>457</v>
      </c>
      <c r="J271" t="s">
        <v>3</v>
      </c>
      <c r="K271" t="s">
        <v>458</v>
      </c>
      <c r="L271">
        <v>1191</v>
      </c>
      <c r="N271">
        <v>1013</v>
      </c>
      <c r="O271" t="s">
        <v>459</v>
      </c>
      <c r="P271" t="s">
        <v>459</v>
      </c>
      <c r="Q271">
        <v>1</v>
      </c>
      <c r="X271">
        <v>18.38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1</v>
      </c>
      <c r="AF271" t="s">
        <v>293</v>
      </c>
      <c r="AG271">
        <v>25.364399999999996</v>
      </c>
      <c r="AH271">
        <v>2</v>
      </c>
      <c r="AI271">
        <v>57249321</v>
      </c>
      <c r="AJ271">
        <v>207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ROW(Source!A158)</f>
        <v>158</v>
      </c>
      <c r="B272">
        <v>57249330</v>
      </c>
      <c r="C272">
        <v>57249320</v>
      </c>
      <c r="D272">
        <v>54768339</v>
      </c>
      <c r="E272">
        <v>1</v>
      </c>
      <c r="F272">
        <v>1</v>
      </c>
      <c r="G272">
        <v>1081</v>
      </c>
      <c r="H272">
        <v>2</v>
      </c>
      <c r="I272" t="s">
        <v>497</v>
      </c>
      <c r="J272" t="s">
        <v>498</v>
      </c>
      <c r="K272" t="s">
        <v>499</v>
      </c>
      <c r="L272">
        <v>1368</v>
      </c>
      <c r="N272">
        <v>1011</v>
      </c>
      <c r="O272" t="s">
        <v>463</v>
      </c>
      <c r="P272" t="s">
        <v>463</v>
      </c>
      <c r="Q272">
        <v>1</v>
      </c>
      <c r="X272">
        <v>1.36</v>
      </c>
      <c r="Y272">
        <v>0</v>
      </c>
      <c r="Z272">
        <v>83.1</v>
      </c>
      <c r="AA272">
        <v>12.62</v>
      </c>
      <c r="AB272">
        <v>0</v>
      </c>
      <c r="AC272">
        <v>0</v>
      </c>
      <c r="AD272">
        <v>1</v>
      </c>
      <c r="AE272">
        <v>0</v>
      </c>
      <c r="AF272" t="s">
        <v>292</v>
      </c>
      <c r="AG272">
        <v>2.04</v>
      </c>
      <c r="AH272">
        <v>2</v>
      </c>
      <c r="AI272">
        <v>57249322</v>
      </c>
      <c r="AJ272">
        <v>208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ROW(Source!A158)</f>
        <v>158</v>
      </c>
      <c r="B273">
        <v>57249331</v>
      </c>
      <c r="C273">
        <v>57249320</v>
      </c>
      <c r="D273">
        <v>54768461</v>
      </c>
      <c r="E273">
        <v>1</v>
      </c>
      <c r="F273">
        <v>1</v>
      </c>
      <c r="G273">
        <v>1081</v>
      </c>
      <c r="H273">
        <v>2</v>
      </c>
      <c r="I273" t="s">
        <v>464</v>
      </c>
      <c r="J273" t="s">
        <v>465</v>
      </c>
      <c r="K273" t="s">
        <v>466</v>
      </c>
      <c r="L273">
        <v>1368</v>
      </c>
      <c r="N273">
        <v>1011</v>
      </c>
      <c r="O273" t="s">
        <v>463</v>
      </c>
      <c r="P273" t="s">
        <v>463</v>
      </c>
      <c r="Q273">
        <v>1</v>
      </c>
      <c r="X273">
        <v>0.54</v>
      </c>
      <c r="Y273">
        <v>0</v>
      </c>
      <c r="Z273">
        <v>1.1100000000000001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292</v>
      </c>
      <c r="AG273">
        <v>0.81</v>
      </c>
      <c r="AH273">
        <v>2</v>
      </c>
      <c r="AI273">
        <v>57249323</v>
      </c>
      <c r="AJ273">
        <v>209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ROW(Source!A158)</f>
        <v>158</v>
      </c>
      <c r="B274">
        <v>57249332</v>
      </c>
      <c r="C274">
        <v>57249320</v>
      </c>
      <c r="D274">
        <v>54768426</v>
      </c>
      <c r="E274">
        <v>1</v>
      </c>
      <c r="F274">
        <v>1</v>
      </c>
      <c r="G274">
        <v>1081</v>
      </c>
      <c r="H274">
        <v>2</v>
      </c>
      <c r="I274" t="s">
        <v>485</v>
      </c>
      <c r="J274" t="s">
        <v>486</v>
      </c>
      <c r="K274" t="s">
        <v>487</v>
      </c>
      <c r="L274">
        <v>1368</v>
      </c>
      <c r="N274">
        <v>1011</v>
      </c>
      <c r="O274" t="s">
        <v>463</v>
      </c>
      <c r="P274" t="s">
        <v>463</v>
      </c>
      <c r="Q274">
        <v>1</v>
      </c>
      <c r="X274">
        <v>0.24</v>
      </c>
      <c r="Y274">
        <v>0</v>
      </c>
      <c r="Z274">
        <v>0.47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292</v>
      </c>
      <c r="AG274">
        <v>0.36</v>
      </c>
      <c r="AH274">
        <v>2</v>
      </c>
      <c r="AI274">
        <v>57249324</v>
      </c>
      <c r="AJ274">
        <v>210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ROW(Source!A158)</f>
        <v>158</v>
      </c>
      <c r="B275">
        <v>57249333</v>
      </c>
      <c r="C275">
        <v>57249320</v>
      </c>
      <c r="D275">
        <v>54739820</v>
      </c>
      <c r="E275">
        <v>1</v>
      </c>
      <c r="F275">
        <v>1</v>
      </c>
      <c r="G275">
        <v>1081</v>
      </c>
      <c r="H275">
        <v>3</v>
      </c>
      <c r="I275" t="s">
        <v>519</v>
      </c>
      <c r="J275" t="s">
        <v>520</v>
      </c>
      <c r="K275" t="s">
        <v>521</v>
      </c>
      <c r="L275">
        <v>1296</v>
      </c>
      <c r="N275">
        <v>1002</v>
      </c>
      <c r="O275" t="s">
        <v>522</v>
      </c>
      <c r="P275" t="s">
        <v>522</v>
      </c>
      <c r="Q275">
        <v>1</v>
      </c>
      <c r="X275">
        <v>2.52</v>
      </c>
      <c r="Y275">
        <v>125.73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291</v>
      </c>
      <c r="AG275">
        <v>2.52</v>
      </c>
      <c r="AH275">
        <v>2</v>
      </c>
      <c r="AI275">
        <v>57249325</v>
      </c>
      <c r="AJ275">
        <v>211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ROW(Source!A158)</f>
        <v>158</v>
      </c>
      <c r="B276">
        <v>57249334</v>
      </c>
      <c r="C276">
        <v>57249320</v>
      </c>
      <c r="D276">
        <v>54747392</v>
      </c>
      <c r="E276">
        <v>1</v>
      </c>
      <c r="F276">
        <v>1</v>
      </c>
      <c r="G276">
        <v>1081</v>
      </c>
      <c r="H276">
        <v>3</v>
      </c>
      <c r="I276" t="s">
        <v>482</v>
      </c>
      <c r="J276" t="s">
        <v>483</v>
      </c>
      <c r="K276" t="s">
        <v>484</v>
      </c>
      <c r="L276">
        <v>1354</v>
      </c>
      <c r="N276">
        <v>1010</v>
      </c>
      <c r="O276" t="s">
        <v>228</v>
      </c>
      <c r="P276" t="s">
        <v>228</v>
      </c>
      <c r="Q276">
        <v>1</v>
      </c>
      <c r="X276">
        <v>9.6000000000000002E-2</v>
      </c>
      <c r="Y276">
        <v>10.53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291</v>
      </c>
      <c r="AG276">
        <v>9.6000000000000002E-2</v>
      </c>
      <c r="AH276">
        <v>2</v>
      </c>
      <c r="AI276">
        <v>57249326</v>
      </c>
      <c r="AJ276">
        <v>213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ROW(Source!A158)</f>
        <v>158</v>
      </c>
      <c r="B277">
        <v>57249335</v>
      </c>
      <c r="C277">
        <v>57249320</v>
      </c>
      <c r="D277">
        <v>54747602</v>
      </c>
      <c r="E277">
        <v>1</v>
      </c>
      <c r="F277">
        <v>1</v>
      </c>
      <c r="G277">
        <v>1081</v>
      </c>
      <c r="H277">
        <v>3</v>
      </c>
      <c r="I277" t="s">
        <v>523</v>
      </c>
      <c r="J277" t="s">
        <v>524</v>
      </c>
      <c r="K277" t="s">
        <v>525</v>
      </c>
      <c r="L277">
        <v>1355</v>
      </c>
      <c r="N277">
        <v>1010</v>
      </c>
      <c r="O277" t="s">
        <v>67</v>
      </c>
      <c r="P277" t="s">
        <v>67</v>
      </c>
      <c r="Q277">
        <v>100</v>
      </c>
      <c r="X277">
        <v>0.61</v>
      </c>
      <c r="Y277">
        <v>278.73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291</v>
      </c>
      <c r="AG277">
        <v>0.61</v>
      </c>
      <c r="AH277">
        <v>2</v>
      </c>
      <c r="AI277">
        <v>57249327</v>
      </c>
      <c r="AJ277">
        <v>214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ROW(Source!A158)</f>
        <v>158</v>
      </c>
      <c r="B278">
        <v>57249336</v>
      </c>
      <c r="C278">
        <v>57249320</v>
      </c>
      <c r="D278">
        <v>54723795</v>
      </c>
      <c r="E278">
        <v>1081</v>
      </c>
      <c r="F278">
        <v>1</v>
      </c>
      <c r="G278">
        <v>1081</v>
      </c>
      <c r="H278">
        <v>3</v>
      </c>
      <c r="I278" t="s">
        <v>646</v>
      </c>
      <c r="J278" t="s">
        <v>3</v>
      </c>
      <c r="K278" t="s">
        <v>647</v>
      </c>
      <c r="L278">
        <v>1354</v>
      </c>
      <c r="N278">
        <v>1010</v>
      </c>
      <c r="O278" t="s">
        <v>228</v>
      </c>
      <c r="P278" t="s">
        <v>228</v>
      </c>
      <c r="Q278">
        <v>1</v>
      </c>
      <c r="X278">
        <v>10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291</v>
      </c>
      <c r="AG278">
        <v>10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ROW(Source!A161)</f>
        <v>161</v>
      </c>
      <c r="B279">
        <v>57249341</v>
      </c>
      <c r="C279">
        <v>57249338</v>
      </c>
      <c r="D279">
        <v>54702434</v>
      </c>
      <c r="E279">
        <v>1081</v>
      </c>
      <c r="F279">
        <v>1</v>
      </c>
      <c r="G279">
        <v>1081</v>
      </c>
      <c r="H279">
        <v>1</v>
      </c>
      <c r="I279" t="s">
        <v>457</v>
      </c>
      <c r="J279" t="s">
        <v>3</v>
      </c>
      <c r="K279" t="s">
        <v>458</v>
      </c>
      <c r="L279">
        <v>1191</v>
      </c>
      <c r="N279">
        <v>1013</v>
      </c>
      <c r="O279" t="s">
        <v>459</v>
      </c>
      <c r="P279" t="s">
        <v>459</v>
      </c>
      <c r="Q279">
        <v>1</v>
      </c>
      <c r="X279">
        <v>7.0000000000000007E-2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120</v>
      </c>
      <c r="AG279">
        <v>8.4000000000000005E-2</v>
      </c>
      <c r="AH279">
        <v>2</v>
      </c>
      <c r="AI279">
        <v>57249339</v>
      </c>
      <c r="AJ279">
        <v>215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ROW(Source!A161)</f>
        <v>161</v>
      </c>
      <c r="B280">
        <v>57249342</v>
      </c>
      <c r="C280">
        <v>57249338</v>
      </c>
      <c r="D280">
        <v>54726259</v>
      </c>
      <c r="E280">
        <v>1081</v>
      </c>
      <c r="F280">
        <v>1</v>
      </c>
      <c r="G280">
        <v>1081</v>
      </c>
      <c r="H280">
        <v>3</v>
      </c>
      <c r="I280" t="s">
        <v>648</v>
      </c>
      <c r="J280" t="s">
        <v>3</v>
      </c>
      <c r="K280" t="s">
        <v>649</v>
      </c>
      <c r="L280">
        <v>1354</v>
      </c>
      <c r="N280">
        <v>1010</v>
      </c>
      <c r="O280" t="s">
        <v>228</v>
      </c>
      <c r="P280" t="s">
        <v>228</v>
      </c>
      <c r="Q280">
        <v>1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 t="s">
        <v>119</v>
      </c>
      <c r="AG280">
        <v>1</v>
      </c>
      <c r="AH280">
        <v>3</v>
      </c>
      <c r="AI280">
        <v>-1</v>
      </c>
      <c r="AJ280" t="s">
        <v>3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ROW(Source!A162)</f>
        <v>162</v>
      </c>
      <c r="B281">
        <v>57249341</v>
      </c>
      <c r="C281">
        <v>57249338</v>
      </c>
      <c r="D281">
        <v>54702434</v>
      </c>
      <c r="E281">
        <v>1081</v>
      </c>
      <c r="F281">
        <v>1</v>
      </c>
      <c r="G281">
        <v>1081</v>
      </c>
      <c r="H281">
        <v>1</v>
      </c>
      <c r="I281" t="s">
        <v>457</v>
      </c>
      <c r="J281" t="s">
        <v>3</v>
      </c>
      <c r="K281" t="s">
        <v>458</v>
      </c>
      <c r="L281">
        <v>1191</v>
      </c>
      <c r="N281">
        <v>1013</v>
      </c>
      <c r="O281" t="s">
        <v>459</v>
      </c>
      <c r="P281" t="s">
        <v>459</v>
      </c>
      <c r="Q281">
        <v>1</v>
      </c>
      <c r="X281">
        <v>7.0000000000000007E-2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120</v>
      </c>
      <c r="AG281">
        <v>8.4000000000000005E-2</v>
      </c>
      <c r="AH281">
        <v>2</v>
      </c>
      <c r="AI281">
        <v>57249339</v>
      </c>
      <c r="AJ281">
        <v>217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ROW(Source!A162)</f>
        <v>162</v>
      </c>
      <c r="B282">
        <v>57249342</v>
      </c>
      <c r="C282">
        <v>57249338</v>
      </c>
      <c r="D282">
        <v>54726259</v>
      </c>
      <c r="E282">
        <v>1081</v>
      </c>
      <c r="F282">
        <v>1</v>
      </c>
      <c r="G282">
        <v>1081</v>
      </c>
      <c r="H282">
        <v>3</v>
      </c>
      <c r="I282" t="s">
        <v>648</v>
      </c>
      <c r="J282" t="s">
        <v>3</v>
      </c>
      <c r="K282" t="s">
        <v>649</v>
      </c>
      <c r="L282">
        <v>1354</v>
      </c>
      <c r="N282">
        <v>1010</v>
      </c>
      <c r="O282" t="s">
        <v>228</v>
      </c>
      <c r="P282" t="s">
        <v>228</v>
      </c>
      <c r="Q282">
        <v>1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119</v>
      </c>
      <c r="AG282">
        <v>1</v>
      </c>
      <c r="AH282">
        <v>3</v>
      </c>
      <c r="AI282">
        <v>-1</v>
      </c>
      <c r="AJ282" t="s">
        <v>3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ROW(Source!A165)</f>
        <v>165</v>
      </c>
      <c r="B283">
        <v>57249352</v>
      </c>
      <c r="C283">
        <v>57249344</v>
      </c>
      <c r="D283">
        <v>54702434</v>
      </c>
      <c r="E283">
        <v>1081</v>
      </c>
      <c r="F283">
        <v>1</v>
      </c>
      <c r="G283">
        <v>1081</v>
      </c>
      <c r="H283">
        <v>1</v>
      </c>
      <c r="I283" t="s">
        <v>457</v>
      </c>
      <c r="J283" t="s">
        <v>3</v>
      </c>
      <c r="K283" t="s">
        <v>458</v>
      </c>
      <c r="L283">
        <v>1191</v>
      </c>
      <c r="N283">
        <v>1013</v>
      </c>
      <c r="O283" t="s">
        <v>459</v>
      </c>
      <c r="P283" t="s">
        <v>459</v>
      </c>
      <c r="Q283">
        <v>1</v>
      </c>
      <c r="X283">
        <v>11.57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1</v>
      </c>
      <c r="AF283" t="s">
        <v>293</v>
      </c>
      <c r="AG283">
        <v>15.966599999999998</v>
      </c>
      <c r="AH283">
        <v>2</v>
      </c>
      <c r="AI283">
        <v>57249345</v>
      </c>
      <c r="AJ283">
        <v>219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ROW(Source!A165)</f>
        <v>165</v>
      </c>
      <c r="B284">
        <v>57249353</v>
      </c>
      <c r="C284">
        <v>57249344</v>
      </c>
      <c r="D284">
        <v>54768339</v>
      </c>
      <c r="E284">
        <v>1</v>
      </c>
      <c r="F284">
        <v>1</v>
      </c>
      <c r="G284">
        <v>1081</v>
      </c>
      <c r="H284">
        <v>2</v>
      </c>
      <c r="I284" t="s">
        <v>497</v>
      </c>
      <c r="J284" t="s">
        <v>498</v>
      </c>
      <c r="K284" t="s">
        <v>499</v>
      </c>
      <c r="L284">
        <v>1368</v>
      </c>
      <c r="N284">
        <v>1011</v>
      </c>
      <c r="O284" t="s">
        <v>463</v>
      </c>
      <c r="P284" t="s">
        <v>463</v>
      </c>
      <c r="Q284">
        <v>1</v>
      </c>
      <c r="X284">
        <v>0.18</v>
      </c>
      <c r="Y284">
        <v>0</v>
      </c>
      <c r="Z284">
        <v>83.1</v>
      </c>
      <c r="AA284">
        <v>12.62</v>
      </c>
      <c r="AB284">
        <v>0</v>
      </c>
      <c r="AC284">
        <v>0</v>
      </c>
      <c r="AD284">
        <v>1</v>
      </c>
      <c r="AE284">
        <v>0</v>
      </c>
      <c r="AF284" t="s">
        <v>292</v>
      </c>
      <c r="AG284">
        <v>0.26999999999999996</v>
      </c>
      <c r="AH284">
        <v>2</v>
      </c>
      <c r="AI284">
        <v>57249346</v>
      </c>
      <c r="AJ284">
        <v>220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ROW(Source!A165)</f>
        <v>165</v>
      </c>
      <c r="B285">
        <v>57249354</v>
      </c>
      <c r="C285">
        <v>57249344</v>
      </c>
      <c r="D285">
        <v>54768460</v>
      </c>
      <c r="E285">
        <v>1</v>
      </c>
      <c r="F285">
        <v>1</v>
      </c>
      <c r="G285">
        <v>1081</v>
      </c>
      <c r="H285">
        <v>2</v>
      </c>
      <c r="I285" t="s">
        <v>460</v>
      </c>
      <c r="J285" t="s">
        <v>461</v>
      </c>
      <c r="K285" t="s">
        <v>462</v>
      </c>
      <c r="L285">
        <v>1368</v>
      </c>
      <c r="N285">
        <v>1011</v>
      </c>
      <c r="O285" t="s">
        <v>463</v>
      </c>
      <c r="P285" t="s">
        <v>463</v>
      </c>
      <c r="Q285">
        <v>1</v>
      </c>
      <c r="X285">
        <v>1.38</v>
      </c>
      <c r="Y285">
        <v>0</v>
      </c>
      <c r="Z285">
        <v>0.8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292</v>
      </c>
      <c r="AG285">
        <v>2.0699999999999998</v>
      </c>
      <c r="AH285">
        <v>2</v>
      </c>
      <c r="AI285">
        <v>57249347</v>
      </c>
      <c r="AJ285">
        <v>221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ROW(Source!A165)</f>
        <v>165</v>
      </c>
      <c r="B286">
        <v>57249355</v>
      </c>
      <c r="C286">
        <v>57249344</v>
      </c>
      <c r="D286">
        <v>54768426</v>
      </c>
      <c r="E286">
        <v>1</v>
      </c>
      <c r="F286">
        <v>1</v>
      </c>
      <c r="G286">
        <v>1081</v>
      </c>
      <c r="H286">
        <v>2</v>
      </c>
      <c r="I286" t="s">
        <v>485</v>
      </c>
      <c r="J286" t="s">
        <v>486</v>
      </c>
      <c r="K286" t="s">
        <v>487</v>
      </c>
      <c r="L286">
        <v>1368</v>
      </c>
      <c r="N286">
        <v>1011</v>
      </c>
      <c r="O286" t="s">
        <v>463</v>
      </c>
      <c r="P286" t="s">
        <v>463</v>
      </c>
      <c r="Q286">
        <v>1</v>
      </c>
      <c r="X286">
        <v>5.6</v>
      </c>
      <c r="Y286">
        <v>0</v>
      </c>
      <c r="Z286">
        <v>0.47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292</v>
      </c>
      <c r="AG286">
        <v>8.4</v>
      </c>
      <c r="AH286">
        <v>2</v>
      </c>
      <c r="AI286">
        <v>57249348</v>
      </c>
      <c r="AJ286">
        <v>222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ROW(Source!A165)</f>
        <v>165</v>
      </c>
      <c r="B287">
        <v>57249356</v>
      </c>
      <c r="C287">
        <v>57249344</v>
      </c>
      <c r="D287">
        <v>54739203</v>
      </c>
      <c r="E287">
        <v>1</v>
      </c>
      <c r="F287">
        <v>1</v>
      </c>
      <c r="G287">
        <v>1081</v>
      </c>
      <c r="H287">
        <v>3</v>
      </c>
      <c r="I287" t="s">
        <v>526</v>
      </c>
      <c r="J287" t="s">
        <v>527</v>
      </c>
      <c r="K287" t="s">
        <v>528</v>
      </c>
      <c r="L287">
        <v>1346</v>
      </c>
      <c r="N287">
        <v>1009</v>
      </c>
      <c r="O287" t="s">
        <v>320</v>
      </c>
      <c r="P287" t="s">
        <v>320</v>
      </c>
      <c r="Q287">
        <v>1</v>
      </c>
      <c r="X287">
        <v>2.72</v>
      </c>
      <c r="Y287">
        <v>20.62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291</v>
      </c>
      <c r="AG287">
        <v>2.72</v>
      </c>
      <c r="AH287">
        <v>2</v>
      </c>
      <c r="AI287">
        <v>57249349</v>
      </c>
      <c r="AJ287">
        <v>223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ROW(Source!A165)</f>
        <v>165</v>
      </c>
      <c r="B288">
        <v>57249357</v>
      </c>
      <c r="C288">
        <v>57249344</v>
      </c>
      <c r="D288">
        <v>54747383</v>
      </c>
      <c r="E288">
        <v>1</v>
      </c>
      <c r="F288">
        <v>1</v>
      </c>
      <c r="G288">
        <v>1081</v>
      </c>
      <c r="H288">
        <v>3</v>
      </c>
      <c r="I288" t="s">
        <v>491</v>
      </c>
      <c r="J288" t="s">
        <v>492</v>
      </c>
      <c r="K288" t="s">
        <v>493</v>
      </c>
      <c r="L288">
        <v>1354</v>
      </c>
      <c r="N288">
        <v>1010</v>
      </c>
      <c r="O288" t="s">
        <v>228</v>
      </c>
      <c r="P288" t="s">
        <v>228</v>
      </c>
      <c r="Q288">
        <v>1</v>
      </c>
      <c r="X288">
        <v>5</v>
      </c>
      <c r="Y288">
        <v>15.25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 t="s">
        <v>291</v>
      </c>
      <c r="AG288">
        <v>5</v>
      </c>
      <c r="AH288">
        <v>2</v>
      </c>
      <c r="AI288">
        <v>57249350</v>
      </c>
      <c r="AJ288">
        <v>224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ROW(Source!A165)</f>
        <v>165</v>
      </c>
      <c r="B289">
        <v>57249358</v>
      </c>
      <c r="C289">
        <v>57249344</v>
      </c>
      <c r="D289">
        <v>54722801</v>
      </c>
      <c r="E289">
        <v>1081</v>
      </c>
      <c r="F289">
        <v>1</v>
      </c>
      <c r="G289">
        <v>1081</v>
      </c>
      <c r="H289">
        <v>3</v>
      </c>
      <c r="I289" t="s">
        <v>650</v>
      </c>
      <c r="J289" t="s">
        <v>3</v>
      </c>
      <c r="K289" t="s">
        <v>651</v>
      </c>
      <c r="L289">
        <v>1354</v>
      </c>
      <c r="N289">
        <v>1010</v>
      </c>
      <c r="O289" t="s">
        <v>228</v>
      </c>
      <c r="P289" t="s">
        <v>228</v>
      </c>
      <c r="Q289">
        <v>1</v>
      </c>
      <c r="X289">
        <v>100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291</v>
      </c>
      <c r="AG289">
        <v>100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ROW(Source!A166)</f>
        <v>166</v>
      </c>
      <c r="B290">
        <v>57249352</v>
      </c>
      <c r="C290">
        <v>57249344</v>
      </c>
      <c r="D290">
        <v>54702434</v>
      </c>
      <c r="E290">
        <v>1081</v>
      </c>
      <c r="F290">
        <v>1</v>
      </c>
      <c r="G290">
        <v>1081</v>
      </c>
      <c r="H290">
        <v>1</v>
      </c>
      <c r="I290" t="s">
        <v>457</v>
      </c>
      <c r="J290" t="s">
        <v>3</v>
      </c>
      <c r="K290" t="s">
        <v>458</v>
      </c>
      <c r="L290">
        <v>1191</v>
      </c>
      <c r="N290">
        <v>1013</v>
      </c>
      <c r="O290" t="s">
        <v>459</v>
      </c>
      <c r="P290" t="s">
        <v>459</v>
      </c>
      <c r="Q290">
        <v>1</v>
      </c>
      <c r="X290">
        <v>11.57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293</v>
      </c>
      <c r="AG290">
        <v>15.966599999999998</v>
      </c>
      <c r="AH290">
        <v>2</v>
      </c>
      <c r="AI290">
        <v>57249345</v>
      </c>
      <c r="AJ290">
        <v>226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ROW(Source!A166)</f>
        <v>166</v>
      </c>
      <c r="B291">
        <v>57249353</v>
      </c>
      <c r="C291">
        <v>57249344</v>
      </c>
      <c r="D291">
        <v>54768339</v>
      </c>
      <c r="E291">
        <v>1</v>
      </c>
      <c r="F291">
        <v>1</v>
      </c>
      <c r="G291">
        <v>1081</v>
      </c>
      <c r="H291">
        <v>2</v>
      </c>
      <c r="I291" t="s">
        <v>497</v>
      </c>
      <c r="J291" t="s">
        <v>498</v>
      </c>
      <c r="K291" t="s">
        <v>499</v>
      </c>
      <c r="L291">
        <v>1368</v>
      </c>
      <c r="N291">
        <v>1011</v>
      </c>
      <c r="O291" t="s">
        <v>463</v>
      </c>
      <c r="P291" t="s">
        <v>463</v>
      </c>
      <c r="Q291">
        <v>1</v>
      </c>
      <c r="X291">
        <v>0.18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292</v>
      </c>
      <c r="AG291">
        <v>0.26999999999999996</v>
      </c>
      <c r="AH291">
        <v>2</v>
      </c>
      <c r="AI291">
        <v>57249346</v>
      </c>
      <c r="AJ291">
        <v>227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ROW(Source!A166)</f>
        <v>166</v>
      </c>
      <c r="B292">
        <v>57249354</v>
      </c>
      <c r="C292">
        <v>57249344</v>
      </c>
      <c r="D292">
        <v>54768460</v>
      </c>
      <c r="E292">
        <v>1</v>
      </c>
      <c r="F292">
        <v>1</v>
      </c>
      <c r="G292">
        <v>1081</v>
      </c>
      <c r="H292">
        <v>2</v>
      </c>
      <c r="I292" t="s">
        <v>460</v>
      </c>
      <c r="J292" t="s">
        <v>461</v>
      </c>
      <c r="K292" t="s">
        <v>462</v>
      </c>
      <c r="L292">
        <v>1368</v>
      </c>
      <c r="N292">
        <v>1011</v>
      </c>
      <c r="O292" t="s">
        <v>463</v>
      </c>
      <c r="P292" t="s">
        <v>463</v>
      </c>
      <c r="Q292">
        <v>1</v>
      </c>
      <c r="X292">
        <v>1.38</v>
      </c>
      <c r="Y292">
        <v>0</v>
      </c>
      <c r="Z292">
        <v>0.8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292</v>
      </c>
      <c r="AG292">
        <v>2.0699999999999998</v>
      </c>
      <c r="AH292">
        <v>2</v>
      </c>
      <c r="AI292">
        <v>57249347</v>
      </c>
      <c r="AJ292">
        <v>228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ROW(Source!A166)</f>
        <v>166</v>
      </c>
      <c r="B293">
        <v>57249355</v>
      </c>
      <c r="C293">
        <v>57249344</v>
      </c>
      <c r="D293">
        <v>54768426</v>
      </c>
      <c r="E293">
        <v>1</v>
      </c>
      <c r="F293">
        <v>1</v>
      </c>
      <c r="G293">
        <v>1081</v>
      </c>
      <c r="H293">
        <v>2</v>
      </c>
      <c r="I293" t="s">
        <v>485</v>
      </c>
      <c r="J293" t="s">
        <v>486</v>
      </c>
      <c r="K293" t="s">
        <v>487</v>
      </c>
      <c r="L293">
        <v>1368</v>
      </c>
      <c r="N293">
        <v>1011</v>
      </c>
      <c r="O293" t="s">
        <v>463</v>
      </c>
      <c r="P293" t="s">
        <v>463</v>
      </c>
      <c r="Q293">
        <v>1</v>
      </c>
      <c r="X293">
        <v>5.6</v>
      </c>
      <c r="Y293">
        <v>0</v>
      </c>
      <c r="Z293">
        <v>0.47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292</v>
      </c>
      <c r="AG293">
        <v>8.4</v>
      </c>
      <c r="AH293">
        <v>2</v>
      </c>
      <c r="AI293">
        <v>57249348</v>
      </c>
      <c r="AJ293">
        <v>229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ROW(Source!A166)</f>
        <v>166</v>
      </c>
      <c r="B294">
        <v>57249356</v>
      </c>
      <c r="C294">
        <v>57249344</v>
      </c>
      <c r="D294">
        <v>54739203</v>
      </c>
      <c r="E294">
        <v>1</v>
      </c>
      <c r="F294">
        <v>1</v>
      </c>
      <c r="G294">
        <v>1081</v>
      </c>
      <c r="H294">
        <v>3</v>
      </c>
      <c r="I294" t="s">
        <v>526</v>
      </c>
      <c r="J294" t="s">
        <v>527</v>
      </c>
      <c r="K294" t="s">
        <v>528</v>
      </c>
      <c r="L294">
        <v>1346</v>
      </c>
      <c r="N294">
        <v>1009</v>
      </c>
      <c r="O294" t="s">
        <v>320</v>
      </c>
      <c r="P294" t="s">
        <v>320</v>
      </c>
      <c r="Q294">
        <v>1</v>
      </c>
      <c r="X294">
        <v>2.72</v>
      </c>
      <c r="Y294">
        <v>20.62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291</v>
      </c>
      <c r="AG294">
        <v>2.72</v>
      </c>
      <c r="AH294">
        <v>2</v>
      </c>
      <c r="AI294">
        <v>57249349</v>
      </c>
      <c r="AJ294">
        <v>230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ROW(Source!A166)</f>
        <v>166</v>
      </c>
      <c r="B295">
        <v>57249357</v>
      </c>
      <c r="C295">
        <v>57249344</v>
      </c>
      <c r="D295">
        <v>54747383</v>
      </c>
      <c r="E295">
        <v>1</v>
      </c>
      <c r="F295">
        <v>1</v>
      </c>
      <c r="G295">
        <v>1081</v>
      </c>
      <c r="H295">
        <v>3</v>
      </c>
      <c r="I295" t="s">
        <v>491</v>
      </c>
      <c r="J295" t="s">
        <v>492</v>
      </c>
      <c r="K295" t="s">
        <v>493</v>
      </c>
      <c r="L295">
        <v>1354</v>
      </c>
      <c r="N295">
        <v>1010</v>
      </c>
      <c r="O295" t="s">
        <v>228</v>
      </c>
      <c r="P295" t="s">
        <v>228</v>
      </c>
      <c r="Q295">
        <v>1</v>
      </c>
      <c r="X295">
        <v>5</v>
      </c>
      <c r="Y295">
        <v>15.25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291</v>
      </c>
      <c r="AG295">
        <v>5</v>
      </c>
      <c r="AH295">
        <v>2</v>
      </c>
      <c r="AI295">
        <v>57249350</v>
      </c>
      <c r="AJ295">
        <v>231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ROW(Source!A166)</f>
        <v>166</v>
      </c>
      <c r="B296">
        <v>57249358</v>
      </c>
      <c r="C296">
        <v>57249344</v>
      </c>
      <c r="D296">
        <v>54722801</v>
      </c>
      <c r="E296">
        <v>1081</v>
      </c>
      <c r="F296">
        <v>1</v>
      </c>
      <c r="G296">
        <v>1081</v>
      </c>
      <c r="H296">
        <v>3</v>
      </c>
      <c r="I296" t="s">
        <v>650</v>
      </c>
      <c r="J296" t="s">
        <v>3</v>
      </c>
      <c r="K296" t="s">
        <v>651</v>
      </c>
      <c r="L296">
        <v>1354</v>
      </c>
      <c r="N296">
        <v>1010</v>
      </c>
      <c r="O296" t="s">
        <v>228</v>
      </c>
      <c r="P296" t="s">
        <v>228</v>
      </c>
      <c r="Q296">
        <v>1</v>
      </c>
      <c r="X296">
        <v>100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291</v>
      </c>
      <c r="AG296">
        <v>100</v>
      </c>
      <c r="AH296">
        <v>3</v>
      </c>
      <c r="AI296">
        <v>-1</v>
      </c>
      <c r="AJ296" t="s">
        <v>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ROW(Source!A171)</f>
        <v>171</v>
      </c>
      <c r="B297">
        <v>57249369</v>
      </c>
      <c r="C297">
        <v>57249361</v>
      </c>
      <c r="D297">
        <v>54702434</v>
      </c>
      <c r="E297">
        <v>1081</v>
      </c>
      <c r="F297">
        <v>1</v>
      </c>
      <c r="G297">
        <v>1081</v>
      </c>
      <c r="H297">
        <v>1</v>
      </c>
      <c r="I297" t="s">
        <v>457</v>
      </c>
      <c r="J297" t="s">
        <v>3</v>
      </c>
      <c r="K297" t="s">
        <v>458</v>
      </c>
      <c r="L297">
        <v>1191</v>
      </c>
      <c r="N297">
        <v>1013</v>
      </c>
      <c r="O297" t="s">
        <v>459</v>
      </c>
      <c r="P297" t="s">
        <v>459</v>
      </c>
      <c r="Q297">
        <v>1</v>
      </c>
      <c r="X297">
        <v>1.03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1</v>
      </c>
      <c r="AF297" t="s">
        <v>293</v>
      </c>
      <c r="AG297">
        <v>1.4213999999999998</v>
      </c>
      <c r="AH297">
        <v>2</v>
      </c>
      <c r="AI297">
        <v>57249362</v>
      </c>
      <c r="AJ297">
        <v>233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ROW(Source!A171)</f>
        <v>171</v>
      </c>
      <c r="B298">
        <v>57249370</v>
      </c>
      <c r="C298">
        <v>57249361</v>
      </c>
      <c r="D298">
        <v>54768339</v>
      </c>
      <c r="E298">
        <v>1</v>
      </c>
      <c r="F298">
        <v>1</v>
      </c>
      <c r="G298">
        <v>1081</v>
      </c>
      <c r="H298">
        <v>2</v>
      </c>
      <c r="I298" t="s">
        <v>497</v>
      </c>
      <c r="J298" t="s">
        <v>498</v>
      </c>
      <c r="K298" t="s">
        <v>499</v>
      </c>
      <c r="L298">
        <v>1368</v>
      </c>
      <c r="N298">
        <v>1011</v>
      </c>
      <c r="O298" t="s">
        <v>463</v>
      </c>
      <c r="P298" t="s">
        <v>463</v>
      </c>
      <c r="Q298">
        <v>1</v>
      </c>
      <c r="X298">
        <v>0.01</v>
      </c>
      <c r="Y298">
        <v>0</v>
      </c>
      <c r="Z298">
        <v>83.1</v>
      </c>
      <c r="AA298">
        <v>12.62</v>
      </c>
      <c r="AB298">
        <v>0</v>
      </c>
      <c r="AC298">
        <v>0</v>
      </c>
      <c r="AD298">
        <v>1</v>
      </c>
      <c r="AE298">
        <v>0</v>
      </c>
      <c r="AF298" t="s">
        <v>292</v>
      </c>
      <c r="AG298">
        <v>1.4999999999999999E-2</v>
      </c>
      <c r="AH298">
        <v>2</v>
      </c>
      <c r="AI298">
        <v>57249363</v>
      </c>
      <c r="AJ298">
        <v>234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ROW(Source!A171)</f>
        <v>171</v>
      </c>
      <c r="B299">
        <v>57249371</v>
      </c>
      <c r="C299">
        <v>57249361</v>
      </c>
      <c r="D299">
        <v>54767653</v>
      </c>
      <c r="E299">
        <v>1</v>
      </c>
      <c r="F299">
        <v>1</v>
      </c>
      <c r="G299">
        <v>1081</v>
      </c>
      <c r="H299">
        <v>2</v>
      </c>
      <c r="I299" t="s">
        <v>529</v>
      </c>
      <c r="J299" t="s">
        <v>530</v>
      </c>
      <c r="K299" t="s">
        <v>531</v>
      </c>
      <c r="L299">
        <v>1368</v>
      </c>
      <c r="N299">
        <v>1011</v>
      </c>
      <c r="O299" t="s">
        <v>463</v>
      </c>
      <c r="P299" t="s">
        <v>463</v>
      </c>
      <c r="Q299">
        <v>1</v>
      </c>
      <c r="X299">
        <v>0.26</v>
      </c>
      <c r="Y299">
        <v>0</v>
      </c>
      <c r="Z299">
        <v>0.32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292</v>
      </c>
      <c r="AG299">
        <v>0.39</v>
      </c>
      <c r="AH299">
        <v>2</v>
      </c>
      <c r="AI299">
        <v>57249364</v>
      </c>
      <c r="AJ299">
        <v>235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ROW(Source!A171)</f>
        <v>171</v>
      </c>
      <c r="B300">
        <v>57249372</v>
      </c>
      <c r="C300">
        <v>57249361</v>
      </c>
      <c r="D300">
        <v>54739177</v>
      </c>
      <c r="E300">
        <v>1</v>
      </c>
      <c r="F300">
        <v>1</v>
      </c>
      <c r="G300">
        <v>1081</v>
      </c>
      <c r="H300">
        <v>3</v>
      </c>
      <c r="I300" t="s">
        <v>532</v>
      </c>
      <c r="J300" t="s">
        <v>533</v>
      </c>
      <c r="K300" t="s">
        <v>534</v>
      </c>
      <c r="L300">
        <v>1346</v>
      </c>
      <c r="N300">
        <v>1009</v>
      </c>
      <c r="O300" t="s">
        <v>320</v>
      </c>
      <c r="P300" t="s">
        <v>320</v>
      </c>
      <c r="Q300">
        <v>1</v>
      </c>
      <c r="X300">
        <v>0.25</v>
      </c>
      <c r="Y300">
        <v>15.02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291</v>
      </c>
      <c r="AG300">
        <v>0.25</v>
      </c>
      <c r="AH300">
        <v>2</v>
      </c>
      <c r="AI300">
        <v>57249365</v>
      </c>
      <c r="AJ300">
        <v>236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ROW(Source!A171)</f>
        <v>171</v>
      </c>
      <c r="B301">
        <v>57249373</v>
      </c>
      <c r="C301">
        <v>57249361</v>
      </c>
      <c r="D301">
        <v>54695112</v>
      </c>
      <c r="E301">
        <v>1081</v>
      </c>
      <c r="F301">
        <v>1</v>
      </c>
      <c r="G301">
        <v>1081</v>
      </c>
      <c r="H301">
        <v>3</v>
      </c>
      <c r="I301" t="s">
        <v>652</v>
      </c>
      <c r="J301" t="s">
        <v>3</v>
      </c>
      <c r="K301" t="s">
        <v>653</v>
      </c>
      <c r="L301">
        <v>1348</v>
      </c>
      <c r="N301">
        <v>1009</v>
      </c>
      <c r="O301" t="s">
        <v>298</v>
      </c>
      <c r="P301" t="s">
        <v>298</v>
      </c>
      <c r="Q301">
        <v>1000</v>
      </c>
      <c r="X301">
        <v>2.0000000000000001E-4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 t="s">
        <v>291</v>
      </c>
      <c r="AG301">
        <v>2.0000000000000001E-4</v>
      </c>
      <c r="AH301">
        <v>3</v>
      </c>
      <c r="AI301">
        <v>-1</v>
      </c>
      <c r="AJ301" t="s">
        <v>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ROW(Source!A171)</f>
        <v>171</v>
      </c>
      <c r="B302">
        <v>57249374</v>
      </c>
      <c r="C302">
        <v>57249361</v>
      </c>
      <c r="D302">
        <v>54720166</v>
      </c>
      <c r="E302">
        <v>1081</v>
      </c>
      <c r="F302">
        <v>1</v>
      </c>
      <c r="G302">
        <v>1081</v>
      </c>
      <c r="H302">
        <v>3</v>
      </c>
      <c r="I302" t="s">
        <v>654</v>
      </c>
      <c r="J302" t="s">
        <v>3</v>
      </c>
      <c r="K302" t="s">
        <v>655</v>
      </c>
      <c r="L302">
        <v>1354</v>
      </c>
      <c r="N302">
        <v>1010</v>
      </c>
      <c r="O302" t="s">
        <v>228</v>
      </c>
      <c r="P302" t="s">
        <v>228</v>
      </c>
      <c r="Q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291</v>
      </c>
      <c r="AG302">
        <v>1</v>
      </c>
      <c r="AH302">
        <v>3</v>
      </c>
      <c r="AI302">
        <v>-1</v>
      </c>
      <c r="AJ302" t="s">
        <v>3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ROW(Source!A172)</f>
        <v>172</v>
      </c>
      <c r="B303">
        <v>57249369</v>
      </c>
      <c r="C303">
        <v>57249361</v>
      </c>
      <c r="D303">
        <v>54702434</v>
      </c>
      <c r="E303">
        <v>1081</v>
      </c>
      <c r="F303">
        <v>1</v>
      </c>
      <c r="G303">
        <v>1081</v>
      </c>
      <c r="H303">
        <v>1</v>
      </c>
      <c r="I303" t="s">
        <v>457</v>
      </c>
      <c r="J303" t="s">
        <v>3</v>
      </c>
      <c r="K303" t="s">
        <v>458</v>
      </c>
      <c r="L303">
        <v>1191</v>
      </c>
      <c r="N303">
        <v>1013</v>
      </c>
      <c r="O303" t="s">
        <v>459</v>
      </c>
      <c r="P303" t="s">
        <v>459</v>
      </c>
      <c r="Q303">
        <v>1</v>
      </c>
      <c r="X303">
        <v>1.03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1</v>
      </c>
      <c r="AF303" t="s">
        <v>293</v>
      </c>
      <c r="AG303">
        <v>1.4213999999999998</v>
      </c>
      <c r="AH303">
        <v>2</v>
      </c>
      <c r="AI303">
        <v>57249362</v>
      </c>
      <c r="AJ303">
        <v>239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ROW(Source!A172)</f>
        <v>172</v>
      </c>
      <c r="B304">
        <v>57249370</v>
      </c>
      <c r="C304">
        <v>57249361</v>
      </c>
      <c r="D304">
        <v>54768339</v>
      </c>
      <c r="E304">
        <v>1</v>
      </c>
      <c r="F304">
        <v>1</v>
      </c>
      <c r="G304">
        <v>1081</v>
      </c>
      <c r="H304">
        <v>2</v>
      </c>
      <c r="I304" t="s">
        <v>497</v>
      </c>
      <c r="J304" t="s">
        <v>498</v>
      </c>
      <c r="K304" t="s">
        <v>499</v>
      </c>
      <c r="L304">
        <v>1368</v>
      </c>
      <c r="N304">
        <v>1011</v>
      </c>
      <c r="O304" t="s">
        <v>463</v>
      </c>
      <c r="P304" t="s">
        <v>463</v>
      </c>
      <c r="Q304">
        <v>1</v>
      </c>
      <c r="X304">
        <v>0.01</v>
      </c>
      <c r="Y304">
        <v>0</v>
      </c>
      <c r="Z304">
        <v>83.1</v>
      </c>
      <c r="AA304">
        <v>12.62</v>
      </c>
      <c r="AB304">
        <v>0</v>
      </c>
      <c r="AC304">
        <v>0</v>
      </c>
      <c r="AD304">
        <v>1</v>
      </c>
      <c r="AE304">
        <v>0</v>
      </c>
      <c r="AF304" t="s">
        <v>292</v>
      </c>
      <c r="AG304">
        <v>1.4999999999999999E-2</v>
      </c>
      <c r="AH304">
        <v>2</v>
      </c>
      <c r="AI304">
        <v>57249363</v>
      </c>
      <c r="AJ304">
        <v>240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ROW(Source!A172)</f>
        <v>172</v>
      </c>
      <c r="B305">
        <v>57249371</v>
      </c>
      <c r="C305">
        <v>57249361</v>
      </c>
      <c r="D305">
        <v>54767653</v>
      </c>
      <c r="E305">
        <v>1</v>
      </c>
      <c r="F305">
        <v>1</v>
      </c>
      <c r="G305">
        <v>1081</v>
      </c>
      <c r="H305">
        <v>2</v>
      </c>
      <c r="I305" t="s">
        <v>529</v>
      </c>
      <c r="J305" t="s">
        <v>530</v>
      </c>
      <c r="K305" t="s">
        <v>531</v>
      </c>
      <c r="L305">
        <v>1368</v>
      </c>
      <c r="N305">
        <v>1011</v>
      </c>
      <c r="O305" t="s">
        <v>463</v>
      </c>
      <c r="P305" t="s">
        <v>463</v>
      </c>
      <c r="Q305">
        <v>1</v>
      </c>
      <c r="X305">
        <v>0.26</v>
      </c>
      <c r="Y305">
        <v>0</v>
      </c>
      <c r="Z305">
        <v>0.32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292</v>
      </c>
      <c r="AG305">
        <v>0.39</v>
      </c>
      <c r="AH305">
        <v>2</v>
      </c>
      <c r="AI305">
        <v>57249364</v>
      </c>
      <c r="AJ305">
        <v>241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ROW(Source!A172)</f>
        <v>172</v>
      </c>
      <c r="B306">
        <v>57249372</v>
      </c>
      <c r="C306">
        <v>57249361</v>
      </c>
      <c r="D306">
        <v>54739177</v>
      </c>
      <c r="E306">
        <v>1</v>
      </c>
      <c r="F306">
        <v>1</v>
      </c>
      <c r="G306">
        <v>1081</v>
      </c>
      <c r="H306">
        <v>3</v>
      </c>
      <c r="I306" t="s">
        <v>532</v>
      </c>
      <c r="J306" t="s">
        <v>533</v>
      </c>
      <c r="K306" t="s">
        <v>534</v>
      </c>
      <c r="L306">
        <v>1346</v>
      </c>
      <c r="N306">
        <v>1009</v>
      </c>
      <c r="O306" t="s">
        <v>320</v>
      </c>
      <c r="P306" t="s">
        <v>320</v>
      </c>
      <c r="Q306">
        <v>1</v>
      </c>
      <c r="X306">
        <v>0.25</v>
      </c>
      <c r="Y306">
        <v>15.02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291</v>
      </c>
      <c r="AG306">
        <v>0.25</v>
      </c>
      <c r="AH306">
        <v>2</v>
      </c>
      <c r="AI306">
        <v>57249365</v>
      </c>
      <c r="AJ306">
        <v>242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ROW(Source!A172)</f>
        <v>172</v>
      </c>
      <c r="B307">
        <v>57249373</v>
      </c>
      <c r="C307">
        <v>57249361</v>
      </c>
      <c r="D307">
        <v>54695112</v>
      </c>
      <c r="E307">
        <v>1081</v>
      </c>
      <c r="F307">
        <v>1</v>
      </c>
      <c r="G307">
        <v>1081</v>
      </c>
      <c r="H307">
        <v>3</v>
      </c>
      <c r="I307" t="s">
        <v>652</v>
      </c>
      <c r="J307" t="s">
        <v>3</v>
      </c>
      <c r="K307" t="s">
        <v>653</v>
      </c>
      <c r="L307">
        <v>1348</v>
      </c>
      <c r="N307">
        <v>1009</v>
      </c>
      <c r="O307" t="s">
        <v>298</v>
      </c>
      <c r="P307" t="s">
        <v>298</v>
      </c>
      <c r="Q307">
        <v>1000</v>
      </c>
      <c r="X307">
        <v>2.0000000000000001E-4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291</v>
      </c>
      <c r="AG307">
        <v>2.0000000000000001E-4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ROW(Source!A172)</f>
        <v>172</v>
      </c>
      <c r="B308">
        <v>57249374</v>
      </c>
      <c r="C308">
        <v>57249361</v>
      </c>
      <c r="D308">
        <v>54720166</v>
      </c>
      <c r="E308">
        <v>1081</v>
      </c>
      <c r="F308">
        <v>1</v>
      </c>
      <c r="G308">
        <v>1081</v>
      </c>
      <c r="H308">
        <v>3</v>
      </c>
      <c r="I308" t="s">
        <v>654</v>
      </c>
      <c r="J308" t="s">
        <v>3</v>
      </c>
      <c r="K308" t="s">
        <v>655</v>
      </c>
      <c r="L308">
        <v>1354</v>
      </c>
      <c r="N308">
        <v>1010</v>
      </c>
      <c r="O308" t="s">
        <v>228</v>
      </c>
      <c r="P308" t="s">
        <v>228</v>
      </c>
      <c r="Q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291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ROW(Source!A177)</f>
        <v>177</v>
      </c>
      <c r="B309">
        <v>57249389</v>
      </c>
      <c r="C309">
        <v>57249381</v>
      </c>
      <c r="D309">
        <v>54702434</v>
      </c>
      <c r="E309">
        <v>1081</v>
      </c>
      <c r="F309">
        <v>1</v>
      </c>
      <c r="G309">
        <v>1081</v>
      </c>
      <c r="H309">
        <v>1</v>
      </c>
      <c r="I309" t="s">
        <v>457</v>
      </c>
      <c r="J309" t="s">
        <v>3</v>
      </c>
      <c r="K309" t="s">
        <v>458</v>
      </c>
      <c r="L309">
        <v>1191</v>
      </c>
      <c r="N309">
        <v>1013</v>
      </c>
      <c r="O309" t="s">
        <v>459</v>
      </c>
      <c r="P309" t="s">
        <v>459</v>
      </c>
      <c r="Q309">
        <v>1</v>
      </c>
      <c r="X309">
        <v>24.8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293</v>
      </c>
      <c r="AG309">
        <v>34.223999999999997</v>
      </c>
      <c r="AH309">
        <v>2</v>
      </c>
      <c r="AI309">
        <v>57249382</v>
      </c>
      <c r="AJ309">
        <v>245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ROW(Source!A177)</f>
        <v>177</v>
      </c>
      <c r="B310">
        <v>57249390</v>
      </c>
      <c r="C310">
        <v>57249381</v>
      </c>
      <c r="D310">
        <v>54768339</v>
      </c>
      <c r="E310">
        <v>1</v>
      </c>
      <c r="F310">
        <v>1</v>
      </c>
      <c r="G310">
        <v>1081</v>
      </c>
      <c r="H310">
        <v>2</v>
      </c>
      <c r="I310" t="s">
        <v>497</v>
      </c>
      <c r="J310" t="s">
        <v>498</v>
      </c>
      <c r="K310" t="s">
        <v>499</v>
      </c>
      <c r="L310">
        <v>1368</v>
      </c>
      <c r="N310">
        <v>1011</v>
      </c>
      <c r="O310" t="s">
        <v>463</v>
      </c>
      <c r="P310" t="s">
        <v>463</v>
      </c>
      <c r="Q310">
        <v>1</v>
      </c>
      <c r="X310">
        <v>0.02</v>
      </c>
      <c r="Y310">
        <v>0</v>
      </c>
      <c r="Z310">
        <v>83.1</v>
      </c>
      <c r="AA310">
        <v>12.62</v>
      </c>
      <c r="AB310">
        <v>0</v>
      </c>
      <c r="AC310">
        <v>0</v>
      </c>
      <c r="AD310">
        <v>1</v>
      </c>
      <c r="AE310">
        <v>0</v>
      </c>
      <c r="AF310" t="s">
        <v>292</v>
      </c>
      <c r="AG310">
        <v>0.03</v>
      </c>
      <c r="AH310">
        <v>2</v>
      </c>
      <c r="AI310">
        <v>57249383</v>
      </c>
      <c r="AJ310">
        <v>246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ROW(Source!A177)</f>
        <v>177</v>
      </c>
      <c r="B311">
        <v>57249391</v>
      </c>
      <c r="C311">
        <v>57249381</v>
      </c>
      <c r="D311">
        <v>54768393</v>
      </c>
      <c r="E311">
        <v>1</v>
      </c>
      <c r="F311">
        <v>1</v>
      </c>
      <c r="G311">
        <v>1081</v>
      </c>
      <c r="H311">
        <v>2</v>
      </c>
      <c r="I311" t="s">
        <v>510</v>
      </c>
      <c r="J311" t="s">
        <v>511</v>
      </c>
      <c r="K311" t="s">
        <v>512</v>
      </c>
      <c r="L311">
        <v>1368</v>
      </c>
      <c r="N311">
        <v>1011</v>
      </c>
      <c r="O311" t="s">
        <v>463</v>
      </c>
      <c r="P311" t="s">
        <v>463</v>
      </c>
      <c r="Q311">
        <v>1</v>
      </c>
      <c r="X311">
        <v>8</v>
      </c>
      <c r="Y311">
        <v>0</v>
      </c>
      <c r="Z311">
        <v>0.77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292</v>
      </c>
      <c r="AG311">
        <v>12</v>
      </c>
      <c r="AH311">
        <v>2</v>
      </c>
      <c r="AI311">
        <v>57249384</v>
      </c>
      <c r="AJ311">
        <v>247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ROW(Source!A177)</f>
        <v>177</v>
      </c>
      <c r="B312">
        <v>57249392</v>
      </c>
      <c r="C312">
        <v>57249381</v>
      </c>
      <c r="D312">
        <v>54738788</v>
      </c>
      <c r="E312">
        <v>1</v>
      </c>
      <c r="F312">
        <v>1</v>
      </c>
      <c r="G312">
        <v>1081</v>
      </c>
      <c r="H312">
        <v>3</v>
      </c>
      <c r="I312" t="s">
        <v>535</v>
      </c>
      <c r="J312" t="s">
        <v>536</v>
      </c>
      <c r="K312" t="s">
        <v>537</v>
      </c>
      <c r="L312">
        <v>1296</v>
      </c>
      <c r="N312">
        <v>1002</v>
      </c>
      <c r="O312" t="s">
        <v>522</v>
      </c>
      <c r="P312" t="s">
        <v>522</v>
      </c>
      <c r="Q312">
        <v>1</v>
      </c>
      <c r="X312">
        <v>2.1267</v>
      </c>
      <c r="Y312">
        <v>84.21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291</v>
      </c>
      <c r="AG312">
        <v>2.1267</v>
      </c>
      <c r="AH312">
        <v>2</v>
      </c>
      <c r="AI312">
        <v>57249385</v>
      </c>
      <c r="AJ312">
        <v>248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ROW(Source!A177)</f>
        <v>177</v>
      </c>
      <c r="B313">
        <v>57249393</v>
      </c>
      <c r="C313">
        <v>57249381</v>
      </c>
      <c r="D313">
        <v>54739952</v>
      </c>
      <c r="E313">
        <v>1</v>
      </c>
      <c r="F313">
        <v>1</v>
      </c>
      <c r="G313">
        <v>1081</v>
      </c>
      <c r="H313">
        <v>3</v>
      </c>
      <c r="I313" t="s">
        <v>538</v>
      </c>
      <c r="J313" t="s">
        <v>539</v>
      </c>
      <c r="K313" t="s">
        <v>540</v>
      </c>
      <c r="L313">
        <v>1355</v>
      </c>
      <c r="N313">
        <v>1010</v>
      </c>
      <c r="O313" t="s">
        <v>67</v>
      </c>
      <c r="P313" t="s">
        <v>67</v>
      </c>
      <c r="Q313">
        <v>100</v>
      </c>
      <c r="X313">
        <v>4.04</v>
      </c>
      <c r="Y313">
        <v>43.8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291</v>
      </c>
      <c r="AG313">
        <v>4.04</v>
      </c>
      <c r="AH313">
        <v>2</v>
      </c>
      <c r="AI313">
        <v>57249386</v>
      </c>
      <c r="AJ313">
        <v>249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ROW(Source!A177)</f>
        <v>177</v>
      </c>
      <c r="B314">
        <v>57249394</v>
      </c>
      <c r="C314">
        <v>57249381</v>
      </c>
      <c r="D314">
        <v>54718757</v>
      </c>
      <c r="E314">
        <v>1081</v>
      </c>
      <c r="F314">
        <v>1</v>
      </c>
      <c r="G314">
        <v>1081</v>
      </c>
      <c r="H314">
        <v>3</v>
      </c>
      <c r="I314" t="s">
        <v>656</v>
      </c>
      <c r="J314" t="s">
        <v>3</v>
      </c>
      <c r="K314" t="s">
        <v>657</v>
      </c>
      <c r="L314">
        <v>1354</v>
      </c>
      <c r="N314">
        <v>1010</v>
      </c>
      <c r="O314" t="s">
        <v>228</v>
      </c>
      <c r="P314" t="s">
        <v>228</v>
      </c>
      <c r="Q314">
        <v>1</v>
      </c>
      <c r="X314">
        <v>1.7633000000000001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 t="s">
        <v>291</v>
      </c>
      <c r="AG314">
        <v>1.7633000000000001</v>
      </c>
      <c r="AH314">
        <v>3</v>
      </c>
      <c r="AI314">
        <v>-1</v>
      </c>
      <c r="AJ314" t="s">
        <v>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ROW(Source!A177)</f>
        <v>177</v>
      </c>
      <c r="B315">
        <v>57249395</v>
      </c>
      <c r="C315">
        <v>57249381</v>
      </c>
      <c r="D315">
        <v>54727376</v>
      </c>
      <c r="E315">
        <v>1081</v>
      </c>
      <c r="F315">
        <v>1</v>
      </c>
      <c r="G315">
        <v>1081</v>
      </c>
      <c r="H315">
        <v>3</v>
      </c>
      <c r="I315" t="s">
        <v>658</v>
      </c>
      <c r="J315" t="s">
        <v>3</v>
      </c>
      <c r="K315" t="s">
        <v>659</v>
      </c>
      <c r="L315">
        <v>1354</v>
      </c>
      <c r="N315">
        <v>1010</v>
      </c>
      <c r="O315" t="s">
        <v>228</v>
      </c>
      <c r="P315" t="s">
        <v>228</v>
      </c>
      <c r="Q315">
        <v>1</v>
      </c>
      <c r="X315">
        <v>100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291</v>
      </c>
      <c r="AG315">
        <v>100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ROW(Source!A178)</f>
        <v>178</v>
      </c>
      <c r="B316">
        <v>57249389</v>
      </c>
      <c r="C316">
        <v>57249381</v>
      </c>
      <c r="D316">
        <v>54702434</v>
      </c>
      <c r="E316">
        <v>1081</v>
      </c>
      <c r="F316">
        <v>1</v>
      </c>
      <c r="G316">
        <v>1081</v>
      </c>
      <c r="H316">
        <v>1</v>
      </c>
      <c r="I316" t="s">
        <v>457</v>
      </c>
      <c r="J316" t="s">
        <v>3</v>
      </c>
      <c r="K316" t="s">
        <v>458</v>
      </c>
      <c r="L316">
        <v>1191</v>
      </c>
      <c r="N316">
        <v>1013</v>
      </c>
      <c r="O316" t="s">
        <v>459</v>
      </c>
      <c r="P316" t="s">
        <v>459</v>
      </c>
      <c r="Q316">
        <v>1</v>
      </c>
      <c r="X316">
        <v>24.8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1</v>
      </c>
      <c r="AF316" t="s">
        <v>293</v>
      </c>
      <c r="AG316">
        <v>34.223999999999997</v>
      </c>
      <c r="AH316">
        <v>2</v>
      </c>
      <c r="AI316">
        <v>57249382</v>
      </c>
      <c r="AJ316">
        <v>251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ROW(Source!A178)</f>
        <v>178</v>
      </c>
      <c r="B317">
        <v>57249390</v>
      </c>
      <c r="C317">
        <v>57249381</v>
      </c>
      <c r="D317">
        <v>54768339</v>
      </c>
      <c r="E317">
        <v>1</v>
      </c>
      <c r="F317">
        <v>1</v>
      </c>
      <c r="G317">
        <v>1081</v>
      </c>
      <c r="H317">
        <v>2</v>
      </c>
      <c r="I317" t="s">
        <v>497</v>
      </c>
      <c r="J317" t="s">
        <v>498</v>
      </c>
      <c r="K317" t="s">
        <v>499</v>
      </c>
      <c r="L317">
        <v>1368</v>
      </c>
      <c r="N317">
        <v>1011</v>
      </c>
      <c r="O317" t="s">
        <v>463</v>
      </c>
      <c r="P317" t="s">
        <v>463</v>
      </c>
      <c r="Q317">
        <v>1</v>
      </c>
      <c r="X317">
        <v>0.02</v>
      </c>
      <c r="Y317">
        <v>0</v>
      </c>
      <c r="Z317">
        <v>83.1</v>
      </c>
      <c r="AA317">
        <v>12.62</v>
      </c>
      <c r="AB317">
        <v>0</v>
      </c>
      <c r="AC317">
        <v>0</v>
      </c>
      <c r="AD317">
        <v>1</v>
      </c>
      <c r="AE317">
        <v>0</v>
      </c>
      <c r="AF317" t="s">
        <v>292</v>
      </c>
      <c r="AG317">
        <v>0.03</v>
      </c>
      <c r="AH317">
        <v>2</v>
      </c>
      <c r="AI317">
        <v>57249383</v>
      </c>
      <c r="AJ317">
        <v>252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ROW(Source!A178)</f>
        <v>178</v>
      </c>
      <c r="B318">
        <v>57249391</v>
      </c>
      <c r="C318">
        <v>57249381</v>
      </c>
      <c r="D318">
        <v>54768393</v>
      </c>
      <c r="E318">
        <v>1</v>
      </c>
      <c r="F318">
        <v>1</v>
      </c>
      <c r="G318">
        <v>1081</v>
      </c>
      <c r="H318">
        <v>2</v>
      </c>
      <c r="I318" t="s">
        <v>510</v>
      </c>
      <c r="J318" t="s">
        <v>511</v>
      </c>
      <c r="K318" t="s">
        <v>512</v>
      </c>
      <c r="L318">
        <v>1368</v>
      </c>
      <c r="N318">
        <v>1011</v>
      </c>
      <c r="O318" t="s">
        <v>463</v>
      </c>
      <c r="P318" t="s">
        <v>463</v>
      </c>
      <c r="Q318">
        <v>1</v>
      </c>
      <c r="X318">
        <v>8</v>
      </c>
      <c r="Y318">
        <v>0</v>
      </c>
      <c r="Z318">
        <v>0.77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292</v>
      </c>
      <c r="AG318">
        <v>12</v>
      </c>
      <c r="AH318">
        <v>2</v>
      </c>
      <c r="AI318">
        <v>57249384</v>
      </c>
      <c r="AJ318">
        <v>253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ROW(Source!A178)</f>
        <v>178</v>
      </c>
      <c r="B319">
        <v>57249392</v>
      </c>
      <c r="C319">
        <v>57249381</v>
      </c>
      <c r="D319">
        <v>54738788</v>
      </c>
      <c r="E319">
        <v>1</v>
      </c>
      <c r="F319">
        <v>1</v>
      </c>
      <c r="G319">
        <v>1081</v>
      </c>
      <c r="H319">
        <v>3</v>
      </c>
      <c r="I319" t="s">
        <v>535</v>
      </c>
      <c r="J319" t="s">
        <v>536</v>
      </c>
      <c r="K319" t="s">
        <v>537</v>
      </c>
      <c r="L319">
        <v>1296</v>
      </c>
      <c r="N319">
        <v>1002</v>
      </c>
      <c r="O319" t="s">
        <v>522</v>
      </c>
      <c r="P319" t="s">
        <v>522</v>
      </c>
      <c r="Q319">
        <v>1</v>
      </c>
      <c r="X319">
        <v>2.1267</v>
      </c>
      <c r="Y319">
        <v>84.21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 t="s">
        <v>291</v>
      </c>
      <c r="AG319">
        <v>2.1267</v>
      </c>
      <c r="AH319">
        <v>2</v>
      </c>
      <c r="AI319">
        <v>57249385</v>
      </c>
      <c r="AJ319">
        <v>254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ROW(Source!A178)</f>
        <v>178</v>
      </c>
      <c r="B320">
        <v>57249393</v>
      </c>
      <c r="C320">
        <v>57249381</v>
      </c>
      <c r="D320">
        <v>54739952</v>
      </c>
      <c r="E320">
        <v>1</v>
      </c>
      <c r="F320">
        <v>1</v>
      </c>
      <c r="G320">
        <v>1081</v>
      </c>
      <c r="H320">
        <v>3</v>
      </c>
      <c r="I320" t="s">
        <v>538</v>
      </c>
      <c r="J320" t="s">
        <v>539</v>
      </c>
      <c r="K320" t="s">
        <v>540</v>
      </c>
      <c r="L320">
        <v>1355</v>
      </c>
      <c r="N320">
        <v>1010</v>
      </c>
      <c r="O320" t="s">
        <v>67</v>
      </c>
      <c r="P320" t="s">
        <v>67</v>
      </c>
      <c r="Q320">
        <v>100</v>
      </c>
      <c r="X320">
        <v>4.04</v>
      </c>
      <c r="Y320">
        <v>43.8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291</v>
      </c>
      <c r="AG320">
        <v>4.04</v>
      </c>
      <c r="AH320">
        <v>2</v>
      </c>
      <c r="AI320">
        <v>57249386</v>
      </c>
      <c r="AJ320">
        <v>255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ROW(Source!A178)</f>
        <v>178</v>
      </c>
      <c r="B321">
        <v>57249394</v>
      </c>
      <c r="C321">
        <v>57249381</v>
      </c>
      <c r="D321">
        <v>54718757</v>
      </c>
      <c r="E321">
        <v>1081</v>
      </c>
      <c r="F321">
        <v>1</v>
      </c>
      <c r="G321">
        <v>1081</v>
      </c>
      <c r="H321">
        <v>3</v>
      </c>
      <c r="I321" t="s">
        <v>656</v>
      </c>
      <c r="J321" t="s">
        <v>3</v>
      </c>
      <c r="K321" t="s">
        <v>657</v>
      </c>
      <c r="L321">
        <v>1354</v>
      </c>
      <c r="N321">
        <v>1010</v>
      </c>
      <c r="O321" t="s">
        <v>228</v>
      </c>
      <c r="P321" t="s">
        <v>228</v>
      </c>
      <c r="Q321">
        <v>1</v>
      </c>
      <c r="X321">
        <v>1.7633000000000001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291</v>
      </c>
      <c r="AG321">
        <v>1.7633000000000001</v>
      </c>
      <c r="AH321">
        <v>3</v>
      </c>
      <c r="AI321">
        <v>-1</v>
      </c>
      <c r="AJ321" t="s">
        <v>3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ROW(Source!A178)</f>
        <v>178</v>
      </c>
      <c r="B322">
        <v>57249395</v>
      </c>
      <c r="C322">
        <v>57249381</v>
      </c>
      <c r="D322">
        <v>54727376</v>
      </c>
      <c r="E322">
        <v>1081</v>
      </c>
      <c r="F322">
        <v>1</v>
      </c>
      <c r="G322">
        <v>1081</v>
      </c>
      <c r="H322">
        <v>3</v>
      </c>
      <c r="I322" t="s">
        <v>658</v>
      </c>
      <c r="J322" t="s">
        <v>3</v>
      </c>
      <c r="K322" t="s">
        <v>659</v>
      </c>
      <c r="L322">
        <v>1354</v>
      </c>
      <c r="N322">
        <v>1010</v>
      </c>
      <c r="O322" t="s">
        <v>228</v>
      </c>
      <c r="P322" t="s">
        <v>228</v>
      </c>
      <c r="Q322">
        <v>1</v>
      </c>
      <c r="X322">
        <v>100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 t="s">
        <v>291</v>
      </c>
      <c r="AG322">
        <v>100</v>
      </c>
      <c r="AH322">
        <v>3</v>
      </c>
      <c r="AI322">
        <v>-1</v>
      </c>
      <c r="AJ322" t="s">
        <v>3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ROW(Source!A216)</f>
        <v>216</v>
      </c>
      <c r="B323">
        <v>57249434</v>
      </c>
      <c r="C323">
        <v>57249428</v>
      </c>
      <c r="D323">
        <v>54702434</v>
      </c>
      <c r="E323">
        <v>1081</v>
      </c>
      <c r="F323">
        <v>1</v>
      </c>
      <c r="G323">
        <v>1081</v>
      </c>
      <c r="H323">
        <v>1</v>
      </c>
      <c r="I323" t="s">
        <v>457</v>
      </c>
      <c r="J323" t="s">
        <v>3</v>
      </c>
      <c r="K323" t="s">
        <v>458</v>
      </c>
      <c r="L323">
        <v>1191</v>
      </c>
      <c r="N323">
        <v>1013</v>
      </c>
      <c r="O323" t="s">
        <v>459</v>
      </c>
      <c r="P323" t="s">
        <v>459</v>
      </c>
      <c r="Q323">
        <v>1</v>
      </c>
      <c r="X323">
        <v>15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1</v>
      </c>
      <c r="AF323" t="s">
        <v>120</v>
      </c>
      <c r="AG323">
        <v>18</v>
      </c>
      <c r="AH323">
        <v>2</v>
      </c>
      <c r="AI323">
        <v>57249429</v>
      </c>
      <c r="AJ323">
        <v>257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ROW(Source!A216)</f>
        <v>216</v>
      </c>
      <c r="B324">
        <v>57249435</v>
      </c>
      <c r="C324">
        <v>57249428</v>
      </c>
      <c r="D324">
        <v>54706430</v>
      </c>
      <c r="E324">
        <v>1081</v>
      </c>
      <c r="F324">
        <v>1</v>
      </c>
      <c r="G324">
        <v>1081</v>
      </c>
      <c r="H324">
        <v>3</v>
      </c>
      <c r="I324" t="s">
        <v>660</v>
      </c>
      <c r="J324" t="s">
        <v>3</v>
      </c>
      <c r="K324" t="s">
        <v>668</v>
      </c>
      <c r="L324">
        <v>1301</v>
      </c>
      <c r="N324">
        <v>1003</v>
      </c>
      <c r="O324" t="s">
        <v>341</v>
      </c>
      <c r="P324" t="s">
        <v>341</v>
      </c>
      <c r="Q324">
        <v>1</v>
      </c>
      <c r="X324">
        <v>102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119</v>
      </c>
      <c r="AG324">
        <v>102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ROW(Source!A216)</f>
        <v>216</v>
      </c>
      <c r="B325">
        <v>57249436</v>
      </c>
      <c r="C325">
        <v>57249428</v>
      </c>
      <c r="D325">
        <v>54709657</v>
      </c>
      <c r="E325">
        <v>1081</v>
      </c>
      <c r="F325">
        <v>1</v>
      </c>
      <c r="G325">
        <v>1081</v>
      </c>
      <c r="H325">
        <v>3</v>
      </c>
      <c r="I325" t="s">
        <v>669</v>
      </c>
      <c r="J325" t="s">
        <v>3</v>
      </c>
      <c r="K325" t="s">
        <v>670</v>
      </c>
      <c r="L325">
        <v>1354</v>
      </c>
      <c r="N325">
        <v>1010</v>
      </c>
      <c r="O325" t="s">
        <v>228</v>
      </c>
      <c r="P325" t="s">
        <v>228</v>
      </c>
      <c r="Q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119</v>
      </c>
      <c r="AG325">
        <v>0</v>
      </c>
      <c r="AH325">
        <v>3</v>
      </c>
      <c r="AI325">
        <v>-1</v>
      </c>
      <c r="AJ325" t="s">
        <v>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ROW(Source!A216)</f>
        <v>216</v>
      </c>
      <c r="B326">
        <v>57249437</v>
      </c>
      <c r="C326">
        <v>57249428</v>
      </c>
      <c r="D326">
        <v>54710225</v>
      </c>
      <c r="E326">
        <v>1081</v>
      </c>
      <c r="F326">
        <v>1</v>
      </c>
      <c r="G326">
        <v>1081</v>
      </c>
      <c r="H326">
        <v>3</v>
      </c>
      <c r="I326" t="s">
        <v>671</v>
      </c>
      <c r="J326" t="s">
        <v>3</v>
      </c>
      <c r="K326" t="s">
        <v>672</v>
      </c>
      <c r="L326">
        <v>1354</v>
      </c>
      <c r="N326">
        <v>1010</v>
      </c>
      <c r="O326" t="s">
        <v>228</v>
      </c>
      <c r="P326" t="s">
        <v>228</v>
      </c>
      <c r="Q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 t="s">
        <v>119</v>
      </c>
      <c r="AG326">
        <v>0</v>
      </c>
      <c r="AH326">
        <v>3</v>
      </c>
      <c r="AI326">
        <v>-1</v>
      </c>
      <c r="AJ326" t="s">
        <v>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ROW(Source!A217)</f>
        <v>217</v>
      </c>
      <c r="B327">
        <v>57249434</v>
      </c>
      <c r="C327">
        <v>57249428</v>
      </c>
      <c r="D327">
        <v>54702434</v>
      </c>
      <c r="E327">
        <v>1081</v>
      </c>
      <c r="F327">
        <v>1</v>
      </c>
      <c r="G327">
        <v>1081</v>
      </c>
      <c r="H327">
        <v>1</v>
      </c>
      <c r="I327" t="s">
        <v>457</v>
      </c>
      <c r="J327" t="s">
        <v>3</v>
      </c>
      <c r="K327" t="s">
        <v>458</v>
      </c>
      <c r="L327">
        <v>1191</v>
      </c>
      <c r="N327">
        <v>1013</v>
      </c>
      <c r="O327" t="s">
        <v>459</v>
      </c>
      <c r="P327" t="s">
        <v>459</v>
      </c>
      <c r="Q327">
        <v>1</v>
      </c>
      <c r="X327">
        <v>15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1</v>
      </c>
      <c r="AF327" t="s">
        <v>120</v>
      </c>
      <c r="AG327">
        <v>18</v>
      </c>
      <c r="AH327">
        <v>2</v>
      </c>
      <c r="AI327">
        <v>57249429</v>
      </c>
      <c r="AJ327">
        <v>261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ROW(Source!A217)</f>
        <v>217</v>
      </c>
      <c r="B328">
        <v>57249435</v>
      </c>
      <c r="C328">
        <v>57249428</v>
      </c>
      <c r="D328">
        <v>54706430</v>
      </c>
      <c r="E328">
        <v>1081</v>
      </c>
      <c r="F328">
        <v>1</v>
      </c>
      <c r="G328">
        <v>1081</v>
      </c>
      <c r="H328">
        <v>3</v>
      </c>
      <c r="I328" t="s">
        <v>660</v>
      </c>
      <c r="J328" t="s">
        <v>3</v>
      </c>
      <c r="K328" t="s">
        <v>668</v>
      </c>
      <c r="L328">
        <v>1301</v>
      </c>
      <c r="N328">
        <v>1003</v>
      </c>
      <c r="O328" t="s">
        <v>341</v>
      </c>
      <c r="P328" t="s">
        <v>341</v>
      </c>
      <c r="Q328">
        <v>1</v>
      </c>
      <c r="X328">
        <v>102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 t="s">
        <v>119</v>
      </c>
      <c r="AG328">
        <v>102</v>
      </c>
      <c r="AH328">
        <v>3</v>
      </c>
      <c r="AI328">
        <v>-1</v>
      </c>
      <c r="AJ328" t="s">
        <v>3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ROW(Source!A217)</f>
        <v>217</v>
      </c>
      <c r="B329">
        <v>57249436</v>
      </c>
      <c r="C329">
        <v>57249428</v>
      </c>
      <c r="D329">
        <v>54709657</v>
      </c>
      <c r="E329">
        <v>1081</v>
      </c>
      <c r="F329">
        <v>1</v>
      </c>
      <c r="G329">
        <v>1081</v>
      </c>
      <c r="H329">
        <v>3</v>
      </c>
      <c r="I329" t="s">
        <v>669</v>
      </c>
      <c r="J329" t="s">
        <v>3</v>
      </c>
      <c r="K329" t="s">
        <v>670</v>
      </c>
      <c r="L329">
        <v>1354</v>
      </c>
      <c r="N329">
        <v>1010</v>
      </c>
      <c r="O329" t="s">
        <v>228</v>
      </c>
      <c r="P329" t="s">
        <v>228</v>
      </c>
      <c r="Q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 t="s">
        <v>119</v>
      </c>
      <c r="AG329">
        <v>0</v>
      </c>
      <c r="AH329">
        <v>3</v>
      </c>
      <c r="AI329">
        <v>-1</v>
      </c>
      <c r="AJ329" t="s">
        <v>3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ROW(Source!A217)</f>
        <v>217</v>
      </c>
      <c r="B330">
        <v>57249437</v>
      </c>
      <c r="C330">
        <v>57249428</v>
      </c>
      <c r="D330">
        <v>54710225</v>
      </c>
      <c r="E330">
        <v>1081</v>
      </c>
      <c r="F330">
        <v>1</v>
      </c>
      <c r="G330">
        <v>1081</v>
      </c>
      <c r="H330">
        <v>3</v>
      </c>
      <c r="I330" t="s">
        <v>671</v>
      </c>
      <c r="J330" t="s">
        <v>3</v>
      </c>
      <c r="K330" t="s">
        <v>672</v>
      </c>
      <c r="L330">
        <v>1354</v>
      </c>
      <c r="N330">
        <v>1010</v>
      </c>
      <c r="O330" t="s">
        <v>228</v>
      </c>
      <c r="P330" t="s">
        <v>228</v>
      </c>
      <c r="Q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 t="s">
        <v>119</v>
      </c>
      <c r="AG330">
        <v>0</v>
      </c>
      <c r="AH330">
        <v>3</v>
      </c>
      <c r="AI330">
        <v>-1</v>
      </c>
      <c r="AJ330" t="s">
        <v>3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ROW(Source!A228)</f>
        <v>228</v>
      </c>
      <c r="B331">
        <v>57250098</v>
      </c>
      <c r="C331">
        <v>57250080</v>
      </c>
      <c r="D331">
        <v>54702434</v>
      </c>
      <c r="E331">
        <v>1081</v>
      </c>
      <c r="F331">
        <v>1</v>
      </c>
      <c r="G331">
        <v>1081</v>
      </c>
      <c r="H331">
        <v>1</v>
      </c>
      <c r="I331" t="s">
        <v>457</v>
      </c>
      <c r="J331" t="s">
        <v>3</v>
      </c>
      <c r="K331" t="s">
        <v>458</v>
      </c>
      <c r="L331">
        <v>1191</v>
      </c>
      <c r="N331">
        <v>1013</v>
      </c>
      <c r="O331" t="s">
        <v>459</v>
      </c>
      <c r="P331" t="s">
        <v>459</v>
      </c>
      <c r="Q331">
        <v>1</v>
      </c>
      <c r="X331">
        <v>24.76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1</v>
      </c>
      <c r="AF331" t="s">
        <v>120</v>
      </c>
      <c r="AG331">
        <v>29.712</v>
      </c>
      <c r="AH331">
        <v>2</v>
      </c>
      <c r="AI331">
        <v>57250098</v>
      </c>
      <c r="AJ331">
        <v>265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ROW(Source!A228)</f>
        <v>228</v>
      </c>
      <c r="B332">
        <v>57250099</v>
      </c>
      <c r="C332">
        <v>57250080</v>
      </c>
      <c r="D332">
        <v>54768393</v>
      </c>
      <c r="E332">
        <v>1</v>
      </c>
      <c r="F332">
        <v>1</v>
      </c>
      <c r="G332">
        <v>1081</v>
      </c>
      <c r="H332">
        <v>2</v>
      </c>
      <c r="I332" t="s">
        <v>510</v>
      </c>
      <c r="J332" t="s">
        <v>511</v>
      </c>
      <c r="K332" t="s">
        <v>512</v>
      </c>
      <c r="L332">
        <v>1368</v>
      </c>
      <c r="N332">
        <v>1011</v>
      </c>
      <c r="O332" t="s">
        <v>463</v>
      </c>
      <c r="P332" t="s">
        <v>463</v>
      </c>
      <c r="Q332">
        <v>1</v>
      </c>
      <c r="X332">
        <v>2.44</v>
      </c>
      <c r="Y332">
        <v>0</v>
      </c>
      <c r="Z332">
        <v>0.77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120</v>
      </c>
      <c r="AG332">
        <v>2.9279999999999999</v>
      </c>
      <c r="AH332">
        <v>2</v>
      </c>
      <c r="AI332">
        <v>57250099</v>
      </c>
      <c r="AJ332">
        <v>266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ROW(Source!A228)</f>
        <v>228</v>
      </c>
      <c r="B333">
        <v>57250100</v>
      </c>
      <c r="C333">
        <v>57250080</v>
      </c>
      <c r="D333">
        <v>54768426</v>
      </c>
      <c r="E333">
        <v>1</v>
      </c>
      <c r="F333">
        <v>1</v>
      </c>
      <c r="G333">
        <v>1081</v>
      </c>
      <c r="H333">
        <v>2</v>
      </c>
      <c r="I333" t="s">
        <v>485</v>
      </c>
      <c r="J333" t="s">
        <v>486</v>
      </c>
      <c r="K333" t="s">
        <v>487</v>
      </c>
      <c r="L333">
        <v>1368</v>
      </c>
      <c r="N333">
        <v>1011</v>
      </c>
      <c r="O333" t="s">
        <v>463</v>
      </c>
      <c r="P333" t="s">
        <v>463</v>
      </c>
      <c r="Q333">
        <v>1</v>
      </c>
      <c r="X333">
        <v>4.63</v>
      </c>
      <c r="Y333">
        <v>0</v>
      </c>
      <c r="Z333">
        <v>0.47</v>
      </c>
      <c r="AA333">
        <v>0</v>
      </c>
      <c r="AB333">
        <v>0</v>
      </c>
      <c r="AC333">
        <v>0</v>
      </c>
      <c r="AD333">
        <v>1</v>
      </c>
      <c r="AE333">
        <v>0</v>
      </c>
      <c r="AF333" t="s">
        <v>120</v>
      </c>
      <c r="AG333">
        <v>5.556</v>
      </c>
      <c r="AH333">
        <v>2</v>
      </c>
      <c r="AI333">
        <v>57250100</v>
      </c>
      <c r="AJ333">
        <v>267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ROW(Source!A228)</f>
        <v>228</v>
      </c>
      <c r="B334">
        <v>57250101</v>
      </c>
      <c r="C334">
        <v>57250080</v>
      </c>
      <c r="D334">
        <v>54760333</v>
      </c>
      <c r="E334">
        <v>1</v>
      </c>
      <c r="F334">
        <v>1</v>
      </c>
      <c r="G334">
        <v>1081</v>
      </c>
      <c r="H334">
        <v>3</v>
      </c>
      <c r="I334" t="s">
        <v>543</v>
      </c>
      <c r="J334" t="s">
        <v>544</v>
      </c>
      <c r="K334" t="s">
        <v>545</v>
      </c>
      <c r="L334">
        <v>1356</v>
      </c>
      <c r="N334">
        <v>1010</v>
      </c>
      <c r="O334" t="s">
        <v>348</v>
      </c>
      <c r="P334" t="s">
        <v>348</v>
      </c>
      <c r="Q334">
        <v>1000</v>
      </c>
      <c r="X334">
        <v>3.1E-2</v>
      </c>
      <c r="Y334">
        <v>226.66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119</v>
      </c>
      <c r="AG334">
        <v>3.1E-2</v>
      </c>
      <c r="AH334">
        <v>2</v>
      </c>
      <c r="AI334">
        <v>57250101</v>
      </c>
      <c r="AJ334">
        <v>271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ROW(Source!A228)</f>
        <v>228</v>
      </c>
      <c r="B335">
        <v>57250102</v>
      </c>
      <c r="C335">
        <v>57250080</v>
      </c>
      <c r="D335">
        <v>54760107</v>
      </c>
      <c r="E335">
        <v>1</v>
      </c>
      <c r="F335">
        <v>1</v>
      </c>
      <c r="G335">
        <v>1081</v>
      </c>
      <c r="H335">
        <v>3</v>
      </c>
      <c r="I335" t="s">
        <v>546</v>
      </c>
      <c r="J335" t="s">
        <v>547</v>
      </c>
      <c r="K335" t="s">
        <v>548</v>
      </c>
      <c r="L335">
        <v>1355</v>
      </c>
      <c r="N335">
        <v>1010</v>
      </c>
      <c r="O335" t="s">
        <v>67</v>
      </c>
      <c r="P335" t="s">
        <v>67</v>
      </c>
      <c r="Q335">
        <v>100</v>
      </c>
      <c r="X335">
        <v>0.315</v>
      </c>
      <c r="Y335">
        <v>26.71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119</v>
      </c>
      <c r="AG335">
        <v>0.315</v>
      </c>
      <c r="AH335">
        <v>2</v>
      </c>
      <c r="AI335">
        <v>57250102</v>
      </c>
      <c r="AJ335">
        <v>273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ROW(Source!A228)</f>
        <v>228</v>
      </c>
      <c r="B336">
        <v>57250103</v>
      </c>
      <c r="C336">
        <v>57250080</v>
      </c>
      <c r="D336">
        <v>54747393</v>
      </c>
      <c r="E336">
        <v>1</v>
      </c>
      <c r="F336">
        <v>1</v>
      </c>
      <c r="G336">
        <v>1081</v>
      </c>
      <c r="H336">
        <v>3</v>
      </c>
      <c r="I336" t="s">
        <v>549</v>
      </c>
      <c r="J336" t="s">
        <v>550</v>
      </c>
      <c r="K336" t="s">
        <v>551</v>
      </c>
      <c r="L336">
        <v>1354</v>
      </c>
      <c r="N336">
        <v>1010</v>
      </c>
      <c r="O336" t="s">
        <v>228</v>
      </c>
      <c r="P336" t="s">
        <v>228</v>
      </c>
      <c r="Q336">
        <v>1</v>
      </c>
      <c r="X336">
        <v>0.28000000000000003</v>
      </c>
      <c r="Y336">
        <v>14.22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119</v>
      </c>
      <c r="AG336">
        <v>0.28000000000000003</v>
      </c>
      <c r="AH336">
        <v>2</v>
      </c>
      <c r="AI336">
        <v>57250103</v>
      </c>
      <c r="AJ336">
        <v>274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ROW(Source!A228)</f>
        <v>228</v>
      </c>
      <c r="B337">
        <v>57250104</v>
      </c>
      <c r="C337">
        <v>57250080</v>
      </c>
      <c r="D337">
        <v>54706435</v>
      </c>
      <c r="E337">
        <v>1081</v>
      </c>
      <c r="F337">
        <v>1</v>
      </c>
      <c r="G337">
        <v>1081</v>
      </c>
      <c r="H337">
        <v>3</v>
      </c>
      <c r="I337" t="s">
        <v>660</v>
      </c>
      <c r="J337" t="s">
        <v>3</v>
      </c>
      <c r="K337" t="s">
        <v>661</v>
      </c>
      <c r="L337">
        <v>1301</v>
      </c>
      <c r="N337">
        <v>1003</v>
      </c>
      <c r="O337" t="s">
        <v>341</v>
      </c>
      <c r="P337" t="s">
        <v>341</v>
      </c>
      <c r="Q337">
        <v>1</v>
      </c>
      <c r="X337">
        <v>102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 t="s">
        <v>119</v>
      </c>
      <c r="AG337">
        <v>102</v>
      </c>
      <c r="AH337">
        <v>3</v>
      </c>
      <c r="AI337">
        <v>-1</v>
      </c>
      <c r="AJ337" t="s">
        <v>3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ROW(Source!A228)</f>
        <v>228</v>
      </c>
      <c r="B338">
        <v>57250105</v>
      </c>
      <c r="C338">
        <v>57250080</v>
      </c>
      <c r="D338">
        <v>54711690</v>
      </c>
      <c r="E338">
        <v>1081</v>
      </c>
      <c r="F338">
        <v>1</v>
      </c>
      <c r="G338">
        <v>1081</v>
      </c>
      <c r="H338">
        <v>3</v>
      </c>
      <c r="I338" t="s">
        <v>662</v>
      </c>
      <c r="J338" t="s">
        <v>3</v>
      </c>
      <c r="K338" t="s">
        <v>663</v>
      </c>
      <c r="L338">
        <v>1356</v>
      </c>
      <c r="N338">
        <v>1010</v>
      </c>
      <c r="O338" t="s">
        <v>348</v>
      </c>
      <c r="P338" t="s">
        <v>348</v>
      </c>
      <c r="Q338">
        <v>1000</v>
      </c>
      <c r="X338">
        <v>0.23799999999999999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119</v>
      </c>
      <c r="AG338">
        <v>0.23799999999999999</v>
      </c>
      <c r="AH338">
        <v>3</v>
      </c>
      <c r="AI338">
        <v>-1</v>
      </c>
      <c r="AJ338" t="s">
        <v>3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ROW(Source!A228)</f>
        <v>228</v>
      </c>
      <c r="B339">
        <v>57250106</v>
      </c>
      <c r="C339">
        <v>57250080</v>
      </c>
      <c r="D339">
        <v>54717077</v>
      </c>
      <c r="E339">
        <v>1081</v>
      </c>
      <c r="F339">
        <v>1</v>
      </c>
      <c r="G339">
        <v>1081</v>
      </c>
      <c r="H339">
        <v>3</v>
      </c>
      <c r="I339" t="s">
        <v>664</v>
      </c>
      <c r="J339" t="s">
        <v>3</v>
      </c>
      <c r="K339" t="s">
        <v>665</v>
      </c>
      <c r="L339">
        <v>1303</v>
      </c>
      <c r="N339">
        <v>1003</v>
      </c>
      <c r="O339" t="s">
        <v>390</v>
      </c>
      <c r="P339" t="s">
        <v>390</v>
      </c>
      <c r="Q339">
        <v>1000</v>
      </c>
      <c r="X339">
        <v>0.10199999999999999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119</v>
      </c>
      <c r="AG339">
        <v>0.10199999999999999</v>
      </c>
      <c r="AH339">
        <v>3</v>
      </c>
      <c r="AI339">
        <v>-1</v>
      </c>
      <c r="AJ339" t="s">
        <v>3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ROW(Source!A228)</f>
        <v>228</v>
      </c>
      <c r="B340">
        <v>57250107</v>
      </c>
      <c r="C340">
        <v>57250080</v>
      </c>
      <c r="D340">
        <v>54725934</v>
      </c>
      <c r="E340">
        <v>1081</v>
      </c>
      <c r="F340">
        <v>1</v>
      </c>
      <c r="G340">
        <v>1081</v>
      </c>
      <c r="H340">
        <v>3</v>
      </c>
      <c r="I340" t="s">
        <v>666</v>
      </c>
      <c r="J340" t="s">
        <v>3</v>
      </c>
      <c r="K340" t="s">
        <v>667</v>
      </c>
      <c r="L340">
        <v>1355</v>
      </c>
      <c r="N340">
        <v>1010</v>
      </c>
      <c r="O340" t="s">
        <v>67</v>
      </c>
      <c r="P340" t="s">
        <v>67</v>
      </c>
      <c r="Q340">
        <v>100</v>
      </c>
      <c r="X340">
        <v>2.36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 t="s">
        <v>119</v>
      </c>
      <c r="AG340">
        <v>2.36</v>
      </c>
      <c r="AH340">
        <v>3</v>
      </c>
      <c r="AI340">
        <v>-1</v>
      </c>
      <c r="AJ340" t="s">
        <v>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ROW(Source!A229)</f>
        <v>229</v>
      </c>
      <c r="B341">
        <v>57250098</v>
      </c>
      <c r="C341">
        <v>57250080</v>
      </c>
      <c r="D341">
        <v>54702434</v>
      </c>
      <c r="E341">
        <v>1081</v>
      </c>
      <c r="F341">
        <v>1</v>
      </c>
      <c r="G341">
        <v>1081</v>
      </c>
      <c r="H341">
        <v>1</v>
      </c>
      <c r="I341" t="s">
        <v>457</v>
      </c>
      <c r="J341" t="s">
        <v>3</v>
      </c>
      <c r="K341" t="s">
        <v>458</v>
      </c>
      <c r="L341">
        <v>1191</v>
      </c>
      <c r="N341">
        <v>1013</v>
      </c>
      <c r="O341" t="s">
        <v>459</v>
      </c>
      <c r="P341" t="s">
        <v>459</v>
      </c>
      <c r="Q341">
        <v>1</v>
      </c>
      <c r="X341">
        <v>24.76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1</v>
      </c>
      <c r="AF341" t="s">
        <v>120</v>
      </c>
      <c r="AG341">
        <v>29.712</v>
      </c>
      <c r="AH341">
        <v>2</v>
      </c>
      <c r="AI341">
        <v>57250098</v>
      </c>
      <c r="AJ341">
        <v>275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ROW(Source!A229)</f>
        <v>229</v>
      </c>
      <c r="B342">
        <v>57250099</v>
      </c>
      <c r="C342">
        <v>57250080</v>
      </c>
      <c r="D342">
        <v>54768393</v>
      </c>
      <c r="E342">
        <v>1</v>
      </c>
      <c r="F342">
        <v>1</v>
      </c>
      <c r="G342">
        <v>1081</v>
      </c>
      <c r="H342">
        <v>2</v>
      </c>
      <c r="I342" t="s">
        <v>510</v>
      </c>
      <c r="J342" t="s">
        <v>511</v>
      </c>
      <c r="K342" t="s">
        <v>512</v>
      </c>
      <c r="L342">
        <v>1368</v>
      </c>
      <c r="N342">
        <v>1011</v>
      </c>
      <c r="O342" t="s">
        <v>463</v>
      </c>
      <c r="P342" t="s">
        <v>463</v>
      </c>
      <c r="Q342">
        <v>1</v>
      </c>
      <c r="X342">
        <v>2.44</v>
      </c>
      <c r="Y342">
        <v>0</v>
      </c>
      <c r="Z342">
        <v>0.77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120</v>
      </c>
      <c r="AG342">
        <v>2.9279999999999999</v>
      </c>
      <c r="AH342">
        <v>2</v>
      </c>
      <c r="AI342">
        <v>57250099</v>
      </c>
      <c r="AJ342">
        <v>276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ROW(Source!A229)</f>
        <v>229</v>
      </c>
      <c r="B343">
        <v>57250100</v>
      </c>
      <c r="C343">
        <v>57250080</v>
      </c>
      <c r="D343">
        <v>54768426</v>
      </c>
      <c r="E343">
        <v>1</v>
      </c>
      <c r="F343">
        <v>1</v>
      </c>
      <c r="G343">
        <v>1081</v>
      </c>
      <c r="H343">
        <v>2</v>
      </c>
      <c r="I343" t="s">
        <v>485</v>
      </c>
      <c r="J343" t="s">
        <v>486</v>
      </c>
      <c r="K343" t="s">
        <v>487</v>
      </c>
      <c r="L343">
        <v>1368</v>
      </c>
      <c r="N343">
        <v>1011</v>
      </c>
      <c r="O343" t="s">
        <v>463</v>
      </c>
      <c r="P343" t="s">
        <v>463</v>
      </c>
      <c r="Q343">
        <v>1</v>
      </c>
      <c r="X343">
        <v>4.63</v>
      </c>
      <c r="Y343">
        <v>0</v>
      </c>
      <c r="Z343">
        <v>0.47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120</v>
      </c>
      <c r="AG343">
        <v>5.556</v>
      </c>
      <c r="AH343">
        <v>2</v>
      </c>
      <c r="AI343">
        <v>57250100</v>
      </c>
      <c r="AJ343">
        <v>277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ROW(Source!A229)</f>
        <v>229</v>
      </c>
      <c r="B344">
        <v>57250101</v>
      </c>
      <c r="C344">
        <v>57250080</v>
      </c>
      <c r="D344">
        <v>54760333</v>
      </c>
      <c r="E344">
        <v>1</v>
      </c>
      <c r="F344">
        <v>1</v>
      </c>
      <c r="G344">
        <v>1081</v>
      </c>
      <c r="H344">
        <v>3</v>
      </c>
      <c r="I344" t="s">
        <v>543</v>
      </c>
      <c r="J344" t="s">
        <v>544</v>
      </c>
      <c r="K344" t="s">
        <v>545</v>
      </c>
      <c r="L344">
        <v>1356</v>
      </c>
      <c r="N344">
        <v>1010</v>
      </c>
      <c r="O344" t="s">
        <v>348</v>
      </c>
      <c r="P344" t="s">
        <v>348</v>
      </c>
      <c r="Q344">
        <v>1000</v>
      </c>
      <c r="X344">
        <v>3.1E-2</v>
      </c>
      <c r="Y344">
        <v>226.66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119</v>
      </c>
      <c r="AG344">
        <v>3.1E-2</v>
      </c>
      <c r="AH344">
        <v>2</v>
      </c>
      <c r="AI344">
        <v>57250101</v>
      </c>
      <c r="AJ344">
        <v>281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ROW(Source!A229)</f>
        <v>229</v>
      </c>
      <c r="B345">
        <v>57250102</v>
      </c>
      <c r="C345">
        <v>57250080</v>
      </c>
      <c r="D345">
        <v>54760107</v>
      </c>
      <c r="E345">
        <v>1</v>
      </c>
      <c r="F345">
        <v>1</v>
      </c>
      <c r="G345">
        <v>1081</v>
      </c>
      <c r="H345">
        <v>3</v>
      </c>
      <c r="I345" t="s">
        <v>546</v>
      </c>
      <c r="J345" t="s">
        <v>547</v>
      </c>
      <c r="K345" t="s">
        <v>548</v>
      </c>
      <c r="L345">
        <v>1355</v>
      </c>
      <c r="N345">
        <v>1010</v>
      </c>
      <c r="O345" t="s">
        <v>67</v>
      </c>
      <c r="P345" t="s">
        <v>67</v>
      </c>
      <c r="Q345">
        <v>100</v>
      </c>
      <c r="X345">
        <v>0.315</v>
      </c>
      <c r="Y345">
        <v>26.71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119</v>
      </c>
      <c r="AG345">
        <v>0.315</v>
      </c>
      <c r="AH345">
        <v>2</v>
      </c>
      <c r="AI345">
        <v>57250102</v>
      </c>
      <c r="AJ345">
        <v>283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ROW(Source!A229)</f>
        <v>229</v>
      </c>
      <c r="B346">
        <v>57250103</v>
      </c>
      <c r="C346">
        <v>57250080</v>
      </c>
      <c r="D346">
        <v>54747393</v>
      </c>
      <c r="E346">
        <v>1</v>
      </c>
      <c r="F346">
        <v>1</v>
      </c>
      <c r="G346">
        <v>1081</v>
      </c>
      <c r="H346">
        <v>3</v>
      </c>
      <c r="I346" t="s">
        <v>549</v>
      </c>
      <c r="J346" t="s">
        <v>550</v>
      </c>
      <c r="K346" t="s">
        <v>551</v>
      </c>
      <c r="L346">
        <v>1354</v>
      </c>
      <c r="N346">
        <v>1010</v>
      </c>
      <c r="O346" t="s">
        <v>228</v>
      </c>
      <c r="P346" t="s">
        <v>228</v>
      </c>
      <c r="Q346">
        <v>1</v>
      </c>
      <c r="X346">
        <v>0.28000000000000003</v>
      </c>
      <c r="Y346">
        <v>14.22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119</v>
      </c>
      <c r="AG346">
        <v>0.28000000000000003</v>
      </c>
      <c r="AH346">
        <v>2</v>
      </c>
      <c r="AI346">
        <v>57250103</v>
      </c>
      <c r="AJ346">
        <v>284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ROW(Source!A229)</f>
        <v>229</v>
      </c>
      <c r="B347">
        <v>57250104</v>
      </c>
      <c r="C347">
        <v>57250080</v>
      </c>
      <c r="D347">
        <v>54706435</v>
      </c>
      <c r="E347">
        <v>1081</v>
      </c>
      <c r="F347">
        <v>1</v>
      </c>
      <c r="G347">
        <v>1081</v>
      </c>
      <c r="H347">
        <v>3</v>
      </c>
      <c r="I347" t="s">
        <v>660</v>
      </c>
      <c r="J347" t="s">
        <v>3</v>
      </c>
      <c r="K347" t="s">
        <v>661</v>
      </c>
      <c r="L347">
        <v>1301</v>
      </c>
      <c r="N347">
        <v>1003</v>
      </c>
      <c r="O347" t="s">
        <v>341</v>
      </c>
      <c r="P347" t="s">
        <v>341</v>
      </c>
      <c r="Q347">
        <v>1</v>
      </c>
      <c r="X347">
        <v>102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119</v>
      </c>
      <c r="AG347">
        <v>102</v>
      </c>
      <c r="AH347">
        <v>3</v>
      </c>
      <c r="AI347">
        <v>-1</v>
      </c>
      <c r="AJ347" t="s">
        <v>3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ROW(Source!A229)</f>
        <v>229</v>
      </c>
      <c r="B348">
        <v>57250105</v>
      </c>
      <c r="C348">
        <v>57250080</v>
      </c>
      <c r="D348">
        <v>54711690</v>
      </c>
      <c r="E348">
        <v>1081</v>
      </c>
      <c r="F348">
        <v>1</v>
      </c>
      <c r="G348">
        <v>1081</v>
      </c>
      <c r="H348">
        <v>3</v>
      </c>
      <c r="I348" t="s">
        <v>662</v>
      </c>
      <c r="J348" t="s">
        <v>3</v>
      </c>
      <c r="K348" t="s">
        <v>663</v>
      </c>
      <c r="L348">
        <v>1356</v>
      </c>
      <c r="N348">
        <v>1010</v>
      </c>
      <c r="O348" t="s">
        <v>348</v>
      </c>
      <c r="P348" t="s">
        <v>348</v>
      </c>
      <c r="Q348">
        <v>1000</v>
      </c>
      <c r="X348">
        <v>0.23799999999999999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119</v>
      </c>
      <c r="AG348">
        <v>0.23799999999999999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ROW(Source!A229)</f>
        <v>229</v>
      </c>
      <c r="B349">
        <v>57250106</v>
      </c>
      <c r="C349">
        <v>57250080</v>
      </c>
      <c r="D349">
        <v>54717077</v>
      </c>
      <c r="E349">
        <v>1081</v>
      </c>
      <c r="F349">
        <v>1</v>
      </c>
      <c r="G349">
        <v>1081</v>
      </c>
      <c r="H349">
        <v>3</v>
      </c>
      <c r="I349" t="s">
        <v>664</v>
      </c>
      <c r="J349" t="s">
        <v>3</v>
      </c>
      <c r="K349" t="s">
        <v>665</v>
      </c>
      <c r="L349">
        <v>1303</v>
      </c>
      <c r="N349">
        <v>1003</v>
      </c>
      <c r="O349" t="s">
        <v>390</v>
      </c>
      <c r="P349" t="s">
        <v>390</v>
      </c>
      <c r="Q349">
        <v>1000</v>
      </c>
      <c r="X349">
        <v>0.10199999999999999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 t="s">
        <v>119</v>
      </c>
      <c r="AG349">
        <v>0.10199999999999999</v>
      </c>
      <c r="AH349">
        <v>3</v>
      </c>
      <c r="AI349">
        <v>-1</v>
      </c>
      <c r="AJ349" t="s">
        <v>3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ROW(Source!A229)</f>
        <v>229</v>
      </c>
      <c r="B350">
        <v>57250107</v>
      </c>
      <c r="C350">
        <v>57250080</v>
      </c>
      <c r="D350">
        <v>54725934</v>
      </c>
      <c r="E350">
        <v>1081</v>
      </c>
      <c r="F350">
        <v>1</v>
      </c>
      <c r="G350">
        <v>1081</v>
      </c>
      <c r="H350">
        <v>3</v>
      </c>
      <c r="I350" t="s">
        <v>666</v>
      </c>
      <c r="J350" t="s">
        <v>3</v>
      </c>
      <c r="K350" t="s">
        <v>667</v>
      </c>
      <c r="L350">
        <v>1355</v>
      </c>
      <c r="N350">
        <v>1010</v>
      </c>
      <c r="O350" t="s">
        <v>67</v>
      </c>
      <c r="P350" t="s">
        <v>67</v>
      </c>
      <c r="Q350">
        <v>100</v>
      </c>
      <c r="X350">
        <v>2.36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t="s">
        <v>119</v>
      </c>
      <c r="AG350">
        <v>2.36</v>
      </c>
      <c r="AH350">
        <v>3</v>
      </c>
      <c r="AI350">
        <v>-1</v>
      </c>
      <c r="AJ350" t="s">
        <v>3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ROW(Source!A240)</f>
        <v>240</v>
      </c>
      <c r="B351">
        <v>57250123</v>
      </c>
      <c r="C351">
        <v>57250122</v>
      </c>
      <c r="D351">
        <v>54702434</v>
      </c>
      <c r="E351">
        <v>1081</v>
      </c>
      <c r="F351">
        <v>1</v>
      </c>
      <c r="G351">
        <v>1081</v>
      </c>
      <c r="H351">
        <v>1</v>
      </c>
      <c r="I351" t="s">
        <v>457</v>
      </c>
      <c r="J351" t="s">
        <v>3</v>
      </c>
      <c r="K351" t="s">
        <v>458</v>
      </c>
      <c r="L351">
        <v>1191</v>
      </c>
      <c r="N351">
        <v>1013</v>
      </c>
      <c r="O351" t="s">
        <v>459</v>
      </c>
      <c r="P351" t="s">
        <v>459</v>
      </c>
      <c r="Q351">
        <v>1</v>
      </c>
      <c r="X351">
        <v>69.3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120</v>
      </c>
      <c r="AG351">
        <v>83.16</v>
      </c>
      <c r="AH351">
        <v>2</v>
      </c>
      <c r="AI351">
        <v>57250123</v>
      </c>
      <c r="AJ351">
        <v>285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ROW(Source!A240)</f>
        <v>240</v>
      </c>
      <c r="B352">
        <v>57250124</v>
      </c>
      <c r="C352">
        <v>57250122</v>
      </c>
      <c r="D352">
        <v>54768393</v>
      </c>
      <c r="E352">
        <v>1</v>
      </c>
      <c r="F352">
        <v>1</v>
      </c>
      <c r="G352">
        <v>1081</v>
      </c>
      <c r="H352">
        <v>2</v>
      </c>
      <c r="I352" t="s">
        <v>510</v>
      </c>
      <c r="J352" t="s">
        <v>511</v>
      </c>
      <c r="K352" t="s">
        <v>512</v>
      </c>
      <c r="L352">
        <v>1368</v>
      </c>
      <c r="N352">
        <v>1011</v>
      </c>
      <c r="O352" t="s">
        <v>463</v>
      </c>
      <c r="P352" t="s">
        <v>463</v>
      </c>
      <c r="Q352">
        <v>1</v>
      </c>
      <c r="X352">
        <v>2.09</v>
      </c>
      <c r="Y352">
        <v>0</v>
      </c>
      <c r="Z352">
        <v>0.77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120</v>
      </c>
      <c r="AG352">
        <v>2.5079999999999996</v>
      </c>
      <c r="AH352">
        <v>2</v>
      </c>
      <c r="AI352">
        <v>57250124</v>
      </c>
      <c r="AJ352">
        <v>286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ROW(Source!A240)</f>
        <v>240</v>
      </c>
      <c r="B353">
        <v>57250125</v>
      </c>
      <c r="C353">
        <v>57250122</v>
      </c>
      <c r="D353">
        <v>54768426</v>
      </c>
      <c r="E353">
        <v>1</v>
      </c>
      <c r="F353">
        <v>1</v>
      </c>
      <c r="G353">
        <v>1081</v>
      </c>
      <c r="H353">
        <v>2</v>
      </c>
      <c r="I353" t="s">
        <v>485</v>
      </c>
      <c r="J353" t="s">
        <v>486</v>
      </c>
      <c r="K353" t="s">
        <v>487</v>
      </c>
      <c r="L353">
        <v>1368</v>
      </c>
      <c r="N353">
        <v>1011</v>
      </c>
      <c r="O353" t="s">
        <v>463</v>
      </c>
      <c r="P353" t="s">
        <v>463</v>
      </c>
      <c r="Q353">
        <v>1</v>
      </c>
      <c r="X353">
        <v>9.4700000000000006</v>
      </c>
      <c r="Y353">
        <v>0</v>
      </c>
      <c r="Z353">
        <v>0.47</v>
      </c>
      <c r="AA353">
        <v>0</v>
      </c>
      <c r="AB353">
        <v>0</v>
      </c>
      <c r="AC353">
        <v>0</v>
      </c>
      <c r="AD353">
        <v>1</v>
      </c>
      <c r="AE353">
        <v>0</v>
      </c>
      <c r="AF353" t="s">
        <v>120</v>
      </c>
      <c r="AG353">
        <v>11.364000000000001</v>
      </c>
      <c r="AH353">
        <v>2</v>
      </c>
      <c r="AI353">
        <v>57250125</v>
      </c>
      <c r="AJ353">
        <v>287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ROW(Source!A240)</f>
        <v>240</v>
      </c>
      <c r="B354">
        <v>57250126</v>
      </c>
      <c r="C354">
        <v>57250122</v>
      </c>
      <c r="D354">
        <v>54747393</v>
      </c>
      <c r="E354">
        <v>1</v>
      </c>
      <c r="F354">
        <v>1</v>
      </c>
      <c r="G354">
        <v>1081</v>
      </c>
      <c r="H354">
        <v>3</v>
      </c>
      <c r="I354" t="s">
        <v>549</v>
      </c>
      <c r="J354" t="s">
        <v>550</v>
      </c>
      <c r="K354" t="s">
        <v>551</v>
      </c>
      <c r="L354">
        <v>1354</v>
      </c>
      <c r="N354">
        <v>1010</v>
      </c>
      <c r="O354" t="s">
        <v>228</v>
      </c>
      <c r="P354" t="s">
        <v>228</v>
      </c>
      <c r="Q354">
        <v>1</v>
      </c>
      <c r="X354">
        <v>0.24</v>
      </c>
      <c r="Y354">
        <v>14.22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0</v>
      </c>
      <c r="AF354" t="s">
        <v>119</v>
      </c>
      <c r="AG354">
        <v>0.24</v>
      </c>
      <c r="AH354">
        <v>2</v>
      </c>
      <c r="AI354">
        <v>57250126</v>
      </c>
      <c r="AJ354">
        <v>288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ROW(Source!A240)</f>
        <v>240</v>
      </c>
      <c r="B355">
        <v>57250127</v>
      </c>
      <c r="C355">
        <v>57250122</v>
      </c>
      <c r="D355">
        <v>54709661</v>
      </c>
      <c r="E355">
        <v>1081</v>
      </c>
      <c r="F355">
        <v>1</v>
      </c>
      <c r="G355">
        <v>1081</v>
      </c>
      <c r="H355">
        <v>3</v>
      </c>
      <c r="I355" t="s">
        <v>669</v>
      </c>
      <c r="J355" t="s">
        <v>3</v>
      </c>
      <c r="K355" t="s">
        <v>673</v>
      </c>
      <c r="L355">
        <v>1354</v>
      </c>
      <c r="N355">
        <v>1010</v>
      </c>
      <c r="O355" t="s">
        <v>228</v>
      </c>
      <c r="P355" t="s">
        <v>228</v>
      </c>
      <c r="Q355">
        <v>1</v>
      </c>
      <c r="X355">
        <v>102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 t="s">
        <v>119</v>
      </c>
      <c r="AG355">
        <v>102</v>
      </c>
      <c r="AH355">
        <v>3</v>
      </c>
      <c r="AI355">
        <v>-1</v>
      </c>
      <c r="AJ355" t="s">
        <v>3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ROW(Source!A240)</f>
        <v>240</v>
      </c>
      <c r="B356">
        <v>57250128</v>
      </c>
      <c r="C356">
        <v>57250122</v>
      </c>
      <c r="D356">
        <v>54725934</v>
      </c>
      <c r="E356">
        <v>1081</v>
      </c>
      <c r="F356">
        <v>1</v>
      </c>
      <c r="G356">
        <v>1081</v>
      </c>
      <c r="H356">
        <v>3</v>
      </c>
      <c r="I356" t="s">
        <v>666</v>
      </c>
      <c r="J356" t="s">
        <v>3</v>
      </c>
      <c r="K356" t="s">
        <v>667</v>
      </c>
      <c r="L356">
        <v>1355</v>
      </c>
      <c r="N356">
        <v>1010</v>
      </c>
      <c r="O356" t="s">
        <v>67</v>
      </c>
      <c r="P356" t="s">
        <v>67</v>
      </c>
      <c r="Q356">
        <v>100</v>
      </c>
      <c r="X356">
        <v>2.02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119</v>
      </c>
      <c r="AG356">
        <v>2.02</v>
      </c>
      <c r="AH356">
        <v>3</v>
      </c>
      <c r="AI356">
        <v>-1</v>
      </c>
      <c r="AJ356" t="s">
        <v>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ROW(Source!A241)</f>
        <v>241</v>
      </c>
      <c r="B357">
        <v>57250123</v>
      </c>
      <c r="C357">
        <v>57250122</v>
      </c>
      <c r="D357">
        <v>54702434</v>
      </c>
      <c r="E357">
        <v>1081</v>
      </c>
      <c r="F357">
        <v>1</v>
      </c>
      <c r="G357">
        <v>1081</v>
      </c>
      <c r="H357">
        <v>1</v>
      </c>
      <c r="I357" t="s">
        <v>457</v>
      </c>
      <c r="J357" t="s">
        <v>3</v>
      </c>
      <c r="K357" t="s">
        <v>458</v>
      </c>
      <c r="L357">
        <v>1191</v>
      </c>
      <c r="N357">
        <v>1013</v>
      </c>
      <c r="O357" t="s">
        <v>459</v>
      </c>
      <c r="P357" t="s">
        <v>459</v>
      </c>
      <c r="Q357">
        <v>1</v>
      </c>
      <c r="X357">
        <v>69.3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120</v>
      </c>
      <c r="AG357">
        <v>83.16</v>
      </c>
      <c r="AH357">
        <v>2</v>
      </c>
      <c r="AI357">
        <v>57250123</v>
      </c>
      <c r="AJ357">
        <v>289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ROW(Source!A241)</f>
        <v>241</v>
      </c>
      <c r="B358">
        <v>57250124</v>
      </c>
      <c r="C358">
        <v>57250122</v>
      </c>
      <c r="D358">
        <v>54768393</v>
      </c>
      <c r="E358">
        <v>1</v>
      </c>
      <c r="F358">
        <v>1</v>
      </c>
      <c r="G358">
        <v>1081</v>
      </c>
      <c r="H358">
        <v>2</v>
      </c>
      <c r="I358" t="s">
        <v>510</v>
      </c>
      <c r="J358" t="s">
        <v>511</v>
      </c>
      <c r="K358" t="s">
        <v>512</v>
      </c>
      <c r="L358">
        <v>1368</v>
      </c>
      <c r="N358">
        <v>1011</v>
      </c>
      <c r="O358" t="s">
        <v>463</v>
      </c>
      <c r="P358" t="s">
        <v>463</v>
      </c>
      <c r="Q358">
        <v>1</v>
      </c>
      <c r="X358">
        <v>2.09</v>
      </c>
      <c r="Y358">
        <v>0</v>
      </c>
      <c r="Z358">
        <v>0.77</v>
      </c>
      <c r="AA358">
        <v>0</v>
      </c>
      <c r="AB358">
        <v>0</v>
      </c>
      <c r="AC358">
        <v>0</v>
      </c>
      <c r="AD358">
        <v>1</v>
      </c>
      <c r="AE358">
        <v>0</v>
      </c>
      <c r="AF358" t="s">
        <v>120</v>
      </c>
      <c r="AG358">
        <v>2.5079999999999996</v>
      </c>
      <c r="AH358">
        <v>2</v>
      </c>
      <c r="AI358">
        <v>57250124</v>
      </c>
      <c r="AJ358">
        <v>290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ROW(Source!A241)</f>
        <v>241</v>
      </c>
      <c r="B359">
        <v>57250125</v>
      </c>
      <c r="C359">
        <v>57250122</v>
      </c>
      <c r="D359">
        <v>54768426</v>
      </c>
      <c r="E359">
        <v>1</v>
      </c>
      <c r="F359">
        <v>1</v>
      </c>
      <c r="G359">
        <v>1081</v>
      </c>
      <c r="H359">
        <v>2</v>
      </c>
      <c r="I359" t="s">
        <v>485</v>
      </c>
      <c r="J359" t="s">
        <v>486</v>
      </c>
      <c r="K359" t="s">
        <v>487</v>
      </c>
      <c r="L359">
        <v>1368</v>
      </c>
      <c r="N359">
        <v>1011</v>
      </c>
      <c r="O359" t="s">
        <v>463</v>
      </c>
      <c r="P359" t="s">
        <v>463</v>
      </c>
      <c r="Q359">
        <v>1</v>
      </c>
      <c r="X359">
        <v>9.4700000000000006</v>
      </c>
      <c r="Y359">
        <v>0</v>
      </c>
      <c r="Z359">
        <v>0.47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120</v>
      </c>
      <c r="AG359">
        <v>11.364000000000001</v>
      </c>
      <c r="AH359">
        <v>2</v>
      </c>
      <c r="AI359">
        <v>57250125</v>
      </c>
      <c r="AJ359">
        <v>291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ROW(Source!A241)</f>
        <v>241</v>
      </c>
      <c r="B360">
        <v>57250126</v>
      </c>
      <c r="C360">
        <v>57250122</v>
      </c>
      <c r="D360">
        <v>54747393</v>
      </c>
      <c r="E360">
        <v>1</v>
      </c>
      <c r="F360">
        <v>1</v>
      </c>
      <c r="G360">
        <v>1081</v>
      </c>
      <c r="H360">
        <v>3</v>
      </c>
      <c r="I360" t="s">
        <v>549</v>
      </c>
      <c r="J360" t="s">
        <v>550</v>
      </c>
      <c r="K360" t="s">
        <v>551</v>
      </c>
      <c r="L360">
        <v>1354</v>
      </c>
      <c r="N360">
        <v>1010</v>
      </c>
      <c r="O360" t="s">
        <v>228</v>
      </c>
      <c r="P360" t="s">
        <v>228</v>
      </c>
      <c r="Q360">
        <v>1</v>
      </c>
      <c r="X360">
        <v>0.24</v>
      </c>
      <c r="Y360">
        <v>14.22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119</v>
      </c>
      <c r="AG360">
        <v>0.24</v>
      </c>
      <c r="AH360">
        <v>2</v>
      </c>
      <c r="AI360">
        <v>57250126</v>
      </c>
      <c r="AJ360">
        <v>292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ROW(Source!A241)</f>
        <v>241</v>
      </c>
      <c r="B361">
        <v>57250127</v>
      </c>
      <c r="C361">
        <v>57250122</v>
      </c>
      <c r="D361">
        <v>54709661</v>
      </c>
      <c r="E361">
        <v>1081</v>
      </c>
      <c r="F361">
        <v>1</v>
      </c>
      <c r="G361">
        <v>1081</v>
      </c>
      <c r="H361">
        <v>3</v>
      </c>
      <c r="I361" t="s">
        <v>669</v>
      </c>
      <c r="J361" t="s">
        <v>3</v>
      </c>
      <c r="K361" t="s">
        <v>673</v>
      </c>
      <c r="L361">
        <v>1354</v>
      </c>
      <c r="N361">
        <v>1010</v>
      </c>
      <c r="O361" t="s">
        <v>228</v>
      </c>
      <c r="P361" t="s">
        <v>228</v>
      </c>
      <c r="Q361">
        <v>1</v>
      </c>
      <c r="X361">
        <v>102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119</v>
      </c>
      <c r="AG361">
        <v>102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ROW(Source!A241)</f>
        <v>241</v>
      </c>
      <c r="B362">
        <v>57250128</v>
      </c>
      <c r="C362">
        <v>57250122</v>
      </c>
      <c r="D362">
        <v>54725934</v>
      </c>
      <c r="E362">
        <v>1081</v>
      </c>
      <c r="F362">
        <v>1</v>
      </c>
      <c r="G362">
        <v>1081</v>
      </c>
      <c r="H362">
        <v>3</v>
      </c>
      <c r="I362" t="s">
        <v>666</v>
      </c>
      <c r="J362" t="s">
        <v>3</v>
      </c>
      <c r="K362" t="s">
        <v>667</v>
      </c>
      <c r="L362">
        <v>1355</v>
      </c>
      <c r="N362">
        <v>1010</v>
      </c>
      <c r="O362" t="s">
        <v>67</v>
      </c>
      <c r="P362" t="s">
        <v>67</v>
      </c>
      <c r="Q362">
        <v>100</v>
      </c>
      <c r="X362">
        <v>2.02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119</v>
      </c>
      <c r="AG362">
        <v>2.02</v>
      </c>
      <c r="AH362">
        <v>3</v>
      </c>
      <c r="AI362">
        <v>-1</v>
      </c>
      <c r="AJ362" t="s">
        <v>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ROW(Source!A244)</f>
        <v>244</v>
      </c>
      <c r="B363">
        <v>57249452</v>
      </c>
      <c r="C363">
        <v>57249448</v>
      </c>
      <c r="D363">
        <v>54702434</v>
      </c>
      <c r="E363">
        <v>1081</v>
      </c>
      <c r="F363">
        <v>1</v>
      </c>
      <c r="G363">
        <v>1081</v>
      </c>
      <c r="H363">
        <v>1</v>
      </c>
      <c r="I363" t="s">
        <v>457</v>
      </c>
      <c r="J363" t="s">
        <v>3</v>
      </c>
      <c r="K363" t="s">
        <v>458</v>
      </c>
      <c r="L363">
        <v>1191</v>
      </c>
      <c r="N363">
        <v>1013</v>
      </c>
      <c r="O363" t="s">
        <v>459</v>
      </c>
      <c r="P363" t="s">
        <v>459</v>
      </c>
      <c r="Q363">
        <v>1</v>
      </c>
      <c r="X363">
        <v>15.93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  <c r="AE363">
        <v>1</v>
      </c>
      <c r="AF363" t="s">
        <v>120</v>
      </c>
      <c r="AG363">
        <v>19.116</v>
      </c>
      <c r="AH363">
        <v>2</v>
      </c>
      <c r="AI363">
        <v>57249449</v>
      </c>
      <c r="AJ363">
        <v>293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ROW(Source!A244)</f>
        <v>244</v>
      </c>
      <c r="B364">
        <v>57249453</v>
      </c>
      <c r="C364">
        <v>57249448</v>
      </c>
      <c r="D364">
        <v>54706430</v>
      </c>
      <c r="E364">
        <v>1081</v>
      </c>
      <c r="F364">
        <v>1</v>
      </c>
      <c r="G364">
        <v>1081</v>
      </c>
      <c r="H364">
        <v>3</v>
      </c>
      <c r="I364" t="s">
        <v>660</v>
      </c>
      <c r="J364" t="s">
        <v>3</v>
      </c>
      <c r="K364" t="s">
        <v>668</v>
      </c>
      <c r="L364">
        <v>1301</v>
      </c>
      <c r="N364">
        <v>1003</v>
      </c>
      <c r="O364" t="s">
        <v>341</v>
      </c>
      <c r="P364" t="s">
        <v>341</v>
      </c>
      <c r="Q364">
        <v>1</v>
      </c>
      <c r="X364">
        <v>102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119</v>
      </c>
      <c r="AG364">
        <v>102</v>
      </c>
      <c r="AH364">
        <v>3</v>
      </c>
      <c r="AI364">
        <v>-1</v>
      </c>
      <c r="AJ364" t="s">
        <v>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ROW(Source!A244)</f>
        <v>244</v>
      </c>
      <c r="B365">
        <v>57249454</v>
      </c>
      <c r="C365">
        <v>57249448</v>
      </c>
      <c r="D365">
        <v>54709657</v>
      </c>
      <c r="E365">
        <v>1081</v>
      </c>
      <c r="F365">
        <v>1</v>
      </c>
      <c r="G365">
        <v>1081</v>
      </c>
      <c r="H365">
        <v>3</v>
      </c>
      <c r="I365" t="s">
        <v>669</v>
      </c>
      <c r="J365" t="s">
        <v>3</v>
      </c>
      <c r="K365" t="s">
        <v>670</v>
      </c>
      <c r="L365">
        <v>1354</v>
      </c>
      <c r="N365">
        <v>1010</v>
      </c>
      <c r="O365" t="s">
        <v>228</v>
      </c>
      <c r="P365" t="s">
        <v>228</v>
      </c>
      <c r="Q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119</v>
      </c>
      <c r="AG365">
        <v>0</v>
      </c>
      <c r="AH365">
        <v>3</v>
      </c>
      <c r="AI365">
        <v>-1</v>
      </c>
      <c r="AJ365" t="s">
        <v>3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ROW(Source!A244)</f>
        <v>244</v>
      </c>
      <c r="B366">
        <v>57249455</v>
      </c>
      <c r="C366">
        <v>57249448</v>
      </c>
      <c r="D366">
        <v>54710225</v>
      </c>
      <c r="E366">
        <v>1081</v>
      </c>
      <c r="F366">
        <v>1</v>
      </c>
      <c r="G366">
        <v>1081</v>
      </c>
      <c r="H366">
        <v>3</v>
      </c>
      <c r="I366" t="s">
        <v>671</v>
      </c>
      <c r="J366" t="s">
        <v>3</v>
      </c>
      <c r="K366" t="s">
        <v>672</v>
      </c>
      <c r="L366">
        <v>1354</v>
      </c>
      <c r="N366">
        <v>1010</v>
      </c>
      <c r="O366" t="s">
        <v>228</v>
      </c>
      <c r="P366" t="s">
        <v>228</v>
      </c>
      <c r="Q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119</v>
      </c>
      <c r="AG366">
        <v>0</v>
      </c>
      <c r="AH366">
        <v>3</v>
      </c>
      <c r="AI366">
        <v>-1</v>
      </c>
      <c r="AJ366" t="s">
        <v>3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ROW(Source!A245)</f>
        <v>245</v>
      </c>
      <c r="B367">
        <v>57249452</v>
      </c>
      <c r="C367">
        <v>57249448</v>
      </c>
      <c r="D367">
        <v>54702434</v>
      </c>
      <c r="E367">
        <v>1081</v>
      </c>
      <c r="F367">
        <v>1</v>
      </c>
      <c r="G367">
        <v>1081</v>
      </c>
      <c r="H367">
        <v>1</v>
      </c>
      <c r="I367" t="s">
        <v>457</v>
      </c>
      <c r="J367" t="s">
        <v>3</v>
      </c>
      <c r="K367" t="s">
        <v>458</v>
      </c>
      <c r="L367">
        <v>1191</v>
      </c>
      <c r="N367">
        <v>1013</v>
      </c>
      <c r="O367" t="s">
        <v>459</v>
      </c>
      <c r="P367" t="s">
        <v>459</v>
      </c>
      <c r="Q367">
        <v>1</v>
      </c>
      <c r="X367">
        <v>15.93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120</v>
      </c>
      <c r="AG367">
        <v>19.116</v>
      </c>
      <c r="AH367">
        <v>2</v>
      </c>
      <c r="AI367">
        <v>57249449</v>
      </c>
      <c r="AJ367">
        <v>296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ROW(Source!A245)</f>
        <v>245</v>
      </c>
      <c r="B368">
        <v>57249453</v>
      </c>
      <c r="C368">
        <v>57249448</v>
      </c>
      <c r="D368">
        <v>54706430</v>
      </c>
      <c r="E368">
        <v>1081</v>
      </c>
      <c r="F368">
        <v>1</v>
      </c>
      <c r="G368">
        <v>1081</v>
      </c>
      <c r="H368">
        <v>3</v>
      </c>
      <c r="I368" t="s">
        <v>660</v>
      </c>
      <c r="J368" t="s">
        <v>3</v>
      </c>
      <c r="K368" t="s">
        <v>668</v>
      </c>
      <c r="L368">
        <v>1301</v>
      </c>
      <c r="N368">
        <v>1003</v>
      </c>
      <c r="O368" t="s">
        <v>341</v>
      </c>
      <c r="P368" t="s">
        <v>341</v>
      </c>
      <c r="Q368">
        <v>1</v>
      </c>
      <c r="X368">
        <v>102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119</v>
      </c>
      <c r="AG368">
        <v>102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ROW(Source!A245)</f>
        <v>245</v>
      </c>
      <c r="B369">
        <v>57249454</v>
      </c>
      <c r="C369">
        <v>57249448</v>
      </c>
      <c r="D369">
        <v>54709657</v>
      </c>
      <c r="E369">
        <v>1081</v>
      </c>
      <c r="F369">
        <v>1</v>
      </c>
      <c r="G369">
        <v>1081</v>
      </c>
      <c r="H369">
        <v>3</v>
      </c>
      <c r="I369" t="s">
        <v>669</v>
      </c>
      <c r="J369" t="s">
        <v>3</v>
      </c>
      <c r="K369" t="s">
        <v>670</v>
      </c>
      <c r="L369">
        <v>1354</v>
      </c>
      <c r="N369">
        <v>1010</v>
      </c>
      <c r="O369" t="s">
        <v>228</v>
      </c>
      <c r="P369" t="s">
        <v>228</v>
      </c>
      <c r="Q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119</v>
      </c>
      <c r="AG369">
        <v>0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ROW(Source!A245)</f>
        <v>245</v>
      </c>
      <c r="B370">
        <v>57249455</v>
      </c>
      <c r="C370">
        <v>57249448</v>
      </c>
      <c r="D370">
        <v>54710225</v>
      </c>
      <c r="E370">
        <v>1081</v>
      </c>
      <c r="F370">
        <v>1</v>
      </c>
      <c r="G370">
        <v>1081</v>
      </c>
      <c r="H370">
        <v>3</v>
      </c>
      <c r="I370" t="s">
        <v>671</v>
      </c>
      <c r="J370" t="s">
        <v>3</v>
      </c>
      <c r="K370" t="s">
        <v>672</v>
      </c>
      <c r="L370">
        <v>1354</v>
      </c>
      <c r="N370">
        <v>1010</v>
      </c>
      <c r="O370" t="s">
        <v>228</v>
      </c>
      <c r="P370" t="s">
        <v>228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119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ROW(Source!A250)</f>
        <v>250</v>
      </c>
      <c r="B371">
        <v>57250137</v>
      </c>
      <c r="C371">
        <v>57250136</v>
      </c>
      <c r="D371">
        <v>54702434</v>
      </c>
      <c r="E371">
        <v>1081</v>
      </c>
      <c r="F371">
        <v>1</v>
      </c>
      <c r="G371">
        <v>1081</v>
      </c>
      <c r="H371">
        <v>1</v>
      </c>
      <c r="I371" t="s">
        <v>457</v>
      </c>
      <c r="J371" t="s">
        <v>3</v>
      </c>
      <c r="K371" t="s">
        <v>458</v>
      </c>
      <c r="L371">
        <v>1191</v>
      </c>
      <c r="N371">
        <v>1013</v>
      </c>
      <c r="O371" t="s">
        <v>459</v>
      </c>
      <c r="P371" t="s">
        <v>459</v>
      </c>
      <c r="Q371">
        <v>1</v>
      </c>
      <c r="X371">
        <v>24.76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120</v>
      </c>
      <c r="AG371">
        <v>29.712</v>
      </c>
      <c r="AH371">
        <v>2</v>
      </c>
      <c r="AI371">
        <v>57250137</v>
      </c>
      <c r="AJ371">
        <v>299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ROW(Source!A250)</f>
        <v>250</v>
      </c>
      <c r="B372">
        <v>57250138</v>
      </c>
      <c r="C372">
        <v>57250136</v>
      </c>
      <c r="D372">
        <v>54768393</v>
      </c>
      <c r="E372">
        <v>1</v>
      </c>
      <c r="F372">
        <v>1</v>
      </c>
      <c r="G372">
        <v>1081</v>
      </c>
      <c r="H372">
        <v>2</v>
      </c>
      <c r="I372" t="s">
        <v>510</v>
      </c>
      <c r="J372" t="s">
        <v>511</v>
      </c>
      <c r="K372" t="s">
        <v>512</v>
      </c>
      <c r="L372">
        <v>1368</v>
      </c>
      <c r="N372">
        <v>1011</v>
      </c>
      <c r="O372" t="s">
        <v>463</v>
      </c>
      <c r="P372" t="s">
        <v>463</v>
      </c>
      <c r="Q372">
        <v>1</v>
      </c>
      <c r="X372">
        <v>2.44</v>
      </c>
      <c r="Y372">
        <v>0</v>
      </c>
      <c r="Z372">
        <v>0.77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120</v>
      </c>
      <c r="AG372">
        <v>2.9279999999999999</v>
      </c>
      <c r="AH372">
        <v>2</v>
      </c>
      <c r="AI372">
        <v>57250138</v>
      </c>
      <c r="AJ372">
        <v>300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ROW(Source!A250)</f>
        <v>250</v>
      </c>
      <c r="B373">
        <v>57250139</v>
      </c>
      <c r="C373">
        <v>57250136</v>
      </c>
      <c r="D373">
        <v>54768426</v>
      </c>
      <c r="E373">
        <v>1</v>
      </c>
      <c r="F373">
        <v>1</v>
      </c>
      <c r="G373">
        <v>1081</v>
      </c>
      <c r="H373">
        <v>2</v>
      </c>
      <c r="I373" t="s">
        <v>485</v>
      </c>
      <c r="J373" t="s">
        <v>486</v>
      </c>
      <c r="K373" t="s">
        <v>487</v>
      </c>
      <c r="L373">
        <v>1368</v>
      </c>
      <c r="N373">
        <v>1011</v>
      </c>
      <c r="O373" t="s">
        <v>463</v>
      </c>
      <c r="P373" t="s">
        <v>463</v>
      </c>
      <c r="Q373">
        <v>1</v>
      </c>
      <c r="X373">
        <v>4.63</v>
      </c>
      <c r="Y373">
        <v>0</v>
      </c>
      <c r="Z373">
        <v>0.47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120</v>
      </c>
      <c r="AG373">
        <v>5.556</v>
      </c>
      <c r="AH373">
        <v>2</v>
      </c>
      <c r="AI373">
        <v>57250139</v>
      </c>
      <c r="AJ373">
        <v>301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ROW(Source!A250)</f>
        <v>250</v>
      </c>
      <c r="B374">
        <v>57250140</v>
      </c>
      <c r="C374">
        <v>57250136</v>
      </c>
      <c r="D374">
        <v>54760333</v>
      </c>
      <c r="E374">
        <v>1</v>
      </c>
      <c r="F374">
        <v>1</v>
      </c>
      <c r="G374">
        <v>1081</v>
      </c>
      <c r="H374">
        <v>3</v>
      </c>
      <c r="I374" t="s">
        <v>543</v>
      </c>
      <c r="J374" t="s">
        <v>544</v>
      </c>
      <c r="K374" t="s">
        <v>545</v>
      </c>
      <c r="L374">
        <v>1356</v>
      </c>
      <c r="N374">
        <v>1010</v>
      </c>
      <c r="O374" t="s">
        <v>348</v>
      </c>
      <c r="P374" t="s">
        <v>348</v>
      </c>
      <c r="Q374">
        <v>1000</v>
      </c>
      <c r="X374">
        <v>3.1E-2</v>
      </c>
      <c r="Y374">
        <v>226.66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119</v>
      </c>
      <c r="AG374">
        <v>3.1E-2</v>
      </c>
      <c r="AH374">
        <v>2</v>
      </c>
      <c r="AI374">
        <v>57250140</v>
      </c>
      <c r="AJ374">
        <v>303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ROW(Source!A250)</f>
        <v>250</v>
      </c>
      <c r="B375">
        <v>57250141</v>
      </c>
      <c r="C375">
        <v>57250136</v>
      </c>
      <c r="D375">
        <v>54760107</v>
      </c>
      <c r="E375">
        <v>1</v>
      </c>
      <c r="F375">
        <v>1</v>
      </c>
      <c r="G375">
        <v>1081</v>
      </c>
      <c r="H375">
        <v>3</v>
      </c>
      <c r="I375" t="s">
        <v>546</v>
      </c>
      <c r="J375" t="s">
        <v>547</v>
      </c>
      <c r="K375" t="s">
        <v>548</v>
      </c>
      <c r="L375">
        <v>1355</v>
      </c>
      <c r="N375">
        <v>1010</v>
      </c>
      <c r="O375" t="s">
        <v>67</v>
      </c>
      <c r="P375" t="s">
        <v>67</v>
      </c>
      <c r="Q375">
        <v>100</v>
      </c>
      <c r="X375">
        <v>0.315</v>
      </c>
      <c r="Y375">
        <v>26.71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119</v>
      </c>
      <c r="AG375">
        <v>0.315</v>
      </c>
      <c r="AH375">
        <v>2</v>
      </c>
      <c r="AI375">
        <v>57250141</v>
      </c>
      <c r="AJ375">
        <v>305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ROW(Source!A250)</f>
        <v>250</v>
      </c>
      <c r="B376">
        <v>57250142</v>
      </c>
      <c r="C376">
        <v>57250136</v>
      </c>
      <c r="D376">
        <v>54747393</v>
      </c>
      <c r="E376">
        <v>1</v>
      </c>
      <c r="F376">
        <v>1</v>
      </c>
      <c r="G376">
        <v>1081</v>
      </c>
      <c r="H376">
        <v>3</v>
      </c>
      <c r="I376" t="s">
        <v>549</v>
      </c>
      <c r="J376" t="s">
        <v>550</v>
      </c>
      <c r="K376" t="s">
        <v>551</v>
      </c>
      <c r="L376">
        <v>1354</v>
      </c>
      <c r="N376">
        <v>1010</v>
      </c>
      <c r="O376" t="s">
        <v>228</v>
      </c>
      <c r="P376" t="s">
        <v>228</v>
      </c>
      <c r="Q376">
        <v>1</v>
      </c>
      <c r="X376">
        <v>0.28000000000000003</v>
      </c>
      <c r="Y376">
        <v>14.22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119</v>
      </c>
      <c r="AG376">
        <v>0.28000000000000003</v>
      </c>
      <c r="AH376">
        <v>2</v>
      </c>
      <c r="AI376">
        <v>57250142</v>
      </c>
      <c r="AJ376">
        <v>307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ROW(Source!A250)</f>
        <v>250</v>
      </c>
      <c r="B377">
        <v>57250143</v>
      </c>
      <c r="C377">
        <v>57250136</v>
      </c>
      <c r="D377">
        <v>54706435</v>
      </c>
      <c r="E377">
        <v>1081</v>
      </c>
      <c r="F377">
        <v>1</v>
      </c>
      <c r="G377">
        <v>1081</v>
      </c>
      <c r="H377">
        <v>3</v>
      </c>
      <c r="I377" t="s">
        <v>660</v>
      </c>
      <c r="J377" t="s">
        <v>3</v>
      </c>
      <c r="K377" t="s">
        <v>661</v>
      </c>
      <c r="L377">
        <v>1301</v>
      </c>
      <c r="N377">
        <v>1003</v>
      </c>
      <c r="O377" t="s">
        <v>341</v>
      </c>
      <c r="P377" t="s">
        <v>341</v>
      </c>
      <c r="Q377">
        <v>1</v>
      </c>
      <c r="X377">
        <v>102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119</v>
      </c>
      <c r="AG377">
        <v>102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ROW(Source!A250)</f>
        <v>250</v>
      </c>
      <c r="B378">
        <v>57250144</v>
      </c>
      <c r="C378">
        <v>57250136</v>
      </c>
      <c r="D378">
        <v>54711690</v>
      </c>
      <c r="E378">
        <v>1081</v>
      </c>
      <c r="F378">
        <v>1</v>
      </c>
      <c r="G378">
        <v>1081</v>
      </c>
      <c r="H378">
        <v>3</v>
      </c>
      <c r="I378" t="s">
        <v>662</v>
      </c>
      <c r="J378" t="s">
        <v>3</v>
      </c>
      <c r="K378" t="s">
        <v>663</v>
      </c>
      <c r="L378">
        <v>1356</v>
      </c>
      <c r="N378">
        <v>1010</v>
      </c>
      <c r="O378" t="s">
        <v>348</v>
      </c>
      <c r="P378" t="s">
        <v>348</v>
      </c>
      <c r="Q378">
        <v>1000</v>
      </c>
      <c r="X378">
        <v>0.23799999999999999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119</v>
      </c>
      <c r="AG378">
        <v>0.23799999999999999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ROW(Source!A250)</f>
        <v>250</v>
      </c>
      <c r="B379">
        <v>57250145</v>
      </c>
      <c r="C379">
        <v>57250136</v>
      </c>
      <c r="D379">
        <v>54717077</v>
      </c>
      <c r="E379">
        <v>1081</v>
      </c>
      <c r="F379">
        <v>1</v>
      </c>
      <c r="G379">
        <v>1081</v>
      </c>
      <c r="H379">
        <v>3</v>
      </c>
      <c r="I379" t="s">
        <v>664</v>
      </c>
      <c r="J379" t="s">
        <v>3</v>
      </c>
      <c r="K379" t="s">
        <v>665</v>
      </c>
      <c r="L379">
        <v>1303</v>
      </c>
      <c r="N379">
        <v>1003</v>
      </c>
      <c r="O379" t="s">
        <v>390</v>
      </c>
      <c r="P379" t="s">
        <v>390</v>
      </c>
      <c r="Q379">
        <v>1000</v>
      </c>
      <c r="X379">
        <v>0.10199999999999999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119</v>
      </c>
      <c r="AG379">
        <v>0.10199999999999999</v>
      </c>
      <c r="AH379">
        <v>3</v>
      </c>
      <c r="AI379">
        <v>-1</v>
      </c>
      <c r="AJ379" t="s">
        <v>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ROW(Source!A250)</f>
        <v>250</v>
      </c>
      <c r="B380">
        <v>57250146</v>
      </c>
      <c r="C380">
        <v>57250136</v>
      </c>
      <c r="D380">
        <v>54725934</v>
      </c>
      <c r="E380">
        <v>1081</v>
      </c>
      <c r="F380">
        <v>1</v>
      </c>
      <c r="G380">
        <v>1081</v>
      </c>
      <c r="H380">
        <v>3</v>
      </c>
      <c r="I380" t="s">
        <v>666</v>
      </c>
      <c r="J380" t="s">
        <v>3</v>
      </c>
      <c r="K380" t="s">
        <v>667</v>
      </c>
      <c r="L380">
        <v>1355</v>
      </c>
      <c r="N380">
        <v>1010</v>
      </c>
      <c r="O380" t="s">
        <v>67</v>
      </c>
      <c r="P380" t="s">
        <v>67</v>
      </c>
      <c r="Q380">
        <v>100</v>
      </c>
      <c r="X380">
        <v>2.36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 t="s">
        <v>119</v>
      </c>
      <c r="AG380">
        <v>2.36</v>
      </c>
      <c r="AH380">
        <v>3</v>
      </c>
      <c r="AI380">
        <v>-1</v>
      </c>
      <c r="AJ380" t="s">
        <v>3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ROW(Source!A251)</f>
        <v>251</v>
      </c>
      <c r="B381">
        <v>57250137</v>
      </c>
      <c r="C381">
        <v>57250136</v>
      </c>
      <c r="D381">
        <v>54702434</v>
      </c>
      <c r="E381">
        <v>1081</v>
      </c>
      <c r="F381">
        <v>1</v>
      </c>
      <c r="G381">
        <v>1081</v>
      </c>
      <c r="H381">
        <v>1</v>
      </c>
      <c r="I381" t="s">
        <v>457</v>
      </c>
      <c r="J381" t="s">
        <v>3</v>
      </c>
      <c r="K381" t="s">
        <v>458</v>
      </c>
      <c r="L381">
        <v>1191</v>
      </c>
      <c r="N381">
        <v>1013</v>
      </c>
      <c r="O381" t="s">
        <v>459</v>
      </c>
      <c r="P381" t="s">
        <v>459</v>
      </c>
      <c r="Q381">
        <v>1</v>
      </c>
      <c r="X381">
        <v>24.76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1</v>
      </c>
      <c r="AF381" t="s">
        <v>120</v>
      </c>
      <c r="AG381">
        <v>29.712</v>
      </c>
      <c r="AH381">
        <v>2</v>
      </c>
      <c r="AI381">
        <v>57250137</v>
      </c>
      <c r="AJ381">
        <v>308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ROW(Source!A251)</f>
        <v>251</v>
      </c>
      <c r="B382">
        <v>57250138</v>
      </c>
      <c r="C382">
        <v>57250136</v>
      </c>
      <c r="D382">
        <v>54768393</v>
      </c>
      <c r="E382">
        <v>1</v>
      </c>
      <c r="F382">
        <v>1</v>
      </c>
      <c r="G382">
        <v>1081</v>
      </c>
      <c r="H382">
        <v>2</v>
      </c>
      <c r="I382" t="s">
        <v>510</v>
      </c>
      <c r="J382" t="s">
        <v>511</v>
      </c>
      <c r="K382" t="s">
        <v>512</v>
      </c>
      <c r="L382">
        <v>1368</v>
      </c>
      <c r="N382">
        <v>1011</v>
      </c>
      <c r="O382" t="s">
        <v>463</v>
      </c>
      <c r="P382" t="s">
        <v>463</v>
      </c>
      <c r="Q382">
        <v>1</v>
      </c>
      <c r="X382">
        <v>2.44</v>
      </c>
      <c r="Y382">
        <v>0</v>
      </c>
      <c r="Z382">
        <v>0.77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120</v>
      </c>
      <c r="AG382">
        <v>2.9279999999999999</v>
      </c>
      <c r="AH382">
        <v>2</v>
      </c>
      <c r="AI382">
        <v>57250138</v>
      </c>
      <c r="AJ382">
        <v>309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ROW(Source!A251)</f>
        <v>251</v>
      </c>
      <c r="B383">
        <v>57250139</v>
      </c>
      <c r="C383">
        <v>57250136</v>
      </c>
      <c r="D383">
        <v>54768426</v>
      </c>
      <c r="E383">
        <v>1</v>
      </c>
      <c r="F383">
        <v>1</v>
      </c>
      <c r="G383">
        <v>1081</v>
      </c>
      <c r="H383">
        <v>2</v>
      </c>
      <c r="I383" t="s">
        <v>485</v>
      </c>
      <c r="J383" t="s">
        <v>486</v>
      </c>
      <c r="K383" t="s">
        <v>487</v>
      </c>
      <c r="L383">
        <v>1368</v>
      </c>
      <c r="N383">
        <v>1011</v>
      </c>
      <c r="O383" t="s">
        <v>463</v>
      </c>
      <c r="P383" t="s">
        <v>463</v>
      </c>
      <c r="Q383">
        <v>1</v>
      </c>
      <c r="X383">
        <v>4.63</v>
      </c>
      <c r="Y383">
        <v>0</v>
      </c>
      <c r="Z383">
        <v>0.47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120</v>
      </c>
      <c r="AG383">
        <v>5.556</v>
      </c>
      <c r="AH383">
        <v>2</v>
      </c>
      <c r="AI383">
        <v>57250139</v>
      </c>
      <c r="AJ383">
        <v>310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ROW(Source!A251)</f>
        <v>251</v>
      </c>
      <c r="B384">
        <v>57250140</v>
      </c>
      <c r="C384">
        <v>57250136</v>
      </c>
      <c r="D384">
        <v>54760333</v>
      </c>
      <c r="E384">
        <v>1</v>
      </c>
      <c r="F384">
        <v>1</v>
      </c>
      <c r="G384">
        <v>1081</v>
      </c>
      <c r="H384">
        <v>3</v>
      </c>
      <c r="I384" t="s">
        <v>543</v>
      </c>
      <c r="J384" t="s">
        <v>544</v>
      </c>
      <c r="K384" t="s">
        <v>545</v>
      </c>
      <c r="L384">
        <v>1356</v>
      </c>
      <c r="N384">
        <v>1010</v>
      </c>
      <c r="O384" t="s">
        <v>348</v>
      </c>
      <c r="P384" t="s">
        <v>348</v>
      </c>
      <c r="Q384">
        <v>1000</v>
      </c>
      <c r="X384">
        <v>3.1E-2</v>
      </c>
      <c r="Y384">
        <v>226.66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119</v>
      </c>
      <c r="AG384">
        <v>3.1E-2</v>
      </c>
      <c r="AH384">
        <v>2</v>
      </c>
      <c r="AI384">
        <v>57250140</v>
      </c>
      <c r="AJ384">
        <v>312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ROW(Source!A251)</f>
        <v>251</v>
      </c>
      <c r="B385">
        <v>57250141</v>
      </c>
      <c r="C385">
        <v>57250136</v>
      </c>
      <c r="D385">
        <v>54760107</v>
      </c>
      <c r="E385">
        <v>1</v>
      </c>
      <c r="F385">
        <v>1</v>
      </c>
      <c r="G385">
        <v>1081</v>
      </c>
      <c r="H385">
        <v>3</v>
      </c>
      <c r="I385" t="s">
        <v>546</v>
      </c>
      <c r="J385" t="s">
        <v>547</v>
      </c>
      <c r="K385" t="s">
        <v>548</v>
      </c>
      <c r="L385">
        <v>1355</v>
      </c>
      <c r="N385">
        <v>1010</v>
      </c>
      <c r="O385" t="s">
        <v>67</v>
      </c>
      <c r="P385" t="s">
        <v>67</v>
      </c>
      <c r="Q385">
        <v>100</v>
      </c>
      <c r="X385">
        <v>0.315</v>
      </c>
      <c r="Y385">
        <v>26.71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 t="s">
        <v>119</v>
      </c>
      <c r="AG385">
        <v>0.315</v>
      </c>
      <c r="AH385">
        <v>2</v>
      </c>
      <c r="AI385">
        <v>57250141</v>
      </c>
      <c r="AJ385">
        <v>314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ROW(Source!A251)</f>
        <v>251</v>
      </c>
      <c r="B386">
        <v>57250142</v>
      </c>
      <c r="C386">
        <v>57250136</v>
      </c>
      <c r="D386">
        <v>54747393</v>
      </c>
      <c r="E386">
        <v>1</v>
      </c>
      <c r="F386">
        <v>1</v>
      </c>
      <c r="G386">
        <v>1081</v>
      </c>
      <c r="H386">
        <v>3</v>
      </c>
      <c r="I386" t="s">
        <v>549</v>
      </c>
      <c r="J386" t="s">
        <v>550</v>
      </c>
      <c r="K386" t="s">
        <v>551</v>
      </c>
      <c r="L386">
        <v>1354</v>
      </c>
      <c r="N386">
        <v>1010</v>
      </c>
      <c r="O386" t="s">
        <v>228</v>
      </c>
      <c r="P386" t="s">
        <v>228</v>
      </c>
      <c r="Q386">
        <v>1</v>
      </c>
      <c r="X386">
        <v>0.28000000000000003</v>
      </c>
      <c r="Y386">
        <v>14.22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0</v>
      </c>
      <c r="AF386" t="s">
        <v>119</v>
      </c>
      <c r="AG386">
        <v>0.28000000000000003</v>
      </c>
      <c r="AH386">
        <v>2</v>
      </c>
      <c r="AI386">
        <v>57250142</v>
      </c>
      <c r="AJ386">
        <v>316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ROW(Source!A251)</f>
        <v>251</v>
      </c>
      <c r="B387">
        <v>57250143</v>
      </c>
      <c r="C387">
        <v>57250136</v>
      </c>
      <c r="D387">
        <v>54706435</v>
      </c>
      <c r="E387">
        <v>1081</v>
      </c>
      <c r="F387">
        <v>1</v>
      </c>
      <c r="G387">
        <v>1081</v>
      </c>
      <c r="H387">
        <v>3</v>
      </c>
      <c r="I387" t="s">
        <v>660</v>
      </c>
      <c r="J387" t="s">
        <v>3</v>
      </c>
      <c r="K387" t="s">
        <v>661</v>
      </c>
      <c r="L387">
        <v>1301</v>
      </c>
      <c r="N387">
        <v>1003</v>
      </c>
      <c r="O387" t="s">
        <v>341</v>
      </c>
      <c r="P387" t="s">
        <v>341</v>
      </c>
      <c r="Q387">
        <v>1</v>
      </c>
      <c r="X387">
        <v>102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 t="s">
        <v>119</v>
      </c>
      <c r="AG387">
        <v>102</v>
      </c>
      <c r="AH387">
        <v>3</v>
      </c>
      <c r="AI387">
        <v>-1</v>
      </c>
      <c r="AJ387" t="s">
        <v>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ROW(Source!A251)</f>
        <v>251</v>
      </c>
      <c r="B388">
        <v>57250144</v>
      </c>
      <c r="C388">
        <v>57250136</v>
      </c>
      <c r="D388">
        <v>54711690</v>
      </c>
      <c r="E388">
        <v>1081</v>
      </c>
      <c r="F388">
        <v>1</v>
      </c>
      <c r="G388">
        <v>1081</v>
      </c>
      <c r="H388">
        <v>3</v>
      </c>
      <c r="I388" t="s">
        <v>662</v>
      </c>
      <c r="J388" t="s">
        <v>3</v>
      </c>
      <c r="K388" t="s">
        <v>663</v>
      </c>
      <c r="L388">
        <v>1356</v>
      </c>
      <c r="N388">
        <v>1010</v>
      </c>
      <c r="O388" t="s">
        <v>348</v>
      </c>
      <c r="P388" t="s">
        <v>348</v>
      </c>
      <c r="Q388">
        <v>1000</v>
      </c>
      <c r="X388">
        <v>0.23799999999999999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119</v>
      </c>
      <c r="AG388">
        <v>0.23799999999999999</v>
      </c>
      <c r="AH388">
        <v>3</v>
      </c>
      <c r="AI388">
        <v>-1</v>
      </c>
      <c r="AJ388" t="s">
        <v>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ROW(Source!A251)</f>
        <v>251</v>
      </c>
      <c r="B389">
        <v>57250145</v>
      </c>
      <c r="C389">
        <v>57250136</v>
      </c>
      <c r="D389">
        <v>54717077</v>
      </c>
      <c r="E389">
        <v>1081</v>
      </c>
      <c r="F389">
        <v>1</v>
      </c>
      <c r="G389">
        <v>1081</v>
      </c>
      <c r="H389">
        <v>3</v>
      </c>
      <c r="I389" t="s">
        <v>664</v>
      </c>
      <c r="J389" t="s">
        <v>3</v>
      </c>
      <c r="K389" t="s">
        <v>665</v>
      </c>
      <c r="L389">
        <v>1303</v>
      </c>
      <c r="N389">
        <v>1003</v>
      </c>
      <c r="O389" t="s">
        <v>390</v>
      </c>
      <c r="P389" t="s">
        <v>390</v>
      </c>
      <c r="Q389">
        <v>1000</v>
      </c>
      <c r="X389">
        <v>0.10199999999999999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 t="s">
        <v>119</v>
      </c>
      <c r="AG389">
        <v>0.10199999999999999</v>
      </c>
      <c r="AH389">
        <v>3</v>
      </c>
      <c r="AI389">
        <v>-1</v>
      </c>
      <c r="AJ389" t="s">
        <v>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ROW(Source!A251)</f>
        <v>251</v>
      </c>
      <c r="B390">
        <v>57250146</v>
      </c>
      <c r="C390">
        <v>57250136</v>
      </c>
      <c r="D390">
        <v>54725934</v>
      </c>
      <c r="E390">
        <v>1081</v>
      </c>
      <c r="F390">
        <v>1</v>
      </c>
      <c r="G390">
        <v>1081</v>
      </c>
      <c r="H390">
        <v>3</v>
      </c>
      <c r="I390" t="s">
        <v>666</v>
      </c>
      <c r="J390" t="s">
        <v>3</v>
      </c>
      <c r="K390" t="s">
        <v>667</v>
      </c>
      <c r="L390">
        <v>1355</v>
      </c>
      <c r="N390">
        <v>1010</v>
      </c>
      <c r="O390" t="s">
        <v>67</v>
      </c>
      <c r="P390" t="s">
        <v>67</v>
      </c>
      <c r="Q390">
        <v>100</v>
      </c>
      <c r="X390">
        <v>2.36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119</v>
      </c>
      <c r="AG390">
        <v>2.36</v>
      </c>
      <c r="AH390">
        <v>3</v>
      </c>
      <c r="AI390">
        <v>-1</v>
      </c>
      <c r="AJ390" t="s">
        <v>3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ROW(Source!A258)</f>
        <v>258</v>
      </c>
      <c r="B391">
        <v>57251398</v>
      </c>
      <c r="C391">
        <v>57251397</v>
      </c>
      <c r="D391">
        <v>54702434</v>
      </c>
      <c r="E391">
        <v>1081</v>
      </c>
      <c r="F391">
        <v>1</v>
      </c>
      <c r="G391">
        <v>1081</v>
      </c>
      <c r="H391">
        <v>1</v>
      </c>
      <c r="I391" t="s">
        <v>457</v>
      </c>
      <c r="J391" t="s">
        <v>3</v>
      </c>
      <c r="K391" t="s">
        <v>458</v>
      </c>
      <c r="L391">
        <v>1191</v>
      </c>
      <c r="N391">
        <v>1013</v>
      </c>
      <c r="O391" t="s">
        <v>459</v>
      </c>
      <c r="P391" t="s">
        <v>459</v>
      </c>
      <c r="Q391">
        <v>1</v>
      </c>
      <c r="X391">
        <v>5.29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1</v>
      </c>
      <c r="AF391" t="s">
        <v>120</v>
      </c>
      <c r="AG391">
        <v>6.3479999999999999</v>
      </c>
      <c r="AH391">
        <v>2</v>
      </c>
      <c r="AI391">
        <v>57251398</v>
      </c>
      <c r="AJ391">
        <v>317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ROW(Source!A258)</f>
        <v>258</v>
      </c>
      <c r="B392">
        <v>57251399</v>
      </c>
      <c r="C392">
        <v>57251397</v>
      </c>
      <c r="D392">
        <v>54768339</v>
      </c>
      <c r="E392">
        <v>1</v>
      </c>
      <c r="F392">
        <v>1</v>
      </c>
      <c r="G392">
        <v>1081</v>
      </c>
      <c r="H392">
        <v>2</v>
      </c>
      <c r="I392" t="s">
        <v>497</v>
      </c>
      <c r="J392" t="s">
        <v>498</v>
      </c>
      <c r="K392" t="s">
        <v>499</v>
      </c>
      <c r="L392">
        <v>1368</v>
      </c>
      <c r="N392">
        <v>1011</v>
      </c>
      <c r="O392" t="s">
        <v>463</v>
      </c>
      <c r="P392" t="s">
        <v>463</v>
      </c>
      <c r="Q392">
        <v>1</v>
      </c>
      <c r="X392">
        <v>0.01</v>
      </c>
      <c r="Y392">
        <v>0</v>
      </c>
      <c r="Z392">
        <v>83.1</v>
      </c>
      <c r="AA392">
        <v>12.62</v>
      </c>
      <c r="AB392">
        <v>0</v>
      </c>
      <c r="AC392">
        <v>0</v>
      </c>
      <c r="AD392">
        <v>1</v>
      </c>
      <c r="AE392">
        <v>0</v>
      </c>
      <c r="AF392" t="s">
        <v>120</v>
      </c>
      <c r="AG392">
        <v>1.2E-2</v>
      </c>
      <c r="AH392">
        <v>2</v>
      </c>
      <c r="AI392">
        <v>57251399</v>
      </c>
      <c r="AJ392">
        <v>318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ROW(Source!A258)</f>
        <v>258</v>
      </c>
      <c r="B393">
        <v>57251400</v>
      </c>
      <c r="C393">
        <v>57251397</v>
      </c>
      <c r="D393">
        <v>54767573</v>
      </c>
      <c r="E393">
        <v>1</v>
      </c>
      <c r="F393">
        <v>1</v>
      </c>
      <c r="G393">
        <v>1081</v>
      </c>
      <c r="H393">
        <v>2</v>
      </c>
      <c r="I393" t="s">
        <v>555</v>
      </c>
      <c r="J393" t="s">
        <v>556</v>
      </c>
      <c r="K393" t="s">
        <v>557</v>
      </c>
      <c r="L393">
        <v>1368</v>
      </c>
      <c r="N393">
        <v>1011</v>
      </c>
      <c r="O393" t="s">
        <v>463</v>
      </c>
      <c r="P393" t="s">
        <v>463</v>
      </c>
      <c r="Q393">
        <v>1</v>
      </c>
      <c r="X393">
        <v>0.01</v>
      </c>
      <c r="Y393">
        <v>0</v>
      </c>
      <c r="Z393">
        <v>179.17</v>
      </c>
      <c r="AA393">
        <v>16.93</v>
      </c>
      <c r="AB393">
        <v>0</v>
      </c>
      <c r="AC393">
        <v>0</v>
      </c>
      <c r="AD393">
        <v>1</v>
      </c>
      <c r="AE393">
        <v>0</v>
      </c>
      <c r="AF393" t="s">
        <v>120</v>
      </c>
      <c r="AG393">
        <v>1.2E-2</v>
      </c>
      <c r="AH393">
        <v>2</v>
      </c>
      <c r="AI393">
        <v>57251400</v>
      </c>
      <c r="AJ393">
        <v>319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ROW(Source!A258)</f>
        <v>258</v>
      </c>
      <c r="B394">
        <v>57251401</v>
      </c>
      <c r="C394">
        <v>57251397</v>
      </c>
      <c r="D394">
        <v>54760289</v>
      </c>
      <c r="E394">
        <v>1</v>
      </c>
      <c r="F394">
        <v>1</v>
      </c>
      <c r="G394">
        <v>1081</v>
      </c>
      <c r="H394">
        <v>3</v>
      </c>
      <c r="I394" t="s">
        <v>558</v>
      </c>
      <c r="J394" t="s">
        <v>559</v>
      </c>
      <c r="K394" t="s">
        <v>560</v>
      </c>
      <c r="L394">
        <v>1355</v>
      </c>
      <c r="N394">
        <v>1010</v>
      </c>
      <c r="O394" t="s">
        <v>67</v>
      </c>
      <c r="P394" t="s">
        <v>67</v>
      </c>
      <c r="Q394">
        <v>100</v>
      </c>
      <c r="X394">
        <v>2.1093999999999999</v>
      </c>
      <c r="Y394">
        <v>59.47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119</v>
      </c>
      <c r="AG394">
        <v>2.1093999999999999</v>
      </c>
      <c r="AH394">
        <v>2</v>
      </c>
      <c r="AI394">
        <v>57251401</v>
      </c>
      <c r="AJ394">
        <v>320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ROW(Source!A258)</f>
        <v>258</v>
      </c>
      <c r="B395">
        <v>57251402</v>
      </c>
      <c r="C395">
        <v>57251397</v>
      </c>
      <c r="D395">
        <v>54760334</v>
      </c>
      <c r="E395">
        <v>1</v>
      </c>
      <c r="F395">
        <v>1</v>
      </c>
      <c r="G395">
        <v>1081</v>
      </c>
      <c r="H395">
        <v>3</v>
      </c>
      <c r="I395" t="s">
        <v>561</v>
      </c>
      <c r="J395" t="s">
        <v>562</v>
      </c>
      <c r="K395" t="s">
        <v>563</v>
      </c>
      <c r="L395">
        <v>1356</v>
      </c>
      <c r="N395">
        <v>1010</v>
      </c>
      <c r="O395" t="s">
        <v>348</v>
      </c>
      <c r="P395" t="s">
        <v>348</v>
      </c>
      <c r="Q395">
        <v>1000</v>
      </c>
      <c r="X395">
        <v>6.8999999999999999E-3</v>
      </c>
      <c r="Y395">
        <v>56.16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119</v>
      </c>
      <c r="AG395">
        <v>6.8999999999999999E-3</v>
      </c>
      <c r="AH395">
        <v>2</v>
      </c>
      <c r="AI395">
        <v>57251402</v>
      </c>
      <c r="AJ395">
        <v>321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ROW(Source!A258)</f>
        <v>258</v>
      </c>
      <c r="B396">
        <v>57251403</v>
      </c>
      <c r="C396">
        <v>57251397</v>
      </c>
      <c r="D396">
        <v>54712635</v>
      </c>
      <c r="E396">
        <v>1081</v>
      </c>
      <c r="F396">
        <v>1</v>
      </c>
      <c r="G396">
        <v>1081</v>
      </c>
      <c r="H396">
        <v>3</v>
      </c>
      <c r="I396" t="s">
        <v>674</v>
      </c>
      <c r="J396" t="s">
        <v>3</v>
      </c>
      <c r="K396" t="s">
        <v>675</v>
      </c>
      <c r="L396">
        <v>1303</v>
      </c>
      <c r="N396">
        <v>1003</v>
      </c>
      <c r="O396" t="s">
        <v>390</v>
      </c>
      <c r="P396" t="s">
        <v>390</v>
      </c>
      <c r="Q396">
        <v>1000</v>
      </c>
      <c r="X396">
        <v>0.10199999999999999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119</v>
      </c>
      <c r="AG396">
        <v>0.10199999999999999</v>
      </c>
      <c r="AH396">
        <v>3</v>
      </c>
      <c r="AI396">
        <v>-1</v>
      </c>
      <c r="AJ396" t="s">
        <v>3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ROW(Source!A259)</f>
        <v>259</v>
      </c>
      <c r="B397">
        <v>57251398</v>
      </c>
      <c r="C397">
        <v>57251397</v>
      </c>
      <c r="D397">
        <v>54702434</v>
      </c>
      <c r="E397">
        <v>1081</v>
      </c>
      <c r="F397">
        <v>1</v>
      </c>
      <c r="G397">
        <v>1081</v>
      </c>
      <c r="H397">
        <v>1</v>
      </c>
      <c r="I397" t="s">
        <v>457</v>
      </c>
      <c r="J397" t="s">
        <v>3</v>
      </c>
      <c r="K397" t="s">
        <v>458</v>
      </c>
      <c r="L397">
        <v>1191</v>
      </c>
      <c r="N397">
        <v>1013</v>
      </c>
      <c r="O397" t="s">
        <v>459</v>
      </c>
      <c r="P397" t="s">
        <v>459</v>
      </c>
      <c r="Q397">
        <v>1</v>
      </c>
      <c r="X397">
        <v>5.29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1</v>
      </c>
      <c r="AF397" t="s">
        <v>120</v>
      </c>
      <c r="AG397">
        <v>6.3479999999999999</v>
      </c>
      <c r="AH397">
        <v>2</v>
      </c>
      <c r="AI397">
        <v>57251398</v>
      </c>
      <c r="AJ397">
        <v>322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ROW(Source!A259)</f>
        <v>259</v>
      </c>
      <c r="B398">
        <v>57251399</v>
      </c>
      <c r="C398">
        <v>57251397</v>
      </c>
      <c r="D398">
        <v>54768339</v>
      </c>
      <c r="E398">
        <v>1</v>
      </c>
      <c r="F398">
        <v>1</v>
      </c>
      <c r="G398">
        <v>1081</v>
      </c>
      <c r="H398">
        <v>2</v>
      </c>
      <c r="I398" t="s">
        <v>497</v>
      </c>
      <c r="J398" t="s">
        <v>498</v>
      </c>
      <c r="K398" t="s">
        <v>499</v>
      </c>
      <c r="L398">
        <v>1368</v>
      </c>
      <c r="N398">
        <v>1011</v>
      </c>
      <c r="O398" t="s">
        <v>463</v>
      </c>
      <c r="P398" t="s">
        <v>463</v>
      </c>
      <c r="Q398">
        <v>1</v>
      </c>
      <c r="X398">
        <v>0.01</v>
      </c>
      <c r="Y398">
        <v>0</v>
      </c>
      <c r="Z398">
        <v>83.1</v>
      </c>
      <c r="AA398">
        <v>12.62</v>
      </c>
      <c r="AB398">
        <v>0</v>
      </c>
      <c r="AC398">
        <v>0</v>
      </c>
      <c r="AD398">
        <v>1</v>
      </c>
      <c r="AE398">
        <v>0</v>
      </c>
      <c r="AF398" t="s">
        <v>120</v>
      </c>
      <c r="AG398">
        <v>1.2E-2</v>
      </c>
      <c r="AH398">
        <v>2</v>
      </c>
      <c r="AI398">
        <v>57251399</v>
      </c>
      <c r="AJ398">
        <v>323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ROW(Source!A259)</f>
        <v>259</v>
      </c>
      <c r="B399">
        <v>57251400</v>
      </c>
      <c r="C399">
        <v>57251397</v>
      </c>
      <c r="D399">
        <v>54767573</v>
      </c>
      <c r="E399">
        <v>1</v>
      </c>
      <c r="F399">
        <v>1</v>
      </c>
      <c r="G399">
        <v>1081</v>
      </c>
      <c r="H399">
        <v>2</v>
      </c>
      <c r="I399" t="s">
        <v>555</v>
      </c>
      <c r="J399" t="s">
        <v>556</v>
      </c>
      <c r="K399" t="s">
        <v>557</v>
      </c>
      <c r="L399">
        <v>1368</v>
      </c>
      <c r="N399">
        <v>1011</v>
      </c>
      <c r="O399" t="s">
        <v>463</v>
      </c>
      <c r="P399" t="s">
        <v>463</v>
      </c>
      <c r="Q399">
        <v>1</v>
      </c>
      <c r="X399">
        <v>0.01</v>
      </c>
      <c r="Y399">
        <v>0</v>
      </c>
      <c r="Z399">
        <v>179.17</v>
      </c>
      <c r="AA399">
        <v>16.93</v>
      </c>
      <c r="AB399">
        <v>0</v>
      </c>
      <c r="AC399">
        <v>0</v>
      </c>
      <c r="AD399">
        <v>1</v>
      </c>
      <c r="AE399">
        <v>0</v>
      </c>
      <c r="AF399" t="s">
        <v>120</v>
      </c>
      <c r="AG399">
        <v>1.2E-2</v>
      </c>
      <c r="AH399">
        <v>2</v>
      </c>
      <c r="AI399">
        <v>57251400</v>
      </c>
      <c r="AJ399">
        <v>324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ROW(Source!A259)</f>
        <v>259</v>
      </c>
      <c r="B400">
        <v>57251401</v>
      </c>
      <c r="C400">
        <v>57251397</v>
      </c>
      <c r="D400">
        <v>54760289</v>
      </c>
      <c r="E400">
        <v>1</v>
      </c>
      <c r="F400">
        <v>1</v>
      </c>
      <c r="G400">
        <v>1081</v>
      </c>
      <c r="H400">
        <v>3</v>
      </c>
      <c r="I400" t="s">
        <v>558</v>
      </c>
      <c r="J400" t="s">
        <v>559</v>
      </c>
      <c r="K400" t="s">
        <v>560</v>
      </c>
      <c r="L400">
        <v>1355</v>
      </c>
      <c r="N400">
        <v>1010</v>
      </c>
      <c r="O400" t="s">
        <v>67</v>
      </c>
      <c r="P400" t="s">
        <v>67</v>
      </c>
      <c r="Q400">
        <v>100</v>
      </c>
      <c r="X400">
        <v>2.1093999999999999</v>
      </c>
      <c r="Y400">
        <v>59.47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119</v>
      </c>
      <c r="AG400">
        <v>2.1093999999999999</v>
      </c>
      <c r="AH400">
        <v>2</v>
      </c>
      <c r="AI400">
        <v>57251401</v>
      </c>
      <c r="AJ400">
        <v>325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ROW(Source!A259)</f>
        <v>259</v>
      </c>
      <c r="B401">
        <v>57251402</v>
      </c>
      <c r="C401">
        <v>57251397</v>
      </c>
      <c r="D401">
        <v>54760334</v>
      </c>
      <c r="E401">
        <v>1</v>
      </c>
      <c r="F401">
        <v>1</v>
      </c>
      <c r="G401">
        <v>1081</v>
      </c>
      <c r="H401">
        <v>3</v>
      </c>
      <c r="I401" t="s">
        <v>561</v>
      </c>
      <c r="J401" t="s">
        <v>562</v>
      </c>
      <c r="K401" t="s">
        <v>563</v>
      </c>
      <c r="L401">
        <v>1356</v>
      </c>
      <c r="N401">
        <v>1010</v>
      </c>
      <c r="O401" t="s">
        <v>348</v>
      </c>
      <c r="P401" t="s">
        <v>348</v>
      </c>
      <c r="Q401">
        <v>1000</v>
      </c>
      <c r="X401">
        <v>6.8999999999999999E-3</v>
      </c>
      <c r="Y401">
        <v>56.16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119</v>
      </c>
      <c r="AG401">
        <v>6.8999999999999999E-3</v>
      </c>
      <c r="AH401">
        <v>2</v>
      </c>
      <c r="AI401">
        <v>57251402</v>
      </c>
      <c r="AJ401">
        <v>326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ROW(Source!A259)</f>
        <v>259</v>
      </c>
      <c r="B402">
        <v>57251403</v>
      </c>
      <c r="C402">
        <v>57251397</v>
      </c>
      <c r="D402">
        <v>54712635</v>
      </c>
      <c r="E402">
        <v>1081</v>
      </c>
      <c r="F402">
        <v>1</v>
      </c>
      <c r="G402">
        <v>1081</v>
      </c>
      <c r="H402">
        <v>3</v>
      </c>
      <c r="I402" t="s">
        <v>674</v>
      </c>
      <c r="J402" t="s">
        <v>3</v>
      </c>
      <c r="K402" t="s">
        <v>675</v>
      </c>
      <c r="L402">
        <v>1303</v>
      </c>
      <c r="N402">
        <v>1003</v>
      </c>
      <c r="O402" t="s">
        <v>390</v>
      </c>
      <c r="P402" t="s">
        <v>390</v>
      </c>
      <c r="Q402">
        <v>1000</v>
      </c>
      <c r="X402">
        <v>0.10199999999999999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119</v>
      </c>
      <c r="AG402">
        <v>0.10199999999999999</v>
      </c>
      <c r="AH402">
        <v>3</v>
      </c>
      <c r="AI402">
        <v>-1</v>
      </c>
      <c r="AJ402" t="s">
        <v>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ROW(Source!A262)</f>
        <v>262</v>
      </c>
      <c r="B403">
        <v>57249471</v>
      </c>
      <c r="C403">
        <v>57249458</v>
      </c>
      <c r="D403">
        <v>54702434</v>
      </c>
      <c r="E403">
        <v>1081</v>
      </c>
      <c r="F403">
        <v>1</v>
      </c>
      <c r="G403">
        <v>1081</v>
      </c>
      <c r="H403">
        <v>1</v>
      </c>
      <c r="I403" t="s">
        <v>457</v>
      </c>
      <c r="J403" t="s">
        <v>3</v>
      </c>
      <c r="K403" t="s">
        <v>458</v>
      </c>
      <c r="L403">
        <v>1191</v>
      </c>
      <c r="N403">
        <v>1013</v>
      </c>
      <c r="O403" t="s">
        <v>459</v>
      </c>
      <c r="P403" t="s">
        <v>459</v>
      </c>
      <c r="Q403">
        <v>1</v>
      </c>
      <c r="X403">
        <v>16.5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1</v>
      </c>
      <c r="AF403" t="s">
        <v>120</v>
      </c>
      <c r="AG403">
        <v>19.8</v>
      </c>
      <c r="AH403">
        <v>2</v>
      </c>
      <c r="AI403">
        <v>57249459</v>
      </c>
      <c r="AJ403">
        <v>327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ROW(Source!A262)</f>
        <v>262</v>
      </c>
      <c r="B404">
        <v>57249472</v>
      </c>
      <c r="C404">
        <v>57249458</v>
      </c>
      <c r="D404">
        <v>54768040</v>
      </c>
      <c r="E404">
        <v>1</v>
      </c>
      <c r="F404">
        <v>1</v>
      </c>
      <c r="G404">
        <v>1081</v>
      </c>
      <c r="H404">
        <v>2</v>
      </c>
      <c r="I404" t="s">
        <v>564</v>
      </c>
      <c r="J404" t="s">
        <v>565</v>
      </c>
      <c r="K404" t="s">
        <v>566</v>
      </c>
      <c r="L404">
        <v>1368</v>
      </c>
      <c r="N404">
        <v>1011</v>
      </c>
      <c r="O404" t="s">
        <v>463</v>
      </c>
      <c r="P404" t="s">
        <v>463</v>
      </c>
      <c r="Q404">
        <v>1</v>
      </c>
      <c r="X404">
        <v>3.66</v>
      </c>
      <c r="Y404">
        <v>0</v>
      </c>
      <c r="Z404">
        <v>7.11</v>
      </c>
      <c r="AA404">
        <v>0</v>
      </c>
      <c r="AB404">
        <v>0</v>
      </c>
      <c r="AC404">
        <v>0</v>
      </c>
      <c r="AD404">
        <v>1</v>
      </c>
      <c r="AE404">
        <v>0</v>
      </c>
      <c r="AF404" t="s">
        <v>120</v>
      </c>
      <c r="AG404">
        <v>4.3920000000000003</v>
      </c>
      <c r="AH404">
        <v>2</v>
      </c>
      <c r="AI404">
        <v>57249460</v>
      </c>
      <c r="AJ404">
        <v>328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ROW(Source!A262)</f>
        <v>262</v>
      </c>
      <c r="B405">
        <v>57249473</v>
      </c>
      <c r="C405">
        <v>57249458</v>
      </c>
      <c r="D405">
        <v>54768339</v>
      </c>
      <c r="E405">
        <v>1</v>
      </c>
      <c r="F405">
        <v>1</v>
      </c>
      <c r="G405">
        <v>1081</v>
      </c>
      <c r="H405">
        <v>2</v>
      </c>
      <c r="I405" t="s">
        <v>497</v>
      </c>
      <c r="J405" t="s">
        <v>498</v>
      </c>
      <c r="K405" t="s">
        <v>499</v>
      </c>
      <c r="L405">
        <v>1368</v>
      </c>
      <c r="N405">
        <v>1011</v>
      </c>
      <c r="O405" t="s">
        <v>463</v>
      </c>
      <c r="P405" t="s">
        <v>463</v>
      </c>
      <c r="Q405">
        <v>1</v>
      </c>
      <c r="X405">
        <v>0.43</v>
      </c>
      <c r="Y405">
        <v>0</v>
      </c>
      <c r="Z405">
        <v>83.1</v>
      </c>
      <c r="AA405">
        <v>12.62</v>
      </c>
      <c r="AB405">
        <v>0</v>
      </c>
      <c r="AC405">
        <v>0</v>
      </c>
      <c r="AD405">
        <v>1</v>
      </c>
      <c r="AE405">
        <v>0</v>
      </c>
      <c r="AF405" t="s">
        <v>120</v>
      </c>
      <c r="AG405">
        <v>0.51600000000000001</v>
      </c>
      <c r="AH405">
        <v>2</v>
      </c>
      <c r="AI405">
        <v>57249461</v>
      </c>
      <c r="AJ405">
        <v>329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ROW(Source!A262)</f>
        <v>262</v>
      </c>
      <c r="B406">
        <v>57249474</v>
      </c>
      <c r="C406">
        <v>57249458</v>
      </c>
      <c r="D406">
        <v>54738510</v>
      </c>
      <c r="E406">
        <v>1</v>
      </c>
      <c r="F406">
        <v>1</v>
      </c>
      <c r="G406">
        <v>1081</v>
      </c>
      <c r="H406">
        <v>3</v>
      </c>
      <c r="I406" t="s">
        <v>567</v>
      </c>
      <c r="J406" t="s">
        <v>568</v>
      </c>
      <c r="K406" t="s">
        <v>569</v>
      </c>
      <c r="L406">
        <v>1348</v>
      </c>
      <c r="N406">
        <v>1009</v>
      </c>
      <c r="O406" t="s">
        <v>298</v>
      </c>
      <c r="P406" t="s">
        <v>298</v>
      </c>
      <c r="Q406">
        <v>1000</v>
      </c>
      <c r="X406">
        <v>1.0499999999999999E-3</v>
      </c>
      <c r="Y406">
        <v>8590.86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119</v>
      </c>
      <c r="AG406">
        <v>1.0499999999999999E-3</v>
      </c>
      <c r="AH406">
        <v>2</v>
      </c>
      <c r="AI406">
        <v>57249462</v>
      </c>
      <c r="AJ406">
        <v>330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ROW(Source!A262)</f>
        <v>262</v>
      </c>
      <c r="B407">
        <v>57249475</v>
      </c>
      <c r="C407">
        <v>57249458</v>
      </c>
      <c r="D407">
        <v>54737469</v>
      </c>
      <c r="E407">
        <v>1</v>
      </c>
      <c r="F407">
        <v>1</v>
      </c>
      <c r="G407">
        <v>1081</v>
      </c>
      <c r="H407">
        <v>3</v>
      </c>
      <c r="I407" t="s">
        <v>570</v>
      </c>
      <c r="J407" t="s">
        <v>571</v>
      </c>
      <c r="K407" t="s">
        <v>572</v>
      </c>
      <c r="L407">
        <v>1354</v>
      </c>
      <c r="N407">
        <v>1010</v>
      </c>
      <c r="O407" t="s">
        <v>228</v>
      </c>
      <c r="P407" t="s">
        <v>228</v>
      </c>
      <c r="Q407">
        <v>1</v>
      </c>
      <c r="X407">
        <v>122</v>
      </c>
      <c r="Y407">
        <v>3.86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119</v>
      </c>
      <c r="AG407">
        <v>122</v>
      </c>
      <c r="AH407">
        <v>2</v>
      </c>
      <c r="AI407">
        <v>57249463</v>
      </c>
      <c r="AJ407">
        <v>331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ROW(Source!A262)</f>
        <v>262</v>
      </c>
      <c r="B408">
        <v>57249476</v>
      </c>
      <c r="C408">
        <v>57249458</v>
      </c>
      <c r="D408">
        <v>54739835</v>
      </c>
      <c r="E408">
        <v>1</v>
      </c>
      <c r="F408">
        <v>1</v>
      </c>
      <c r="G408">
        <v>1081</v>
      </c>
      <c r="H408">
        <v>3</v>
      </c>
      <c r="I408" t="s">
        <v>573</v>
      </c>
      <c r="J408" t="s">
        <v>574</v>
      </c>
      <c r="K408" t="s">
        <v>575</v>
      </c>
      <c r="L408">
        <v>1346</v>
      </c>
      <c r="N408">
        <v>1009</v>
      </c>
      <c r="O408" t="s">
        <v>320</v>
      </c>
      <c r="P408" t="s">
        <v>320</v>
      </c>
      <c r="Q408">
        <v>1</v>
      </c>
      <c r="X408">
        <v>0.03</v>
      </c>
      <c r="Y408">
        <v>520.51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119</v>
      </c>
      <c r="AG408">
        <v>0.03</v>
      </c>
      <c r="AH408">
        <v>2</v>
      </c>
      <c r="AI408">
        <v>57249464</v>
      </c>
      <c r="AJ408">
        <v>332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ROW(Source!A262)</f>
        <v>262</v>
      </c>
      <c r="B409">
        <v>57249477</v>
      </c>
      <c r="C409">
        <v>57249458</v>
      </c>
      <c r="D409">
        <v>54737945</v>
      </c>
      <c r="E409">
        <v>1</v>
      </c>
      <c r="F409">
        <v>1</v>
      </c>
      <c r="G409">
        <v>1081</v>
      </c>
      <c r="H409">
        <v>3</v>
      </c>
      <c r="I409" t="s">
        <v>576</v>
      </c>
      <c r="J409" t="s">
        <v>577</v>
      </c>
      <c r="K409" t="s">
        <v>578</v>
      </c>
      <c r="L409">
        <v>1348</v>
      </c>
      <c r="N409">
        <v>1009</v>
      </c>
      <c r="O409" t="s">
        <v>298</v>
      </c>
      <c r="P409" t="s">
        <v>298</v>
      </c>
      <c r="Q409">
        <v>1000</v>
      </c>
      <c r="X409">
        <v>2.0999999999999999E-3</v>
      </c>
      <c r="Y409">
        <v>7973.67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119</v>
      </c>
      <c r="AG409">
        <v>2.0999999999999999E-3</v>
      </c>
      <c r="AH409">
        <v>2</v>
      </c>
      <c r="AI409">
        <v>57249465</v>
      </c>
      <c r="AJ409">
        <v>333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ROW(Source!A262)</f>
        <v>262</v>
      </c>
      <c r="B410">
        <v>57249478</v>
      </c>
      <c r="C410">
        <v>57249458</v>
      </c>
      <c r="D410">
        <v>54760653</v>
      </c>
      <c r="E410">
        <v>1</v>
      </c>
      <c r="F410">
        <v>1</v>
      </c>
      <c r="G410">
        <v>1081</v>
      </c>
      <c r="H410">
        <v>3</v>
      </c>
      <c r="I410" t="s">
        <v>579</v>
      </c>
      <c r="J410" t="s">
        <v>580</v>
      </c>
      <c r="K410" t="s">
        <v>581</v>
      </c>
      <c r="L410">
        <v>1358</v>
      </c>
      <c r="N410">
        <v>1010</v>
      </c>
      <c r="O410" t="s">
        <v>82</v>
      </c>
      <c r="P410" t="s">
        <v>82</v>
      </c>
      <c r="Q410">
        <v>10</v>
      </c>
      <c r="X410">
        <v>1.02</v>
      </c>
      <c r="Y410">
        <v>5.46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119</v>
      </c>
      <c r="AG410">
        <v>1.02</v>
      </c>
      <c r="AH410">
        <v>2</v>
      </c>
      <c r="AI410">
        <v>57249466</v>
      </c>
      <c r="AJ410">
        <v>335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ROW(Source!A262)</f>
        <v>262</v>
      </c>
      <c r="B411">
        <v>57249479</v>
      </c>
      <c r="C411">
        <v>57249458</v>
      </c>
      <c r="D411">
        <v>54760731</v>
      </c>
      <c r="E411">
        <v>1</v>
      </c>
      <c r="F411">
        <v>1</v>
      </c>
      <c r="G411">
        <v>1081</v>
      </c>
      <c r="H411">
        <v>3</v>
      </c>
      <c r="I411" t="s">
        <v>582</v>
      </c>
      <c r="J411" t="s">
        <v>583</v>
      </c>
      <c r="K411" t="s">
        <v>584</v>
      </c>
      <c r="L411">
        <v>1354</v>
      </c>
      <c r="N411">
        <v>1010</v>
      </c>
      <c r="O411" t="s">
        <v>228</v>
      </c>
      <c r="P411" t="s">
        <v>228</v>
      </c>
      <c r="Q411">
        <v>1</v>
      </c>
      <c r="X411">
        <v>6</v>
      </c>
      <c r="Y411">
        <v>180.02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119</v>
      </c>
      <c r="AG411">
        <v>6</v>
      </c>
      <c r="AH411">
        <v>2</v>
      </c>
      <c r="AI411">
        <v>57249467</v>
      </c>
      <c r="AJ411">
        <v>336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ROW(Source!A262)</f>
        <v>262</v>
      </c>
      <c r="B412">
        <v>57249480</v>
      </c>
      <c r="C412">
        <v>57249458</v>
      </c>
      <c r="D412">
        <v>54760747</v>
      </c>
      <c r="E412">
        <v>1</v>
      </c>
      <c r="F412">
        <v>1</v>
      </c>
      <c r="G412">
        <v>1081</v>
      </c>
      <c r="H412">
        <v>3</v>
      </c>
      <c r="I412" t="s">
        <v>585</v>
      </c>
      <c r="J412" t="s">
        <v>586</v>
      </c>
      <c r="K412" t="s">
        <v>587</v>
      </c>
      <c r="L412">
        <v>1354</v>
      </c>
      <c r="N412">
        <v>1010</v>
      </c>
      <c r="O412" t="s">
        <v>228</v>
      </c>
      <c r="P412" t="s">
        <v>228</v>
      </c>
      <c r="Q412">
        <v>1</v>
      </c>
      <c r="X412">
        <v>6</v>
      </c>
      <c r="Y412">
        <v>14.99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119</v>
      </c>
      <c r="AG412">
        <v>6</v>
      </c>
      <c r="AH412">
        <v>2</v>
      </c>
      <c r="AI412">
        <v>57249468</v>
      </c>
      <c r="AJ412">
        <v>337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ROW(Source!A262)</f>
        <v>262</v>
      </c>
      <c r="B413">
        <v>57249481</v>
      </c>
      <c r="C413">
        <v>57249458</v>
      </c>
      <c r="D413">
        <v>54744826</v>
      </c>
      <c r="E413">
        <v>1</v>
      </c>
      <c r="F413">
        <v>1</v>
      </c>
      <c r="G413">
        <v>1081</v>
      </c>
      <c r="H413">
        <v>3</v>
      </c>
      <c r="I413" t="s">
        <v>588</v>
      </c>
      <c r="J413" t="s">
        <v>589</v>
      </c>
      <c r="K413" t="s">
        <v>590</v>
      </c>
      <c r="L413">
        <v>1339</v>
      </c>
      <c r="N413">
        <v>1007</v>
      </c>
      <c r="O413" t="s">
        <v>591</v>
      </c>
      <c r="P413" t="s">
        <v>591</v>
      </c>
      <c r="Q413">
        <v>1</v>
      </c>
      <c r="X413">
        <v>2E-3</v>
      </c>
      <c r="Y413">
        <v>439.5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119</v>
      </c>
      <c r="AG413">
        <v>2E-3</v>
      </c>
      <c r="AH413">
        <v>2</v>
      </c>
      <c r="AI413">
        <v>57249469</v>
      </c>
      <c r="AJ413">
        <v>338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ROW(Source!A262)</f>
        <v>262</v>
      </c>
      <c r="B414">
        <v>57249482</v>
      </c>
      <c r="C414">
        <v>57249458</v>
      </c>
      <c r="D414">
        <v>54695293</v>
      </c>
      <c r="E414">
        <v>1081</v>
      </c>
      <c r="F414">
        <v>1</v>
      </c>
      <c r="G414">
        <v>1081</v>
      </c>
      <c r="H414">
        <v>3</v>
      </c>
      <c r="I414" t="s">
        <v>676</v>
      </c>
      <c r="J414" t="s">
        <v>3</v>
      </c>
      <c r="K414" t="s">
        <v>677</v>
      </c>
      <c r="L414">
        <v>1301</v>
      </c>
      <c r="N414">
        <v>1003</v>
      </c>
      <c r="O414" t="s">
        <v>341</v>
      </c>
      <c r="P414" t="s">
        <v>341</v>
      </c>
      <c r="Q414">
        <v>1</v>
      </c>
      <c r="X414">
        <v>103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119</v>
      </c>
      <c r="AG414">
        <v>103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ROW(Source!A262)</f>
        <v>262</v>
      </c>
      <c r="B415">
        <v>57249483</v>
      </c>
      <c r="C415">
        <v>57249458</v>
      </c>
      <c r="D415">
        <v>54697931</v>
      </c>
      <c r="E415">
        <v>1081</v>
      </c>
      <c r="F415">
        <v>1</v>
      </c>
      <c r="G415">
        <v>1081</v>
      </c>
      <c r="H415">
        <v>3</v>
      </c>
      <c r="I415" t="s">
        <v>678</v>
      </c>
      <c r="J415" t="s">
        <v>3</v>
      </c>
      <c r="K415" t="s">
        <v>679</v>
      </c>
      <c r="L415">
        <v>1354</v>
      </c>
      <c r="N415">
        <v>1010</v>
      </c>
      <c r="O415" t="s">
        <v>228</v>
      </c>
      <c r="P415" t="s">
        <v>228</v>
      </c>
      <c r="Q415">
        <v>1</v>
      </c>
      <c r="X415">
        <v>16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119</v>
      </c>
      <c r="AG415">
        <v>16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ROW(Source!A262)</f>
        <v>262</v>
      </c>
      <c r="B416">
        <v>57249484</v>
      </c>
      <c r="C416">
        <v>57249458</v>
      </c>
      <c r="D416">
        <v>54710244</v>
      </c>
      <c r="E416">
        <v>1081</v>
      </c>
      <c r="F416">
        <v>1</v>
      </c>
      <c r="G416">
        <v>1081</v>
      </c>
      <c r="H416">
        <v>3</v>
      </c>
      <c r="I416" t="s">
        <v>680</v>
      </c>
      <c r="J416" t="s">
        <v>3</v>
      </c>
      <c r="K416" t="s">
        <v>681</v>
      </c>
      <c r="L416">
        <v>1355</v>
      </c>
      <c r="N416">
        <v>1010</v>
      </c>
      <c r="O416" t="s">
        <v>67</v>
      </c>
      <c r="P416" t="s">
        <v>67</v>
      </c>
      <c r="Q416">
        <v>100</v>
      </c>
      <c r="X416">
        <v>0.25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119</v>
      </c>
      <c r="AG416">
        <v>0.25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ROW(Source!A262)</f>
        <v>262</v>
      </c>
      <c r="B417">
        <v>57249485</v>
      </c>
      <c r="C417">
        <v>57249458</v>
      </c>
      <c r="D417">
        <v>54711596</v>
      </c>
      <c r="E417">
        <v>1081</v>
      </c>
      <c r="F417">
        <v>1</v>
      </c>
      <c r="G417">
        <v>1081</v>
      </c>
      <c r="H417">
        <v>3</v>
      </c>
      <c r="I417" t="s">
        <v>682</v>
      </c>
      <c r="J417" t="s">
        <v>3</v>
      </c>
      <c r="K417" t="s">
        <v>683</v>
      </c>
      <c r="L417">
        <v>1354</v>
      </c>
      <c r="N417">
        <v>1010</v>
      </c>
      <c r="O417" t="s">
        <v>228</v>
      </c>
      <c r="P417" t="s">
        <v>228</v>
      </c>
      <c r="Q417">
        <v>1</v>
      </c>
      <c r="X417">
        <v>8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119</v>
      </c>
      <c r="AG417">
        <v>8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ROW(Source!A262)</f>
        <v>262</v>
      </c>
      <c r="B418">
        <v>57249486</v>
      </c>
      <c r="C418">
        <v>57249458</v>
      </c>
      <c r="D418">
        <v>54712389</v>
      </c>
      <c r="E418">
        <v>1081</v>
      </c>
      <c r="F418">
        <v>1</v>
      </c>
      <c r="G418">
        <v>1081</v>
      </c>
      <c r="H418">
        <v>3</v>
      </c>
      <c r="I418" t="s">
        <v>684</v>
      </c>
      <c r="J418" t="s">
        <v>3</v>
      </c>
      <c r="K418" t="s">
        <v>685</v>
      </c>
      <c r="L418">
        <v>1354</v>
      </c>
      <c r="N418">
        <v>1010</v>
      </c>
      <c r="O418" t="s">
        <v>228</v>
      </c>
      <c r="P418" t="s">
        <v>228</v>
      </c>
      <c r="Q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119</v>
      </c>
      <c r="AG418">
        <v>0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ROW(Source!A263)</f>
        <v>263</v>
      </c>
      <c r="B419">
        <v>57249471</v>
      </c>
      <c r="C419">
        <v>57249458</v>
      </c>
      <c r="D419">
        <v>54702434</v>
      </c>
      <c r="E419">
        <v>1081</v>
      </c>
      <c r="F419">
        <v>1</v>
      </c>
      <c r="G419">
        <v>1081</v>
      </c>
      <c r="H419">
        <v>1</v>
      </c>
      <c r="I419" t="s">
        <v>457</v>
      </c>
      <c r="J419" t="s">
        <v>3</v>
      </c>
      <c r="K419" t="s">
        <v>458</v>
      </c>
      <c r="L419">
        <v>1191</v>
      </c>
      <c r="N419">
        <v>1013</v>
      </c>
      <c r="O419" t="s">
        <v>459</v>
      </c>
      <c r="P419" t="s">
        <v>459</v>
      </c>
      <c r="Q419">
        <v>1</v>
      </c>
      <c r="X419">
        <v>16.5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1</v>
      </c>
      <c r="AF419" t="s">
        <v>120</v>
      </c>
      <c r="AG419">
        <v>19.8</v>
      </c>
      <c r="AH419">
        <v>2</v>
      </c>
      <c r="AI419">
        <v>57249459</v>
      </c>
      <c r="AJ419">
        <v>339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ROW(Source!A263)</f>
        <v>263</v>
      </c>
      <c r="B420">
        <v>57249472</v>
      </c>
      <c r="C420">
        <v>57249458</v>
      </c>
      <c r="D420">
        <v>54768040</v>
      </c>
      <c r="E420">
        <v>1</v>
      </c>
      <c r="F420">
        <v>1</v>
      </c>
      <c r="G420">
        <v>1081</v>
      </c>
      <c r="H420">
        <v>2</v>
      </c>
      <c r="I420" t="s">
        <v>564</v>
      </c>
      <c r="J420" t="s">
        <v>565</v>
      </c>
      <c r="K420" t="s">
        <v>566</v>
      </c>
      <c r="L420">
        <v>1368</v>
      </c>
      <c r="N420">
        <v>1011</v>
      </c>
      <c r="O420" t="s">
        <v>463</v>
      </c>
      <c r="P420" t="s">
        <v>463</v>
      </c>
      <c r="Q420">
        <v>1</v>
      </c>
      <c r="X420">
        <v>3.66</v>
      </c>
      <c r="Y420">
        <v>0</v>
      </c>
      <c r="Z420">
        <v>7.11</v>
      </c>
      <c r="AA420">
        <v>0</v>
      </c>
      <c r="AB420">
        <v>0</v>
      </c>
      <c r="AC420">
        <v>0</v>
      </c>
      <c r="AD420">
        <v>1</v>
      </c>
      <c r="AE420">
        <v>0</v>
      </c>
      <c r="AF420" t="s">
        <v>120</v>
      </c>
      <c r="AG420">
        <v>4.3920000000000003</v>
      </c>
      <c r="AH420">
        <v>2</v>
      </c>
      <c r="AI420">
        <v>57249460</v>
      </c>
      <c r="AJ420">
        <v>340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ROW(Source!A263)</f>
        <v>263</v>
      </c>
      <c r="B421">
        <v>57249473</v>
      </c>
      <c r="C421">
        <v>57249458</v>
      </c>
      <c r="D421">
        <v>54768339</v>
      </c>
      <c r="E421">
        <v>1</v>
      </c>
      <c r="F421">
        <v>1</v>
      </c>
      <c r="G421">
        <v>1081</v>
      </c>
      <c r="H421">
        <v>2</v>
      </c>
      <c r="I421" t="s">
        <v>497</v>
      </c>
      <c r="J421" t="s">
        <v>498</v>
      </c>
      <c r="K421" t="s">
        <v>499</v>
      </c>
      <c r="L421">
        <v>1368</v>
      </c>
      <c r="N421">
        <v>1011</v>
      </c>
      <c r="O421" t="s">
        <v>463</v>
      </c>
      <c r="P421" t="s">
        <v>463</v>
      </c>
      <c r="Q421">
        <v>1</v>
      </c>
      <c r="X421">
        <v>0.43</v>
      </c>
      <c r="Y421">
        <v>0</v>
      </c>
      <c r="Z421">
        <v>83.1</v>
      </c>
      <c r="AA421">
        <v>12.62</v>
      </c>
      <c r="AB421">
        <v>0</v>
      </c>
      <c r="AC421">
        <v>0</v>
      </c>
      <c r="AD421">
        <v>1</v>
      </c>
      <c r="AE421">
        <v>0</v>
      </c>
      <c r="AF421" t="s">
        <v>120</v>
      </c>
      <c r="AG421">
        <v>0.51600000000000001</v>
      </c>
      <c r="AH421">
        <v>2</v>
      </c>
      <c r="AI421">
        <v>57249461</v>
      </c>
      <c r="AJ421">
        <v>341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ROW(Source!A263)</f>
        <v>263</v>
      </c>
      <c r="B422">
        <v>57249474</v>
      </c>
      <c r="C422">
        <v>57249458</v>
      </c>
      <c r="D422">
        <v>54738510</v>
      </c>
      <c r="E422">
        <v>1</v>
      </c>
      <c r="F422">
        <v>1</v>
      </c>
      <c r="G422">
        <v>1081</v>
      </c>
      <c r="H422">
        <v>3</v>
      </c>
      <c r="I422" t="s">
        <v>567</v>
      </c>
      <c r="J422" t="s">
        <v>568</v>
      </c>
      <c r="K422" t="s">
        <v>569</v>
      </c>
      <c r="L422">
        <v>1348</v>
      </c>
      <c r="N422">
        <v>1009</v>
      </c>
      <c r="O422" t="s">
        <v>298</v>
      </c>
      <c r="P422" t="s">
        <v>298</v>
      </c>
      <c r="Q422">
        <v>1000</v>
      </c>
      <c r="X422">
        <v>1.0499999999999999E-3</v>
      </c>
      <c r="Y422">
        <v>8590.86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119</v>
      </c>
      <c r="AG422">
        <v>1.0499999999999999E-3</v>
      </c>
      <c r="AH422">
        <v>2</v>
      </c>
      <c r="AI422">
        <v>57249462</v>
      </c>
      <c r="AJ422">
        <v>342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ROW(Source!A263)</f>
        <v>263</v>
      </c>
      <c r="B423">
        <v>57249475</v>
      </c>
      <c r="C423">
        <v>57249458</v>
      </c>
      <c r="D423">
        <v>54737469</v>
      </c>
      <c r="E423">
        <v>1</v>
      </c>
      <c r="F423">
        <v>1</v>
      </c>
      <c r="G423">
        <v>1081</v>
      </c>
      <c r="H423">
        <v>3</v>
      </c>
      <c r="I423" t="s">
        <v>570</v>
      </c>
      <c r="J423" t="s">
        <v>571</v>
      </c>
      <c r="K423" t="s">
        <v>572</v>
      </c>
      <c r="L423">
        <v>1354</v>
      </c>
      <c r="N423">
        <v>1010</v>
      </c>
      <c r="O423" t="s">
        <v>228</v>
      </c>
      <c r="P423" t="s">
        <v>228</v>
      </c>
      <c r="Q423">
        <v>1</v>
      </c>
      <c r="X423">
        <v>122</v>
      </c>
      <c r="Y423">
        <v>3.86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119</v>
      </c>
      <c r="AG423">
        <v>122</v>
      </c>
      <c r="AH423">
        <v>2</v>
      </c>
      <c r="AI423">
        <v>57249463</v>
      </c>
      <c r="AJ423">
        <v>343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ROW(Source!A263)</f>
        <v>263</v>
      </c>
      <c r="B424">
        <v>57249476</v>
      </c>
      <c r="C424">
        <v>57249458</v>
      </c>
      <c r="D424">
        <v>54739835</v>
      </c>
      <c r="E424">
        <v>1</v>
      </c>
      <c r="F424">
        <v>1</v>
      </c>
      <c r="G424">
        <v>1081</v>
      </c>
      <c r="H424">
        <v>3</v>
      </c>
      <c r="I424" t="s">
        <v>573</v>
      </c>
      <c r="J424" t="s">
        <v>574</v>
      </c>
      <c r="K424" t="s">
        <v>575</v>
      </c>
      <c r="L424">
        <v>1346</v>
      </c>
      <c r="N424">
        <v>1009</v>
      </c>
      <c r="O424" t="s">
        <v>320</v>
      </c>
      <c r="P424" t="s">
        <v>320</v>
      </c>
      <c r="Q424">
        <v>1</v>
      </c>
      <c r="X424">
        <v>0.03</v>
      </c>
      <c r="Y424">
        <v>520.51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119</v>
      </c>
      <c r="AG424">
        <v>0.03</v>
      </c>
      <c r="AH424">
        <v>2</v>
      </c>
      <c r="AI424">
        <v>57249464</v>
      </c>
      <c r="AJ424">
        <v>344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ROW(Source!A263)</f>
        <v>263</v>
      </c>
      <c r="B425">
        <v>57249477</v>
      </c>
      <c r="C425">
        <v>57249458</v>
      </c>
      <c r="D425">
        <v>54737945</v>
      </c>
      <c r="E425">
        <v>1</v>
      </c>
      <c r="F425">
        <v>1</v>
      </c>
      <c r="G425">
        <v>1081</v>
      </c>
      <c r="H425">
        <v>3</v>
      </c>
      <c r="I425" t="s">
        <v>576</v>
      </c>
      <c r="J425" t="s">
        <v>577</v>
      </c>
      <c r="K425" t="s">
        <v>578</v>
      </c>
      <c r="L425">
        <v>1348</v>
      </c>
      <c r="N425">
        <v>1009</v>
      </c>
      <c r="O425" t="s">
        <v>298</v>
      </c>
      <c r="P425" t="s">
        <v>298</v>
      </c>
      <c r="Q425">
        <v>1000</v>
      </c>
      <c r="X425">
        <v>2.0999999999999999E-3</v>
      </c>
      <c r="Y425">
        <v>7973.67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119</v>
      </c>
      <c r="AG425">
        <v>2.0999999999999999E-3</v>
      </c>
      <c r="AH425">
        <v>2</v>
      </c>
      <c r="AI425">
        <v>57249465</v>
      </c>
      <c r="AJ425">
        <v>345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ROW(Source!A263)</f>
        <v>263</v>
      </c>
      <c r="B426">
        <v>57249478</v>
      </c>
      <c r="C426">
        <v>57249458</v>
      </c>
      <c r="D426">
        <v>54760653</v>
      </c>
      <c r="E426">
        <v>1</v>
      </c>
      <c r="F426">
        <v>1</v>
      </c>
      <c r="G426">
        <v>1081</v>
      </c>
      <c r="H426">
        <v>3</v>
      </c>
      <c r="I426" t="s">
        <v>579</v>
      </c>
      <c r="J426" t="s">
        <v>580</v>
      </c>
      <c r="K426" t="s">
        <v>581</v>
      </c>
      <c r="L426">
        <v>1358</v>
      </c>
      <c r="N426">
        <v>1010</v>
      </c>
      <c r="O426" t="s">
        <v>82</v>
      </c>
      <c r="P426" t="s">
        <v>82</v>
      </c>
      <c r="Q426">
        <v>10</v>
      </c>
      <c r="X426">
        <v>1.02</v>
      </c>
      <c r="Y426">
        <v>5.46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119</v>
      </c>
      <c r="AG426">
        <v>1.02</v>
      </c>
      <c r="AH426">
        <v>2</v>
      </c>
      <c r="AI426">
        <v>57249466</v>
      </c>
      <c r="AJ426">
        <v>347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ROW(Source!A263)</f>
        <v>263</v>
      </c>
      <c r="B427">
        <v>57249479</v>
      </c>
      <c r="C427">
        <v>57249458</v>
      </c>
      <c r="D427">
        <v>54760731</v>
      </c>
      <c r="E427">
        <v>1</v>
      </c>
      <c r="F427">
        <v>1</v>
      </c>
      <c r="G427">
        <v>1081</v>
      </c>
      <c r="H427">
        <v>3</v>
      </c>
      <c r="I427" t="s">
        <v>582</v>
      </c>
      <c r="J427" t="s">
        <v>583</v>
      </c>
      <c r="K427" t="s">
        <v>584</v>
      </c>
      <c r="L427">
        <v>1354</v>
      </c>
      <c r="N427">
        <v>1010</v>
      </c>
      <c r="O427" t="s">
        <v>228</v>
      </c>
      <c r="P427" t="s">
        <v>228</v>
      </c>
      <c r="Q427">
        <v>1</v>
      </c>
      <c r="X427">
        <v>6</v>
      </c>
      <c r="Y427">
        <v>180.02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119</v>
      </c>
      <c r="AG427">
        <v>6</v>
      </c>
      <c r="AH427">
        <v>2</v>
      </c>
      <c r="AI427">
        <v>57249467</v>
      </c>
      <c r="AJ427">
        <v>348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ROW(Source!A263)</f>
        <v>263</v>
      </c>
      <c r="B428">
        <v>57249480</v>
      </c>
      <c r="C428">
        <v>57249458</v>
      </c>
      <c r="D428">
        <v>54760747</v>
      </c>
      <c r="E428">
        <v>1</v>
      </c>
      <c r="F428">
        <v>1</v>
      </c>
      <c r="G428">
        <v>1081</v>
      </c>
      <c r="H428">
        <v>3</v>
      </c>
      <c r="I428" t="s">
        <v>585</v>
      </c>
      <c r="J428" t="s">
        <v>586</v>
      </c>
      <c r="K428" t="s">
        <v>587</v>
      </c>
      <c r="L428">
        <v>1354</v>
      </c>
      <c r="N428">
        <v>1010</v>
      </c>
      <c r="O428" t="s">
        <v>228</v>
      </c>
      <c r="P428" t="s">
        <v>228</v>
      </c>
      <c r="Q428">
        <v>1</v>
      </c>
      <c r="X428">
        <v>6</v>
      </c>
      <c r="Y428">
        <v>14.99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119</v>
      </c>
      <c r="AG428">
        <v>6</v>
      </c>
      <c r="AH428">
        <v>2</v>
      </c>
      <c r="AI428">
        <v>57249468</v>
      </c>
      <c r="AJ428">
        <v>349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ROW(Source!A263)</f>
        <v>263</v>
      </c>
      <c r="B429">
        <v>57249481</v>
      </c>
      <c r="C429">
        <v>57249458</v>
      </c>
      <c r="D429">
        <v>54744826</v>
      </c>
      <c r="E429">
        <v>1</v>
      </c>
      <c r="F429">
        <v>1</v>
      </c>
      <c r="G429">
        <v>1081</v>
      </c>
      <c r="H429">
        <v>3</v>
      </c>
      <c r="I429" t="s">
        <v>588</v>
      </c>
      <c r="J429" t="s">
        <v>589</v>
      </c>
      <c r="K429" t="s">
        <v>590</v>
      </c>
      <c r="L429">
        <v>1339</v>
      </c>
      <c r="N429">
        <v>1007</v>
      </c>
      <c r="O429" t="s">
        <v>591</v>
      </c>
      <c r="P429" t="s">
        <v>591</v>
      </c>
      <c r="Q429">
        <v>1</v>
      </c>
      <c r="X429">
        <v>2E-3</v>
      </c>
      <c r="Y429">
        <v>439.5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119</v>
      </c>
      <c r="AG429">
        <v>2E-3</v>
      </c>
      <c r="AH429">
        <v>2</v>
      </c>
      <c r="AI429">
        <v>57249469</v>
      </c>
      <c r="AJ429">
        <v>350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ROW(Source!A263)</f>
        <v>263</v>
      </c>
      <c r="B430">
        <v>57249482</v>
      </c>
      <c r="C430">
        <v>57249458</v>
      </c>
      <c r="D430">
        <v>54695293</v>
      </c>
      <c r="E430">
        <v>1081</v>
      </c>
      <c r="F430">
        <v>1</v>
      </c>
      <c r="G430">
        <v>1081</v>
      </c>
      <c r="H430">
        <v>3</v>
      </c>
      <c r="I430" t="s">
        <v>676</v>
      </c>
      <c r="J430" t="s">
        <v>3</v>
      </c>
      <c r="K430" t="s">
        <v>677</v>
      </c>
      <c r="L430">
        <v>1301</v>
      </c>
      <c r="N430">
        <v>1003</v>
      </c>
      <c r="O430" t="s">
        <v>341</v>
      </c>
      <c r="P430" t="s">
        <v>341</v>
      </c>
      <c r="Q430">
        <v>1</v>
      </c>
      <c r="X430">
        <v>103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119</v>
      </c>
      <c r="AG430">
        <v>103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ROW(Source!A263)</f>
        <v>263</v>
      </c>
      <c r="B431">
        <v>57249483</v>
      </c>
      <c r="C431">
        <v>57249458</v>
      </c>
      <c r="D431">
        <v>54697931</v>
      </c>
      <c r="E431">
        <v>1081</v>
      </c>
      <c r="F431">
        <v>1</v>
      </c>
      <c r="G431">
        <v>1081</v>
      </c>
      <c r="H431">
        <v>3</v>
      </c>
      <c r="I431" t="s">
        <v>678</v>
      </c>
      <c r="J431" t="s">
        <v>3</v>
      </c>
      <c r="K431" t="s">
        <v>679</v>
      </c>
      <c r="L431">
        <v>1354</v>
      </c>
      <c r="N431">
        <v>1010</v>
      </c>
      <c r="O431" t="s">
        <v>228</v>
      </c>
      <c r="P431" t="s">
        <v>228</v>
      </c>
      <c r="Q431">
        <v>1</v>
      </c>
      <c r="X431">
        <v>16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119</v>
      </c>
      <c r="AG431">
        <v>16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ROW(Source!A263)</f>
        <v>263</v>
      </c>
      <c r="B432">
        <v>57249484</v>
      </c>
      <c r="C432">
        <v>57249458</v>
      </c>
      <c r="D432">
        <v>54710244</v>
      </c>
      <c r="E432">
        <v>1081</v>
      </c>
      <c r="F432">
        <v>1</v>
      </c>
      <c r="G432">
        <v>1081</v>
      </c>
      <c r="H432">
        <v>3</v>
      </c>
      <c r="I432" t="s">
        <v>680</v>
      </c>
      <c r="J432" t="s">
        <v>3</v>
      </c>
      <c r="K432" t="s">
        <v>681</v>
      </c>
      <c r="L432">
        <v>1355</v>
      </c>
      <c r="N432">
        <v>1010</v>
      </c>
      <c r="O432" t="s">
        <v>67</v>
      </c>
      <c r="P432" t="s">
        <v>67</v>
      </c>
      <c r="Q432">
        <v>100</v>
      </c>
      <c r="X432">
        <v>0.25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119</v>
      </c>
      <c r="AG432">
        <v>0.25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ROW(Source!A263)</f>
        <v>263</v>
      </c>
      <c r="B433">
        <v>57249485</v>
      </c>
      <c r="C433">
        <v>57249458</v>
      </c>
      <c r="D433">
        <v>54711596</v>
      </c>
      <c r="E433">
        <v>1081</v>
      </c>
      <c r="F433">
        <v>1</v>
      </c>
      <c r="G433">
        <v>1081</v>
      </c>
      <c r="H433">
        <v>3</v>
      </c>
      <c r="I433" t="s">
        <v>682</v>
      </c>
      <c r="J433" t="s">
        <v>3</v>
      </c>
      <c r="K433" t="s">
        <v>683</v>
      </c>
      <c r="L433">
        <v>1354</v>
      </c>
      <c r="N433">
        <v>1010</v>
      </c>
      <c r="O433" t="s">
        <v>228</v>
      </c>
      <c r="P433" t="s">
        <v>228</v>
      </c>
      <c r="Q433">
        <v>1</v>
      </c>
      <c r="X433">
        <v>8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 t="s">
        <v>119</v>
      </c>
      <c r="AG433">
        <v>8</v>
      </c>
      <c r="AH433">
        <v>3</v>
      </c>
      <c r="AI433">
        <v>-1</v>
      </c>
      <c r="AJ433" t="s">
        <v>3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ROW(Source!A263)</f>
        <v>263</v>
      </c>
      <c r="B434">
        <v>57249486</v>
      </c>
      <c r="C434">
        <v>57249458</v>
      </c>
      <c r="D434">
        <v>54712389</v>
      </c>
      <c r="E434">
        <v>1081</v>
      </c>
      <c r="F434">
        <v>1</v>
      </c>
      <c r="G434">
        <v>1081</v>
      </c>
      <c r="H434">
        <v>3</v>
      </c>
      <c r="I434" t="s">
        <v>684</v>
      </c>
      <c r="J434" t="s">
        <v>3</v>
      </c>
      <c r="K434" t="s">
        <v>685</v>
      </c>
      <c r="L434">
        <v>1354</v>
      </c>
      <c r="N434">
        <v>1010</v>
      </c>
      <c r="O434" t="s">
        <v>228</v>
      </c>
      <c r="P434" t="s">
        <v>228</v>
      </c>
      <c r="Q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119</v>
      </c>
      <c r="AG434">
        <v>0</v>
      </c>
      <c r="AH434">
        <v>3</v>
      </c>
      <c r="AI434">
        <v>-1</v>
      </c>
      <c r="AJ434" t="s">
        <v>3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ROW(Source!A266)</f>
        <v>266</v>
      </c>
      <c r="B435">
        <v>57249498</v>
      </c>
      <c r="C435">
        <v>57249488</v>
      </c>
      <c r="D435">
        <v>54702434</v>
      </c>
      <c r="E435">
        <v>1081</v>
      </c>
      <c r="F435">
        <v>1</v>
      </c>
      <c r="G435">
        <v>1081</v>
      </c>
      <c r="H435">
        <v>1</v>
      </c>
      <c r="I435" t="s">
        <v>457</v>
      </c>
      <c r="J435" t="s">
        <v>3</v>
      </c>
      <c r="K435" t="s">
        <v>458</v>
      </c>
      <c r="L435">
        <v>1191</v>
      </c>
      <c r="N435">
        <v>1013</v>
      </c>
      <c r="O435" t="s">
        <v>459</v>
      </c>
      <c r="P435" t="s">
        <v>459</v>
      </c>
      <c r="Q435">
        <v>1</v>
      </c>
      <c r="X435">
        <v>4.49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  <c r="AE435">
        <v>1</v>
      </c>
      <c r="AF435" t="s">
        <v>120</v>
      </c>
      <c r="AG435">
        <v>5.3879999999999999</v>
      </c>
      <c r="AH435">
        <v>2</v>
      </c>
      <c r="AI435">
        <v>57249489</v>
      </c>
      <c r="AJ435">
        <v>351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ROW(Source!A266)</f>
        <v>266</v>
      </c>
      <c r="B436">
        <v>57249499</v>
      </c>
      <c r="C436">
        <v>57249488</v>
      </c>
      <c r="D436">
        <v>54768339</v>
      </c>
      <c r="E436">
        <v>1</v>
      </c>
      <c r="F436">
        <v>1</v>
      </c>
      <c r="G436">
        <v>1081</v>
      </c>
      <c r="H436">
        <v>2</v>
      </c>
      <c r="I436" t="s">
        <v>497</v>
      </c>
      <c r="J436" t="s">
        <v>498</v>
      </c>
      <c r="K436" t="s">
        <v>499</v>
      </c>
      <c r="L436">
        <v>1368</v>
      </c>
      <c r="N436">
        <v>1011</v>
      </c>
      <c r="O436" t="s">
        <v>463</v>
      </c>
      <c r="P436" t="s">
        <v>463</v>
      </c>
      <c r="Q436">
        <v>1</v>
      </c>
      <c r="X436">
        <v>0.01</v>
      </c>
      <c r="Y436">
        <v>0</v>
      </c>
      <c r="Z436">
        <v>83.1</v>
      </c>
      <c r="AA436">
        <v>12.62</v>
      </c>
      <c r="AB436">
        <v>0</v>
      </c>
      <c r="AC436">
        <v>0</v>
      </c>
      <c r="AD436">
        <v>1</v>
      </c>
      <c r="AE436">
        <v>0</v>
      </c>
      <c r="AF436" t="s">
        <v>120</v>
      </c>
      <c r="AG436">
        <v>1.2E-2</v>
      </c>
      <c r="AH436">
        <v>2</v>
      </c>
      <c r="AI436">
        <v>57249490</v>
      </c>
      <c r="AJ436">
        <v>352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ROW(Source!A266)</f>
        <v>266</v>
      </c>
      <c r="B437">
        <v>57249500</v>
      </c>
      <c r="C437">
        <v>57249488</v>
      </c>
      <c r="D437">
        <v>54767573</v>
      </c>
      <c r="E437">
        <v>1</v>
      </c>
      <c r="F437">
        <v>1</v>
      </c>
      <c r="G437">
        <v>1081</v>
      </c>
      <c r="H437">
        <v>2</v>
      </c>
      <c r="I437" t="s">
        <v>555</v>
      </c>
      <c r="J437" t="s">
        <v>556</v>
      </c>
      <c r="K437" t="s">
        <v>557</v>
      </c>
      <c r="L437">
        <v>1368</v>
      </c>
      <c r="N437">
        <v>1011</v>
      </c>
      <c r="O437" t="s">
        <v>463</v>
      </c>
      <c r="P437" t="s">
        <v>463</v>
      </c>
      <c r="Q437">
        <v>1</v>
      </c>
      <c r="X437">
        <v>0.01</v>
      </c>
      <c r="Y437">
        <v>0</v>
      </c>
      <c r="Z437">
        <v>179.17</v>
      </c>
      <c r="AA437">
        <v>16.93</v>
      </c>
      <c r="AB437">
        <v>0</v>
      </c>
      <c r="AC437">
        <v>0</v>
      </c>
      <c r="AD437">
        <v>1</v>
      </c>
      <c r="AE437">
        <v>0</v>
      </c>
      <c r="AF437" t="s">
        <v>120</v>
      </c>
      <c r="AG437">
        <v>1.2E-2</v>
      </c>
      <c r="AH437">
        <v>2</v>
      </c>
      <c r="AI437">
        <v>57249491</v>
      </c>
      <c r="AJ437">
        <v>353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ROW(Source!A266)</f>
        <v>266</v>
      </c>
      <c r="B438">
        <v>57249501</v>
      </c>
      <c r="C438">
        <v>57249488</v>
      </c>
      <c r="D438">
        <v>54738163</v>
      </c>
      <c r="E438">
        <v>1</v>
      </c>
      <c r="F438">
        <v>1</v>
      </c>
      <c r="G438">
        <v>1081</v>
      </c>
      <c r="H438">
        <v>3</v>
      </c>
      <c r="I438" t="s">
        <v>592</v>
      </c>
      <c r="J438" t="s">
        <v>593</v>
      </c>
      <c r="K438" t="s">
        <v>594</v>
      </c>
      <c r="L438">
        <v>1346</v>
      </c>
      <c r="N438">
        <v>1009</v>
      </c>
      <c r="O438" t="s">
        <v>320</v>
      </c>
      <c r="P438" t="s">
        <v>320</v>
      </c>
      <c r="Q438">
        <v>1</v>
      </c>
      <c r="X438">
        <v>0.43</v>
      </c>
      <c r="Y438">
        <v>1.38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119</v>
      </c>
      <c r="AG438">
        <v>0.43</v>
      </c>
      <c r="AH438">
        <v>2</v>
      </c>
      <c r="AI438">
        <v>57249492</v>
      </c>
      <c r="AJ438">
        <v>354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ROW(Source!A266)</f>
        <v>266</v>
      </c>
      <c r="B439">
        <v>57249502</v>
      </c>
      <c r="C439">
        <v>57249488</v>
      </c>
      <c r="D439">
        <v>54738554</v>
      </c>
      <c r="E439">
        <v>1</v>
      </c>
      <c r="F439">
        <v>1</v>
      </c>
      <c r="G439">
        <v>1081</v>
      </c>
      <c r="H439">
        <v>3</v>
      </c>
      <c r="I439" t="s">
        <v>504</v>
      </c>
      <c r="J439" t="s">
        <v>505</v>
      </c>
      <c r="K439" t="s">
        <v>506</v>
      </c>
      <c r="L439">
        <v>1346</v>
      </c>
      <c r="N439">
        <v>1009</v>
      </c>
      <c r="O439" t="s">
        <v>320</v>
      </c>
      <c r="P439" t="s">
        <v>320</v>
      </c>
      <c r="Q439">
        <v>1</v>
      </c>
      <c r="X439">
        <v>0.16</v>
      </c>
      <c r="Y439">
        <v>159.06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119</v>
      </c>
      <c r="AG439">
        <v>0.16</v>
      </c>
      <c r="AH439">
        <v>2</v>
      </c>
      <c r="AI439">
        <v>57249493</v>
      </c>
      <c r="AJ439">
        <v>355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ROW(Source!A266)</f>
        <v>266</v>
      </c>
      <c r="B440">
        <v>57249503</v>
      </c>
      <c r="C440">
        <v>57249488</v>
      </c>
      <c r="D440">
        <v>54760635</v>
      </c>
      <c r="E440">
        <v>1</v>
      </c>
      <c r="F440">
        <v>1</v>
      </c>
      <c r="G440">
        <v>1081</v>
      </c>
      <c r="H440">
        <v>3</v>
      </c>
      <c r="I440" t="s">
        <v>595</v>
      </c>
      <c r="J440" t="s">
        <v>596</v>
      </c>
      <c r="K440" t="s">
        <v>597</v>
      </c>
      <c r="L440">
        <v>1355</v>
      </c>
      <c r="N440">
        <v>1010</v>
      </c>
      <c r="O440" t="s">
        <v>67</v>
      </c>
      <c r="P440" t="s">
        <v>67</v>
      </c>
      <c r="Q440">
        <v>100</v>
      </c>
      <c r="X440">
        <v>0.05</v>
      </c>
      <c r="Y440">
        <v>68.819999999999993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119</v>
      </c>
      <c r="AG440">
        <v>0.05</v>
      </c>
      <c r="AH440">
        <v>2</v>
      </c>
      <c r="AI440">
        <v>57249494</v>
      </c>
      <c r="AJ440">
        <v>356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ROW(Source!A266)</f>
        <v>266</v>
      </c>
      <c r="B441">
        <v>57249504</v>
      </c>
      <c r="C441">
        <v>57249488</v>
      </c>
      <c r="D441">
        <v>54760646</v>
      </c>
      <c r="E441">
        <v>1</v>
      </c>
      <c r="F441">
        <v>1</v>
      </c>
      <c r="G441">
        <v>1081</v>
      </c>
      <c r="H441">
        <v>3</v>
      </c>
      <c r="I441" t="s">
        <v>598</v>
      </c>
      <c r="J441" t="s">
        <v>599</v>
      </c>
      <c r="K441" t="s">
        <v>600</v>
      </c>
      <c r="L441">
        <v>1356</v>
      </c>
      <c r="N441">
        <v>1010</v>
      </c>
      <c r="O441" t="s">
        <v>348</v>
      </c>
      <c r="P441" t="s">
        <v>348</v>
      </c>
      <c r="Q441">
        <v>1000</v>
      </c>
      <c r="X441">
        <v>1.2200000000000001E-2</v>
      </c>
      <c r="Y441">
        <v>183.4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119</v>
      </c>
      <c r="AG441">
        <v>1.2200000000000001E-2</v>
      </c>
      <c r="AH441">
        <v>2</v>
      </c>
      <c r="AI441">
        <v>57249495</v>
      </c>
      <c r="AJ441">
        <v>357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ROW(Source!A266)</f>
        <v>266</v>
      </c>
      <c r="B442">
        <v>57249505</v>
      </c>
      <c r="C442">
        <v>57249488</v>
      </c>
      <c r="D442">
        <v>54759972</v>
      </c>
      <c r="E442">
        <v>1</v>
      </c>
      <c r="F442">
        <v>1</v>
      </c>
      <c r="G442">
        <v>1081</v>
      </c>
      <c r="H442">
        <v>3</v>
      </c>
      <c r="I442" t="s">
        <v>601</v>
      </c>
      <c r="J442" t="s">
        <v>602</v>
      </c>
      <c r="K442" t="s">
        <v>603</v>
      </c>
      <c r="L442">
        <v>1354</v>
      </c>
      <c r="N442">
        <v>1010</v>
      </c>
      <c r="O442" t="s">
        <v>228</v>
      </c>
      <c r="P442" t="s">
        <v>228</v>
      </c>
      <c r="Q442">
        <v>1</v>
      </c>
      <c r="X442">
        <v>3.1</v>
      </c>
      <c r="Y442">
        <v>6.94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119</v>
      </c>
      <c r="AG442">
        <v>3.1</v>
      </c>
      <c r="AH442">
        <v>2</v>
      </c>
      <c r="AI442">
        <v>57249496</v>
      </c>
      <c r="AJ442">
        <v>358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ROW(Source!A266)</f>
        <v>266</v>
      </c>
      <c r="B443">
        <v>57249506</v>
      </c>
      <c r="C443">
        <v>57249488</v>
      </c>
      <c r="D443">
        <v>54759979</v>
      </c>
      <c r="E443">
        <v>1</v>
      </c>
      <c r="F443">
        <v>1</v>
      </c>
      <c r="G443">
        <v>1081</v>
      </c>
      <c r="H443">
        <v>3</v>
      </c>
      <c r="I443" t="s">
        <v>604</v>
      </c>
      <c r="J443" t="s">
        <v>605</v>
      </c>
      <c r="K443" t="s">
        <v>606</v>
      </c>
      <c r="L443">
        <v>1356</v>
      </c>
      <c r="N443">
        <v>1010</v>
      </c>
      <c r="O443" t="s">
        <v>348</v>
      </c>
      <c r="P443" t="s">
        <v>348</v>
      </c>
      <c r="Q443">
        <v>1000</v>
      </c>
      <c r="X443">
        <v>8.0000000000000002E-3</v>
      </c>
      <c r="Y443">
        <v>614.09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119</v>
      </c>
      <c r="AG443">
        <v>8.0000000000000002E-3</v>
      </c>
      <c r="AH443">
        <v>2</v>
      </c>
      <c r="AI443">
        <v>57249497</v>
      </c>
      <c r="AJ443">
        <v>359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ROW(Source!A266)</f>
        <v>266</v>
      </c>
      <c r="B444">
        <v>57249507</v>
      </c>
      <c r="C444">
        <v>57249488</v>
      </c>
      <c r="D444">
        <v>54712625</v>
      </c>
      <c r="E444">
        <v>1081</v>
      </c>
      <c r="F444">
        <v>1</v>
      </c>
      <c r="G444">
        <v>1081</v>
      </c>
      <c r="H444">
        <v>3</v>
      </c>
      <c r="I444" t="s">
        <v>674</v>
      </c>
      <c r="J444" t="s">
        <v>3</v>
      </c>
      <c r="K444" t="s">
        <v>686</v>
      </c>
      <c r="L444">
        <v>1303</v>
      </c>
      <c r="N444">
        <v>1003</v>
      </c>
      <c r="O444" t="s">
        <v>390</v>
      </c>
      <c r="P444" t="s">
        <v>390</v>
      </c>
      <c r="Q444">
        <v>1000</v>
      </c>
      <c r="X444">
        <v>0.10299999999999999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119</v>
      </c>
      <c r="AG444">
        <v>0.10299999999999999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ROW(Source!A267)</f>
        <v>267</v>
      </c>
      <c r="B445">
        <v>57249498</v>
      </c>
      <c r="C445">
        <v>57249488</v>
      </c>
      <c r="D445">
        <v>54702434</v>
      </c>
      <c r="E445">
        <v>1081</v>
      </c>
      <c r="F445">
        <v>1</v>
      </c>
      <c r="G445">
        <v>1081</v>
      </c>
      <c r="H445">
        <v>1</v>
      </c>
      <c r="I445" t="s">
        <v>457</v>
      </c>
      <c r="J445" t="s">
        <v>3</v>
      </c>
      <c r="K445" t="s">
        <v>458</v>
      </c>
      <c r="L445">
        <v>1191</v>
      </c>
      <c r="N445">
        <v>1013</v>
      </c>
      <c r="O445" t="s">
        <v>459</v>
      </c>
      <c r="P445" t="s">
        <v>459</v>
      </c>
      <c r="Q445">
        <v>1</v>
      </c>
      <c r="X445">
        <v>4.49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1</v>
      </c>
      <c r="AF445" t="s">
        <v>120</v>
      </c>
      <c r="AG445">
        <v>5.3879999999999999</v>
      </c>
      <c r="AH445">
        <v>2</v>
      </c>
      <c r="AI445">
        <v>57249489</v>
      </c>
      <c r="AJ445">
        <v>360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ROW(Source!A267)</f>
        <v>267</v>
      </c>
      <c r="B446">
        <v>57249499</v>
      </c>
      <c r="C446">
        <v>57249488</v>
      </c>
      <c r="D446">
        <v>54768339</v>
      </c>
      <c r="E446">
        <v>1</v>
      </c>
      <c r="F446">
        <v>1</v>
      </c>
      <c r="G446">
        <v>1081</v>
      </c>
      <c r="H446">
        <v>2</v>
      </c>
      <c r="I446" t="s">
        <v>497</v>
      </c>
      <c r="J446" t="s">
        <v>498</v>
      </c>
      <c r="K446" t="s">
        <v>499</v>
      </c>
      <c r="L446">
        <v>1368</v>
      </c>
      <c r="N446">
        <v>1011</v>
      </c>
      <c r="O446" t="s">
        <v>463</v>
      </c>
      <c r="P446" t="s">
        <v>463</v>
      </c>
      <c r="Q446">
        <v>1</v>
      </c>
      <c r="X446">
        <v>0.01</v>
      </c>
      <c r="Y446">
        <v>0</v>
      </c>
      <c r="Z446">
        <v>83.1</v>
      </c>
      <c r="AA446">
        <v>12.62</v>
      </c>
      <c r="AB446">
        <v>0</v>
      </c>
      <c r="AC446">
        <v>0</v>
      </c>
      <c r="AD446">
        <v>1</v>
      </c>
      <c r="AE446">
        <v>0</v>
      </c>
      <c r="AF446" t="s">
        <v>120</v>
      </c>
      <c r="AG446">
        <v>1.2E-2</v>
      </c>
      <c r="AH446">
        <v>2</v>
      </c>
      <c r="AI446">
        <v>57249490</v>
      </c>
      <c r="AJ446">
        <v>361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ROW(Source!A267)</f>
        <v>267</v>
      </c>
      <c r="B447">
        <v>57249500</v>
      </c>
      <c r="C447">
        <v>57249488</v>
      </c>
      <c r="D447">
        <v>54767573</v>
      </c>
      <c r="E447">
        <v>1</v>
      </c>
      <c r="F447">
        <v>1</v>
      </c>
      <c r="G447">
        <v>1081</v>
      </c>
      <c r="H447">
        <v>2</v>
      </c>
      <c r="I447" t="s">
        <v>555</v>
      </c>
      <c r="J447" t="s">
        <v>556</v>
      </c>
      <c r="K447" t="s">
        <v>557</v>
      </c>
      <c r="L447">
        <v>1368</v>
      </c>
      <c r="N447">
        <v>1011</v>
      </c>
      <c r="O447" t="s">
        <v>463</v>
      </c>
      <c r="P447" t="s">
        <v>463</v>
      </c>
      <c r="Q447">
        <v>1</v>
      </c>
      <c r="X447">
        <v>0.01</v>
      </c>
      <c r="Y447">
        <v>0</v>
      </c>
      <c r="Z447">
        <v>179.17</v>
      </c>
      <c r="AA447">
        <v>16.93</v>
      </c>
      <c r="AB447">
        <v>0</v>
      </c>
      <c r="AC447">
        <v>0</v>
      </c>
      <c r="AD447">
        <v>1</v>
      </c>
      <c r="AE447">
        <v>0</v>
      </c>
      <c r="AF447" t="s">
        <v>120</v>
      </c>
      <c r="AG447">
        <v>1.2E-2</v>
      </c>
      <c r="AH447">
        <v>2</v>
      </c>
      <c r="AI447">
        <v>57249491</v>
      </c>
      <c r="AJ447">
        <v>362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ROW(Source!A267)</f>
        <v>267</v>
      </c>
      <c r="B448">
        <v>57249501</v>
      </c>
      <c r="C448">
        <v>57249488</v>
      </c>
      <c r="D448">
        <v>54738163</v>
      </c>
      <c r="E448">
        <v>1</v>
      </c>
      <c r="F448">
        <v>1</v>
      </c>
      <c r="G448">
        <v>1081</v>
      </c>
      <c r="H448">
        <v>3</v>
      </c>
      <c r="I448" t="s">
        <v>592</v>
      </c>
      <c r="J448" t="s">
        <v>593</v>
      </c>
      <c r="K448" t="s">
        <v>594</v>
      </c>
      <c r="L448">
        <v>1346</v>
      </c>
      <c r="N448">
        <v>1009</v>
      </c>
      <c r="O448" t="s">
        <v>320</v>
      </c>
      <c r="P448" t="s">
        <v>320</v>
      </c>
      <c r="Q448">
        <v>1</v>
      </c>
      <c r="X448">
        <v>0.43</v>
      </c>
      <c r="Y448">
        <v>1.38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119</v>
      </c>
      <c r="AG448">
        <v>0.43</v>
      </c>
      <c r="AH448">
        <v>2</v>
      </c>
      <c r="AI448">
        <v>57249492</v>
      </c>
      <c r="AJ448">
        <v>363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ROW(Source!A267)</f>
        <v>267</v>
      </c>
      <c r="B449">
        <v>57249502</v>
      </c>
      <c r="C449">
        <v>57249488</v>
      </c>
      <c r="D449">
        <v>54738554</v>
      </c>
      <c r="E449">
        <v>1</v>
      </c>
      <c r="F449">
        <v>1</v>
      </c>
      <c r="G449">
        <v>1081</v>
      </c>
      <c r="H449">
        <v>3</v>
      </c>
      <c r="I449" t="s">
        <v>504</v>
      </c>
      <c r="J449" t="s">
        <v>505</v>
      </c>
      <c r="K449" t="s">
        <v>506</v>
      </c>
      <c r="L449">
        <v>1346</v>
      </c>
      <c r="N449">
        <v>1009</v>
      </c>
      <c r="O449" t="s">
        <v>320</v>
      </c>
      <c r="P449" t="s">
        <v>320</v>
      </c>
      <c r="Q449">
        <v>1</v>
      </c>
      <c r="X449">
        <v>0.16</v>
      </c>
      <c r="Y449">
        <v>159.06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0</v>
      </c>
      <c r="AF449" t="s">
        <v>119</v>
      </c>
      <c r="AG449">
        <v>0.16</v>
      </c>
      <c r="AH449">
        <v>2</v>
      </c>
      <c r="AI449">
        <v>57249493</v>
      </c>
      <c r="AJ449">
        <v>364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ROW(Source!A267)</f>
        <v>267</v>
      </c>
      <c r="B450">
        <v>57249503</v>
      </c>
      <c r="C450">
        <v>57249488</v>
      </c>
      <c r="D450">
        <v>54760635</v>
      </c>
      <c r="E450">
        <v>1</v>
      </c>
      <c r="F450">
        <v>1</v>
      </c>
      <c r="G450">
        <v>1081</v>
      </c>
      <c r="H450">
        <v>3</v>
      </c>
      <c r="I450" t="s">
        <v>595</v>
      </c>
      <c r="J450" t="s">
        <v>596</v>
      </c>
      <c r="K450" t="s">
        <v>597</v>
      </c>
      <c r="L450">
        <v>1355</v>
      </c>
      <c r="N450">
        <v>1010</v>
      </c>
      <c r="O450" t="s">
        <v>67</v>
      </c>
      <c r="P450" t="s">
        <v>67</v>
      </c>
      <c r="Q450">
        <v>100</v>
      </c>
      <c r="X450">
        <v>0.05</v>
      </c>
      <c r="Y450">
        <v>68.819999999999993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 t="s">
        <v>119</v>
      </c>
      <c r="AG450">
        <v>0.05</v>
      </c>
      <c r="AH450">
        <v>2</v>
      </c>
      <c r="AI450">
        <v>57249494</v>
      </c>
      <c r="AJ450">
        <v>365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ROW(Source!A267)</f>
        <v>267</v>
      </c>
      <c r="B451">
        <v>57249504</v>
      </c>
      <c r="C451">
        <v>57249488</v>
      </c>
      <c r="D451">
        <v>54760646</v>
      </c>
      <c r="E451">
        <v>1</v>
      </c>
      <c r="F451">
        <v>1</v>
      </c>
      <c r="G451">
        <v>1081</v>
      </c>
      <c r="H451">
        <v>3</v>
      </c>
      <c r="I451" t="s">
        <v>598</v>
      </c>
      <c r="J451" t="s">
        <v>599</v>
      </c>
      <c r="K451" t="s">
        <v>600</v>
      </c>
      <c r="L451">
        <v>1356</v>
      </c>
      <c r="N451">
        <v>1010</v>
      </c>
      <c r="O451" t="s">
        <v>348</v>
      </c>
      <c r="P451" t="s">
        <v>348</v>
      </c>
      <c r="Q451">
        <v>1000</v>
      </c>
      <c r="X451">
        <v>1.2200000000000001E-2</v>
      </c>
      <c r="Y451">
        <v>183.4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119</v>
      </c>
      <c r="AG451">
        <v>1.2200000000000001E-2</v>
      </c>
      <c r="AH451">
        <v>2</v>
      </c>
      <c r="AI451">
        <v>57249495</v>
      </c>
      <c r="AJ451">
        <v>366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ROW(Source!A267)</f>
        <v>267</v>
      </c>
      <c r="B452">
        <v>57249505</v>
      </c>
      <c r="C452">
        <v>57249488</v>
      </c>
      <c r="D452">
        <v>54759972</v>
      </c>
      <c r="E452">
        <v>1</v>
      </c>
      <c r="F452">
        <v>1</v>
      </c>
      <c r="G452">
        <v>1081</v>
      </c>
      <c r="H452">
        <v>3</v>
      </c>
      <c r="I452" t="s">
        <v>601</v>
      </c>
      <c r="J452" t="s">
        <v>602</v>
      </c>
      <c r="K452" t="s">
        <v>603</v>
      </c>
      <c r="L452">
        <v>1354</v>
      </c>
      <c r="N452">
        <v>1010</v>
      </c>
      <c r="O452" t="s">
        <v>228</v>
      </c>
      <c r="P452" t="s">
        <v>228</v>
      </c>
      <c r="Q452">
        <v>1</v>
      </c>
      <c r="X452">
        <v>3.1</v>
      </c>
      <c r="Y452">
        <v>6.94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119</v>
      </c>
      <c r="AG452">
        <v>3.1</v>
      </c>
      <c r="AH452">
        <v>2</v>
      </c>
      <c r="AI452">
        <v>57249496</v>
      </c>
      <c r="AJ452">
        <v>367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ROW(Source!A267)</f>
        <v>267</v>
      </c>
      <c r="B453">
        <v>57249506</v>
      </c>
      <c r="C453">
        <v>57249488</v>
      </c>
      <c r="D453">
        <v>54759979</v>
      </c>
      <c r="E453">
        <v>1</v>
      </c>
      <c r="F453">
        <v>1</v>
      </c>
      <c r="G453">
        <v>1081</v>
      </c>
      <c r="H453">
        <v>3</v>
      </c>
      <c r="I453" t="s">
        <v>604</v>
      </c>
      <c r="J453" t="s">
        <v>605</v>
      </c>
      <c r="K453" t="s">
        <v>606</v>
      </c>
      <c r="L453">
        <v>1356</v>
      </c>
      <c r="N453">
        <v>1010</v>
      </c>
      <c r="O453" t="s">
        <v>348</v>
      </c>
      <c r="P453" t="s">
        <v>348</v>
      </c>
      <c r="Q453">
        <v>1000</v>
      </c>
      <c r="X453">
        <v>8.0000000000000002E-3</v>
      </c>
      <c r="Y453">
        <v>614.09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119</v>
      </c>
      <c r="AG453">
        <v>8.0000000000000002E-3</v>
      </c>
      <c r="AH453">
        <v>2</v>
      </c>
      <c r="AI453">
        <v>57249497</v>
      </c>
      <c r="AJ453">
        <v>368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ROW(Source!A267)</f>
        <v>267</v>
      </c>
      <c r="B454">
        <v>57249507</v>
      </c>
      <c r="C454">
        <v>57249488</v>
      </c>
      <c r="D454">
        <v>54712625</v>
      </c>
      <c r="E454">
        <v>1081</v>
      </c>
      <c r="F454">
        <v>1</v>
      </c>
      <c r="G454">
        <v>1081</v>
      </c>
      <c r="H454">
        <v>3</v>
      </c>
      <c r="I454" t="s">
        <v>674</v>
      </c>
      <c r="J454" t="s">
        <v>3</v>
      </c>
      <c r="K454" t="s">
        <v>686</v>
      </c>
      <c r="L454">
        <v>1303</v>
      </c>
      <c r="N454">
        <v>1003</v>
      </c>
      <c r="O454" t="s">
        <v>390</v>
      </c>
      <c r="P454" t="s">
        <v>390</v>
      </c>
      <c r="Q454">
        <v>1000</v>
      </c>
      <c r="X454">
        <v>0.10299999999999999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 t="s">
        <v>119</v>
      </c>
      <c r="AG454">
        <v>0.10299999999999999</v>
      </c>
      <c r="AH454">
        <v>3</v>
      </c>
      <c r="AI454">
        <v>-1</v>
      </c>
      <c r="AJ454" t="s">
        <v>3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ROW(Source!A274)</f>
        <v>274</v>
      </c>
      <c r="B455">
        <v>57249532</v>
      </c>
      <c r="C455">
        <v>57249523</v>
      </c>
      <c r="D455">
        <v>54702434</v>
      </c>
      <c r="E455">
        <v>1081</v>
      </c>
      <c r="F455">
        <v>1</v>
      </c>
      <c r="G455">
        <v>1081</v>
      </c>
      <c r="H455">
        <v>1</v>
      </c>
      <c r="I455" t="s">
        <v>457</v>
      </c>
      <c r="J455" t="s">
        <v>3</v>
      </c>
      <c r="K455" t="s">
        <v>458</v>
      </c>
      <c r="L455">
        <v>1191</v>
      </c>
      <c r="N455">
        <v>1013</v>
      </c>
      <c r="O455" t="s">
        <v>459</v>
      </c>
      <c r="P455" t="s">
        <v>459</v>
      </c>
      <c r="Q455">
        <v>1</v>
      </c>
      <c r="X455">
        <v>1.83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1</v>
      </c>
      <c r="AF455" t="s">
        <v>120</v>
      </c>
      <c r="AG455">
        <v>2.1960000000000002</v>
      </c>
      <c r="AH455">
        <v>2</v>
      </c>
      <c r="AI455">
        <v>57249524</v>
      </c>
      <c r="AJ455">
        <v>369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ROW(Source!A274)</f>
        <v>274</v>
      </c>
      <c r="B456">
        <v>57249533</v>
      </c>
      <c r="C456">
        <v>57249523</v>
      </c>
      <c r="D456">
        <v>54768339</v>
      </c>
      <c r="E456">
        <v>1</v>
      </c>
      <c r="F456">
        <v>1</v>
      </c>
      <c r="G456">
        <v>1081</v>
      </c>
      <c r="H456">
        <v>2</v>
      </c>
      <c r="I456" t="s">
        <v>497</v>
      </c>
      <c r="J456" t="s">
        <v>498</v>
      </c>
      <c r="K456" t="s">
        <v>499</v>
      </c>
      <c r="L456">
        <v>1368</v>
      </c>
      <c r="N456">
        <v>1011</v>
      </c>
      <c r="O456" t="s">
        <v>463</v>
      </c>
      <c r="P456" t="s">
        <v>463</v>
      </c>
      <c r="Q456">
        <v>1</v>
      </c>
      <c r="X456">
        <v>0.01</v>
      </c>
      <c r="Y456">
        <v>0</v>
      </c>
      <c r="Z456">
        <v>83.1</v>
      </c>
      <c r="AA456">
        <v>12.62</v>
      </c>
      <c r="AB456">
        <v>0</v>
      </c>
      <c r="AC456">
        <v>0</v>
      </c>
      <c r="AD456">
        <v>1</v>
      </c>
      <c r="AE456">
        <v>0</v>
      </c>
      <c r="AF456" t="s">
        <v>120</v>
      </c>
      <c r="AG456">
        <v>1.2E-2</v>
      </c>
      <c r="AH456">
        <v>2</v>
      </c>
      <c r="AI456">
        <v>57249525</v>
      </c>
      <c r="AJ456">
        <v>370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ROW(Source!A274)</f>
        <v>274</v>
      </c>
      <c r="B457">
        <v>57249534</v>
      </c>
      <c r="C457">
        <v>57249523</v>
      </c>
      <c r="D457">
        <v>54767573</v>
      </c>
      <c r="E457">
        <v>1</v>
      </c>
      <c r="F457">
        <v>1</v>
      </c>
      <c r="G457">
        <v>1081</v>
      </c>
      <c r="H457">
        <v>2</v>
      </c>
      <c r="I457" t="s">
        <v>555</v>
      </c>
      <c r="J457" t="s">
        <v>556</v>
      </c>
      <c r="K457" t="s">
        <v>557</v>
      </c>
      <c r="L457">
        <v>1368</v>
      </c>
      <c r="N457">
        <v>1011</v>
      </c>
      <c r="O457" t="s">
        <v>463</v>
      </c>
      <c r="P457" t="s">
        <v>463</v>
      </c>
      <c r="Q457">
        <v>1</v>
      </c>
      <c r="X457">
        <v>0.01</v>
      </c>
      <c r="Y457">
        <v>0</v>
      </c>
      <c r="Z457">
        <v>179.17</v>
      </c>
      <c r="AA457">
        <v>16.93</v>
      </c>
      <c r="AB457">
        <v>0</v>
      </c>
      <c r="AC457">
        <v>0</v>
      </c>
      <c r="AD457">
        <v>1</v>
      </c>
      <c r="AE457">
        <v>0</v>
      </c>
      <c r="AF457" t="s">
        <v>120</v>
      </c>
      <c r="AG457">
        <v>1.2E-2</v>
      </c>
      <c r="AH457">
        <v>2</v>
      </c>
      <c r="AI457">
        <v>57249526</v>
      </c>
      <c r="AJ457">
        <v>371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ROW(Source!A274)</f>
        <v>274</v>
      </c>
      <c r="B458">
        <v>57249535</v>
      </c>
      <c r="C458">
        <v>57249523</v>
      </c>
      <c r="D458">
        <v>54738163</v>
      </c>
      <c r="E458">
        <v>1</v>
      </c>
      <c r="F458">
        <v>1</v>
      </c>
      <c r="G458">
        <v>1081</v>
      </c>
      <c r="H458">
        <v>3</v>
      </c>
      <c r="I458" t="s">
        <v>592</v>
      </c>
      <c r="J458" t="s">
        <v>593</v>
      </c>
      <c r="K458" t="s">
        <v>594</v>
      </c>
      <c r="L458">
        <v>1346</v>
      </c>
      <c r="N458">
        <v>1009</v>
      </c>
      <c r="O458" t="s">
        <v>320</v>
      </c>
      <c r="P458" t="s">
        <v>320</v>
      </c>
      <c r="Q458">
        <v>1</v>
      </c>
      <c r="X458">
        <v>0.6</v>
      </c>
      <c r="Y458">
        <v>1.38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119</v>
      </c>
      <c r="AG458">
        <v>0.6</v>
      </c>
      <c r="AH458">
        <v>2</v>
      </c>
      <c r="AI458">
        <v>57249527</v>
      </c>
      <c r="AJ458">
        <v>372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ROW(Source!A274)</f>
        <v>274</v>
      </c>
      <c r="B459">
        <v>57249536</v>
      </c>
      <c r="C459">
        <v>57249523</v>
      </c>
      <c r="D459">
        <v>54738554</v>
      </c>
      <c r="E459">
        <v>1</v>
      </c>
      <c r="F459">
        <v>1</v>
      </c>
      <c r="G459">
        <v>1081</v>
      </c>
      <c r="H459">
        <v>3</v>
      </c>
      <c r="I459" t="s">
        <v>504</v>
      </c>
      <c r="J459" t="s">
        <v>505</v>
      </c>
      <c r="K459" t="s">
        <v>506</v>
      </c>
      <c r="L459">
        <v>1346</v>
      </c>
      <c r="N459">
        <v>1009</v>
      </c>
      <c r="O459" t="s">
        <v>320</v>
      </c>
      <c r="P459" t="s">
        <v>320</v>
      </c>
      <c r="Q459">
        <v>1</v>
      </c>
      <c r="X459">
        <v>0.16</v>
      </c>
      <c r="Y459">
        <v>159.06</v>
      </c>
      <c r="Z459">
        <v>0</v>
      </c>
      <c r="AA459">
        <v>0</v>
      </c>
      <c r="AB459">
        <v>0</v>
      </c>
      <c r="AC459">
        <v>0</v>
      </c>
      <c r="AD459">
        <v>1</v>
      </c>
      <c r="AE459">
        <v>0</v>
      </c>
      <c r="AF459" t="s">
        <v>119</v>
      </c>
      <c r="AG459">
        <v>0.16</v>
      </c>
      <c r="AH459">
        <v>2</v>
      </c>
      <c r="AI459">
        <v>57249528</v>
      </c>
      <c r="AJ459">
        <v>373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ROW(Source!A274)</f>
        <v>274</v>
      </c>
      <c r="B460">
        <v>57249537</v>
      </c>
      <c r="C460">
        <v>57249523</v>
      </c>
      <c r="D460">
        <v>54760647</v>
      </c>
      <c r="E460">
        <v>1</v>
      </c>
      <c r="F460">
        <v>1</v>
      </c>
      <c r="G460">
        <v>1081</v>
      </c>
      <c r="H460">
        <v>3</v>
      </c>
      <c r="I460" t="s">
        <v>607</v>
      </c>
      <c r="J460" t="s">
        <v>608</v>
      </c>
      <c r="K460" t="s">
        <v>609</v>
      </c>
      <c r="L460">
        <v>1356</v>
      </c>
      <c r="N460">
        <v>1010</v>
      </c>
      <c r="O460" t="s">
        <v>348</v>
      </c>
      <c r="P460" t="s">
        <v>348</v>
      </c>
      <c r="Q460">
        <v>1000</v>
      </c>
      <c r="X460">
        <v>1.2200000000000001E-2</v>
      </c>
      <c r="Y460">
        <v>226.86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 t="s">
        <v>119</v>
      </c>
      <c r="AG460">
        <v>1.2200000000000001E-2</v>
      </c>
      <c r="AH460">
        <v>2</v>
      </c>
      <c r="AI460">
        <v>57249529</v>
      </c>
      <c r="AJ460">
        <v>374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ROW(Source!A274)</f>
        <v>274</v>
      </c>
      <c r="B461">
        <v>57249538</v>
      </c>
      <c r="C461">
        <v>57249523</v>
      </c>
      <c r="D461">
        <v>54759972</v>
      </c>
      <c r="E461">
        <v>1</v>
      </c>
      <c r="F461">
        <v>1</v>
      </c>
      <c r="G461">
        <v>1081</v>
      </c>
      <c r="H461">
        <v>3</v>
      </c>
      <c r="I461" t="s">
        <v>601</v>
      </c>
      <c r="J461" t="s">
        <v>602</v>
      </c>
      <c r="K461" t="s">
        <v>603</v>
      </c>
      <c r="L461">
        <v>1354</v>
      </c>
      <c r="N461">
        <v>1010</v>
      </c>
      <c r="O461" t="s">
        <v>228</v>
      </c>
      <c r="P461" t="s">
        <v>228</v>
      </c>
      <c r="Q461">
        <v>1</v>
      </c>
      <c r="X461">
        <v>3.1</v>
      </c>
      <c r="Y461">
        <v>6.94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119</v>
      </c>
      <c r="AG461">
        <v>3.1</v>
      </c>
      <c r="AH461">
        <v>2</v>
      </c>
      <c r="AI461">
        <v>57249530</v>
      </c>
      <c r="AJ461">
        <v>375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ROW(Source!A274)</f>
        <v>274</v>
      </c>
      <c r="B462">
        <v>57249539</v>
      </c>
      <c r="C462">
        <v>57249523</v>
      </c>
      <c r="D462">
        <v>54759980</v>
      </c>
      <c r="E462">
        <v>1</v>
      </c>
      <c r="F462">
        <v>1</v>
      </c>
      <c r="G462">
        <v>1081</v>
      </c>
      <c r="H462">
        <v>3</v>
      </c>
      <c r="I462" t="s">
        <v>610</v>
      </c>
      <c r="J462" t="s">
        <v>611</v>
      </c>
      <c r="K462" t="s">
        <v>612</v>
      </c>
      <c r="L462">
        <v>1356</v>
      </c>
      <c r="N462">
        <v>1010</v>
      </c>
      <c r="O462" t="s">
        <v>348</v>
      </c>
      <c r="P462" t="s">
        <v>348</v>
      </c>
      <c r="Q462">
        <v>1000</v>
      </c>
      <c r="X462">
        <v>8.0000000000000002E-3</v>
      </c>
      <c r="Y462">
        <v>614.09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119</v>
      </c>
      <c r="AG462">
        <v>8.0000000000000002E-3</v>
      </c>
      <c r="AH462">
        <v>2</v>
      </c>
      <c r="AI462">
        <v>57249531</v>
      </c>
      <c r="AJ462">
        <v>376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ROW(Source!A274)</f>
        <v>274</v>
      </c>
      <c r="B463">
        <v>57249540</v>
      </c>
      <c r="C463">
        <v>57249523</v>
      </c>
      <c r="D463">
        <v>54712625</v>
      </c>
      <c r="E463">
        <v>1081</v>
      </c>
      <c r="F463">
        <v>1</v>
      </c>
      <c r="G463">
        <v>1081</v>
      </c>
      <c r="H463">
        <v>3</v>
      </c>
      <c r="I463" t="s">
        <v>674</v>
      </c>
      <c r="J463" t="s">
        <v>3</v>
      </c>
      <c r="K463" t="s">
        <v>686</v>
      </c>
      <c r="L463">
        <v>1303</v>
      </c>
      <c r="N463">
        <v>1003</v>
      </c>
      <c r="O463" t="s">
        <v>390</v>
      </c>
      <c r="P463" t="s">
        <v>390</v>
      </c>
      <c r="Q463">
        <v>1000</v>
      </c>
      <c r="X463">
        <v>0.10299999999999999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 t="s">
        <v>119</v>
      </c>
      <c r="AG463">
        <v>0.10299999999999999</v>
      </c>
      <c r="AH463">
        <v>3</v>
      </c>
      <c r="AI463">
        <v>-1</v>
      </c>
      <c r="AJ463" t="s">
        <v>3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ROW(Source!A275)</f>
        <v>275</v>
      </c>
      <c r="B464">
        <v>57249532</v>
      </c>
      <c r="C464">
        <v>57249523</v>
      </c>
      <c r="D464">
        <v>54702434</v>
      </c>
      <c r="E464">
        <v>1081</v>
      </c>
      <c r="F464">
        <v>1</v>
      </c>
      <c r="G464">
        <v>1081</v>
      </c>
      <c r="H464">
        <v>1</v>
      </c>
      <c r="I464" t="s">
        <v>457</v>
      </c>
      <c r="J464" t="s">
        <v>3</v>
      </c>
      <c r="K464" t="s">
        <v>458</v>
      </c>
      <c r="L464">
        <v>1191</v>
      </c>
      <c r="N464">
        <v>1013</v>
      </c>
      <c r="O464" t="s">
        <v>459</v>
      </c>
      <c r="P464" t="s">
        <v>459</v>
      </c>
      <c r="Q464">
        <v>1</v>
      </c>
      <c r="X464">
        <v>1.83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1</v>
      </c>
      <c r="AF464" t="s">
        <v>120</v>
      </c>
      <c r="AG464">
        <v>2.1960000000000002</v>
      </c>
      <c r="AH464">
        <v>2</v>
      </c>
      <c r="AI464">
        <v>57249524</v>
      </c>
      <c r="AJ464">
        <v>377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ROW(Source!A275)</f>
        <v>275</v>
      </c>
      <c r="B465">
        <v>57249533</v>
      </c>
      <c r="C465">
        <v>57249523</v>
      </c>
      <c r="D465">
        <v>54768339</v>
      </c>
      <c r="E465">
        <v>1</v>
      </c>
      <c r="F465">
        <v>1</v>
      </c>
      <c r="G465">
        <v>1081</v>
      </c>
      <c r="H465">
        <v>2</v>
      </c>
      <c r="I465" t="s">
        <v>497</v>
      </c>
      <c r="J465" t="s">
        <v>498</v>
      </c>
      <c r="K465" t="s">
        <v>499</v>
      </c>
      <c r="L465">
        <v>1368</v>
      </c>
      <c r="N465">
        <v>1011</v>
      </c>
      <c r="O465" t="s">
        <v>463</v>
      </c>
      <c r="P465" t="s">
        <v>463</v>
      </c>
      <c r="Q465">
        <v>1</v>
      </c>
      <c r="X465">
        <v>0.01</v>
      </c>
      <c r="Y465">
        <v>0</v>
      </c>
      <c r="Z465">
        <v>83.1</v>
      </c>
      <c r="AA465">
        <v>12.62</v>
      </c>
      <c r="AB465">
        <v>0</v>
      </c>
      <c r="AC465">
        <v>0</v>
      </c>
      <c r="AD465">
        <v>1</v>
      </c>
      <c r="AE465">
        <v>0</v>
      </c>
      <c r="AF465" t="s">
        <v>120</v>
      </c>
      <c r="AG465">
        <v>1.2E-2</v>
      </c>
      <c r="AH465">
        <v>2</v>
      </c>
      <c r="AI465">
        <v>57249525</v>
      </c>
      <c r="AJ465">
        <v>378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ROW(Source!A275)</f>
        <v>275</v>
      </c>
      <c r="B466">
        <v>57249534</v>
      </c>
      <c r="C466">
        <v>57249523</v>
      </c>
      <c r="D466">
        <v>54767573</v>
      </c>
      <c r="E466">
        <v>1</v>
      </c>
      <c r="F466">
        <v>1</v>
      </c>
      <c r="G466">
        <v>1081</v>
      </c>
      <c r="H466">
        <v>2</v>
      </c>
      <c r="I466" t="s">
        <v>555</v>
      </c>
      <c r="J466" t="s">
        <v>556</v>
      </c>
      <c r="K466" t="s">
        <v>557</v>
      </c>
      <c r="L466">
        <v>1368</v>
      </c>
      <c r="N466">
        <v>1011</v>
      </c>
      <c r="O466" t="s">
        <v>463</v>
      </c>
      <c r="P466" t="s">
        <v>463</v>
      </c>
      <c r="Q466">
        <v>1</v>
      </c>
      <c r="X466">
        <v>0.01</v>
      </c>
      <c r="Y466">
        <v>0</v>
      </c>
      <c r="Z466">
        <v>179.17</v>
      </c>
      <c r="AA466">
        <v>16.93</v>
      </c>
      <c r="AB466">
        <v>0</v>
      </c>
      <c r="AC466">
        <v>0</v>
      </c>
      <c r="AD466">
        <v>1</v>
      </c>
      <c r="AE466">
        <v>0</v>
      </c>
      <c r="AF466" t="s">
        <v>120</v>
      </c>
      <c r="AG466">
        <v>1.2E-2</v>
      </c>
      <c r="AH466">
        <v>2</v>
      </c>
      <c r="AI466">
        <v>57249526</v>
      </c>
      <c r="AJ466">
        <v>379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ROW(Source!A275)</f>
        <v>275</v>
      </c>
      <c r="B467">
        <v>57249535</v>
      </c>
      <c r="C467">
        <v>57249523</v>
      </c>
      <c r="D467">
        <v>54738163</v>
      </c>
      <c r="E467">
        <v>1</v>
      </c>
      <c r="F467">
        <v>1</v>
      </c>
      <c r="G467">
        <v>1081</v>
      </c>
      <c r="H467">
        <v>3</v>
      </c>
      <c r="I467" t="s">
        <v>592</v>
      </c>
      <c r="J467" t="s">
        <v>593</v>
      </c>
      <c r="K467" t="s">
        <v>594</v>
      </c>
      <c r="L467">
        <v>1346</v>
      </c>
      <c r="N467">
        <v>1009</v>
      </c>
      <c r="O467" t="s">
        <v>320</v>
      </c>
      <c r="P467" t="s">
        <v>320</v>
      </c>
      <c r="Q467">
        <v>1</v>
      </c>
      <c r="X467">
        <v>0.6</v>
      </c>
      <c r="Y467">
        <v>1.38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119</v>
      </c>
      <c r="AG467">
        <v>0.6</v>
      </c>
      <c r="AH467">
        <v>2</v>
      </c>
      <c r="AI467">
        <v>57249527</v>
      </c>
      <c r="AJ467">
        <v>380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ROW(Source!A275)</f>
        <v>275</v>
      </c>
      <c r="B468">
        <v>57249536</v>
      </c>
      <c r="C468">
        <v>57249523</v>
      </c>
      <c r="D468">
        <v>54738554</v>
      </c>
      <c r="E468">
        <v>1</v>
      </c>
      <c r="F468">
        <v>1</v>
      </c>
      <c r="G468">
        <v>1081</v>
      </c>
      <c r="H468">
        <v>3</v>
      </c>
      <c r="I468" t="s">
        <v>504</v>
      </c>
      <c r="J468" t="s">
        <v>505</v>
      </c>
      <c r="K468" t="s">
        <v>506</v>
      </c>
      <c r="L468">
        <v>1346</v>
      </c>
      <c r="N468">
        <v>1009</v>
      </c>
      <c r="O468" t="s">
        <v>320</v>
      </c>
      <c r="P468" t="s">
        <v>320</v>
      </c>
      <c r="Q468">
        <v>1</v>
      </c>
      <c r="X468">
        <v>0.16</v>
      </c>
      <c r="Y468">
        <v>159.06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119</v>
      </c>
      <c r="AG468">
        <v>0.16</v>
      </c>
      <c r="AH468">
        <v>2</v>
      </c>
      <c r="AI468">
        <v>57249528</v>
      </c>
      <c r="AJ468">
        <v>381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ROW(Source!A275)</f>
        <v>275</v>
      </c>
      <c r="B469">
        <v>57249537</v>
      </c>
      <c r="C469">
        <v>57249523</v>
      </c>
      <c r="D469">
        <v>54760647</v>
      </c>
      <c r="E469">
        <v>1</v>
      </c>
      <c r="F469">
        <v>1</v>
      </c>
      <c r="G469">
        <v>1081</v>
      </c>
      <c r="H469">
        <v>3</v>
      </c>
      <c r="I469" t="s">
        <v>607</v>
      </c>
      <c r="J469" t="s">
        <v>608</v>
      </c>
      <c r="K469" t="s">
        <v>609</v>
      </c>
      <c r="L469">
        <v>1356</v>
      </c>
      <c r="N469">
        <v>1010</v>
      </c>
      <c r="O469" t="s">
        <v>348</v>
      </c>
      <c r="P469" t="s">
        <v>348</v>
      </c>
      <c r="Q469">
        <v>1000</v>
      </c>
      <c r="X469">
        <v>1.2200000000000001E-2</v>
      </c>
      <c r="Y469">
        <v>226.86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119</v>
      </c>
      <c r="AG469">
        <v>1.2200000000000001E-2</v>
      </c>
      <c r="AH469">
        <v>2</v>
      </c>
      <c r="AI469">
        <v>57249529</v>
      </c>
      <c r="AJ469">
        <v>382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ROW(Source!A275)</f>
        <v>275</v>
      </c>
      <c r="B470">
        <v>57249538</v>
      </c>
      <c r="C470">
        <v>57249523</v>
      </c>
      <c r="D470">
        <v>54759972</v>
      </c>
      <c r="E470">
        <v>1</v>
      </c>
      <c r="F470">
        <v>1</v>
      </c>
      <c r="G470">
        <v>1081</v>
      </c>
      <c r="H470">
        <v>3</v>
      </c>
      <c r="I470" t="s">
        <v>601</v>
      </c>
      <c r="J470" t="s">
        <v>602</v>
      </c>
      <c r="K470" t="s">
        <v>603</v>
      </c>
      <c r="L470">
        <v>1354</v>
      </c>
      <c r="N470">
        <v>1010</v>
      </c>
      <c r="O470" t="s">
        <v>228</v>
      </c>
      <c r="P470" t="s">
        <v>228</v>
      </c>
      <c r="Q470">
        <v>1</v>
      </c>
      <c r="X470">
        <v>3.1</v>
      </c>
      <c r="Y470">
        <v>6.94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119</v>
      </c>
      <c r="AG470">
        <v>3.1</v>
      </c>
      <c r="AH470">
        <v>2</v>
      </c>
      <c r="AI470">
        <v>57249530</v>
      </c>
      <c r="AJ470">
        <v>383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ROW(Source!A275)</f>
        <v>275</v>
      </c>
      <c r="B471">
        <v>57249539</v>
      </c>
      <c r="C471">
        <v>57249523</v>
      </c>
      <c r="D471">
        <v>54759980</v>
      </c>
      <c r="E471">
        <v>1</v>
      </c>
      <c r="F471">
        <v>1</v>
      </c>
      <c r="G471">
        <v>1081</v>
      </c>
      <c r="H471">
        <v>3</v>
      </c>
      <c r="I471" t="s">
        <v>610</v>
      </c>
      <c r="J471" t="s">
        <v>611</v>
      </c>
      <c r="K471" t="s">
        <v>612</v>
      </c>
      <c r="L471">
        <v>1356</v>
      </c>
      <c r="N471">
        <v>1010</v>
      </c>
      <c r="O471" t="s">
        <v>348</v>
      </c>
      <c r="P471" t="s">
        <v>348</v>
      </c>
      <c r="Q471">
        <v>1000</v>
      </c>
      <c r="X471">
        <v>8.0000000000000002E-3</v>
      </c>
      <c r="Y471">
        <v>614.09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119</v>
      </c>
      <c r="AG471">
        <v>8.0000000000000002E-3</v>
      </c>
      <c r="AH471">
        <v>2</v>
      </c>
      <c r="AI471">
        <v>57249531</v>
      </c>
      <c r="AJ471">
        <v>384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ROW(Source!A275)</f>
        <v>275</v>
      </c>
      <c r="B472">
        <v>57249540</v>
      </c>
      <c r="C472">
        <v>57249523</v>
      </c>
      <c r="D472">
        <v>54712625</v>
      </c>
      <c r="E472">
        <v>1081</v>
      </c>
      <c r="F472">
        <v>1</v>
      </c>
      <c r="G472">
        <v>1081</v>
      </c>
      <c r="H472">
        <v>3</v>
      </c>
      <c r="I472" t="s">
        <v>674</v>
      </c>
      <c r="J472" t="s">
        <v>3</v>
      </c>
      <c r="K472" t="s">
        <v>686</v>
      </c>
      <c r="L472">
        <v>1303</v>
      </c>
      <c r="N472">
        <v>1003</v>
      </c>
      <c r="O472" t="s">
        <v>390</v>
      </c>
      <c r="P472" t="s">
        <v>390</v>
      </c>
      <c r="Q472">
        <v>1000</v>
      </c>
      <c r="X472">
        <v>0.10299999999999999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119</v>
      </c>
      <c r="AG472">
        <v>0.10299999999999999</v>
      </c>
      <c r="AH472">
        <v>3</v>
      </c>
      <c r="AI472">
        <v>-1</v>
      </c>
      <c r="AJ472" t="s">
        <v>3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ROW(Source!A278)</f>
        <v>278</v>
      </c>
      <c r="B473">
        <v>57249552</v>
      </c>
      <c r="C473">
        <v>57249542</v>
      </c>
      <c r="D473">
        <v>54702434</v>
      </c>
      <c r="E473">
        <v>1081</v>
      </c>
      <c r="F473">
        <v>1</v>
      </c>
      <c r="G473">
        <v>1081</v>
      </c>
      <c r="H473">
        <v>1</v>
      </c>
      <c r="I473" t="s">
        <v>457</v>
      </c>
      <c r="J473" t="s">
        <v>3</v>
      </c>
      <c r="K473" t="s">
        <v>458</v>
      </c>
      <c r="L473">
        <v>1191</v>
      </c>
      <c r="N473">
        <v>1013</v>
      </c>
      <c r="O473" t="s">
        <v>459</v>
      </c>
      <c r="P473" t="s">
        <v>459</v>
      </c>
      <c r="Q473">
        <v>1</v>
      </c>
      <c r="X473">
        <v>40.200000000000003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1</v>
      </c>
      <c r="AF473" t="s">
        <v>120</v>
      </c>
      <c r="AG473">
        <v>48.24</v>
      </c>
      <c r="AH473">
        <v>2</v>
      </c>
      <c r="AI473">
        <v>57249551</v>
      </c>
      <c r="AJ473">
        <v>385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ROW(Source!A278)</f>
        <v>278</v>
      </c>
      <c r="B474">
        <v>57249553</v>
      </c>
      <c r="C474">
        <v>57249542</v>
      </c>
      <c r="D474">
        <v>54768339</v>
      </c>
      <c r="E474">
        <v>1</v>
      </c>
      <c r="F474">
        <v>1</v>
      </c>
      <c r="G474">
        <v>1081</v>
      </c>
      <c r="H474">
        <v>2</v>
      </c>
      <c r="I474" t="s">
        <v>497</v>
      </c>
      <c r="J474" t="s">
        <v>498</v>
      </c>
      <c r="K474" t="s">
        <v>499</v>
      </c>
      <c r="L474">
        <v>1368</v>
      </c>
      <c r="N474">
        <v>1011</v>
      </c>
      <c r="O474" t="s">
        <v>463</v>
      </c>
      <c r="P474" t="s">
        <v>463</v>
      </c>
      <c r="Q474">
        <v>1</v>
      </c>
      <c r="X474">
        <v>0.03</v>
      </c>
      <c r="Y474">
        <v>0</v>
      </c>
      <c r="Z474">
        <v>83.1</v>
      </c>
      <c r="AA474">
        <v>12.62</v>
      </c>
      <c r="AB474">
        <v>0</v>
      </c>
      <c r="AC474">
        <v>0</v>
      </c>
      <c r="AD474">
        <v>1</v>
      </c>
      <c r="AE474">
        <v>0</v>
      </c>
      <c r="AF474" t="s">
        <v>120</v>
      </c>
      <c r="AG474">
        <v>3.5999999999999997E-2</v>
      </c>
      <c r="AH474">
        <v>2</v>
      </c>
      <c r="AI474">
        <v>57249543</v>
      </c>
      <c r="AJ474">
        <v>386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ROW(Source!A278)</f>
        <v>278</v>
      </c>
      <c r="B475">
        <v>57249554</v>
      </c>
      <c r="C475">
        <v>57249542</v>
      </c>
      <c r="D475">
        <v>54768460</v>
      </c>
      <c r="E475">
        <v>1</v>
      </c>
      <c r="F475">
        <v>1</v>
      </c>
      <c r="G475">
        <v>1081</v>
      </c>
      <c r="H475">
        <v>2</v>
      </c>
      <c r="I475" t="s">
        <v>460</v>
      </c>
      <c r="J475" t="s">
        <v>461</v>
      </c>
      <c r="K475" t="s">
        <v>462</v>
      </c>
      <c r="L475">
        <v>1368</v>
      </c>
      <c r="N475">
        <v>1011</v>
      </c>
      <c r="O475" t="s">
        <v>463</v>
      </c>
      <c r="P475" t="s">
        <v>463</v>
      </c>
      <c r="Q475">
        <v>1</v>
      </c>
      <c r="X475">
        <v>11</v>
      </c>
      <c r="Y475">
        <v>0</v>
      </c>
      <c r="Z475">
        <v>0.8</v>
      </c>
      <c r="AA475">
        <v>0</v>
      </c>
      <c r="AB475">
        <v>0</v>
      </c>
      <c r="AC475">
        <v>0</v>
      </c>
      <c r="AD475">
        <v>1</v>
      </c>
      <c r="AE475">
        <v>0</v>
      </c>
      <c r="AF475" t="s">
        <v>120</v>
      </c>
      <c r="AG475">
        <v>13.2</v>
      </c>
      <c r="AH475">
        <v>2</v>
      </c>
      <c r="AI475">
        <v>57249544</v>
      </c>
      <c r="AJ475">
        <v>387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ROW(Source!A278)</f>
        <v>278</v>
      </c>
      <c r="B476">
        <v>57249555</v>
      </c>
      <c r="C476">
        <v>57249542</v>
      </c>
      <c r="D476">
        <v>54739880</v>
      </c>
      <c r="E476">
        <v>1</v>
      </c>
      <c r="F476">
        <v>1</v>
      </c>
      <c r="G476">
        <v>1081</v>
      </c>
      <c r="H476">
        <v>3</v>
      </c>
      <c r="I476" t="s">
        <v>613</v>
      </c>
      <c r="J476" t="s">
        <v>614</v>
      </c>
      <c r="K476" t="s">
        <v>615</v>
      </c>
      <c r="L476">
        <v>1355</v>
      </c>
      <c r="N476">
        <v>1010</v>
      </c>
      <c r="O476" t="s">
        <v>67</v>
      </c>
      <c r="P476" t="s">
        <v>67</v>
      </c>
      <c r="Q476">
        <v>100</v>
      </c>
      <c r="X476">
        <v>2.08</v>
      </c>
      <c r="Y476">
        <v>15.04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119</v>
      </c>
      <c r="AG476">
        <v>2.08</v>
      </c>
      <c r="AH476">
        <v>2</v>
      </c>
      <c r="AI476">
        <v>57249545</v>
      </c>
      <c r="AJ476">
        <v>388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ROW(Source!A278)</f>
        <v>278</v>
      </c>
      <c r="B477">
        <v>57249556</v>
      </c>
      <c r="C477">
        <v>57249542</v>
      </c>
      <c r="D477">
        <v>54739979</v>
      </c>
      <c r="E477">
        <v>1</v>
      </c>
      <c r="F477">
        <v>1</v>
      </c>
      <c r="G477">
        <v>1081</v>
      </c>
      <c r="H477">
        <v>3</v>
      </c>
      <c r="I477" t="s">
        <v>616</v>
      </c>
      <c r="J477" t="s">
        <v>617</v>
      </c>
      <c r="K477" t="s">
        <v>618</v>
      </c>
      <c r="L477">
        <v>1355</v>
      </c>
      <c r="N477">
        <v>1010</v>
      </c>
      <c r="O477" t="s">
        <v>67</v>
      </c>
      <c r="P477" t="s">
        <v>67</v>
      </c>
      <c r="Q477">
        <v>100</v>
      </c>
      <c r="X477">
        <v>2.08</v>
      </c>
      <c r="Y477">
        <v>16.16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0</v>
      </c>
      <c r="AF477" t="s">
        <v>119</v>
      </c>
      <c r="AG477">
        <v>2.08</v>
      </c>
      <c r="AH477">
        <v>2</v>
      </c>
      <c r="AI477">
        <v>57249546</v>
      </c>
      <c r="AJ477">
        <v>389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ROW(Source!A278)</f>
        <v>278</v>
      </c>
      <c r="B478">
        <v>57249557</v>
      </c>
      <c r="C478">
        <v>57249542</v>
      </c>
      <c r="D478">
        <v>54760575</v>
      </c>
      <c r="E478">
        <v>1</v>
      </c>
      <c r="F478">
        <v>1</v>
      </c>
      <c r="G478">
        <v>1081</v>
      </c>
      <c r="H478">
        <v>3</v>
      </c>
      <c r="I478" t="s">
        <v>619</v>
      </c>
      <c r="J478" t="s">
        <v>620</v>
      </c>
      <c r="K478" t="s">
        <v>621</v>
      </c>
      <c r="L478">
        <v>1356</v>
      </c>
      <c r="N478">
        <v>1010</v>
      </c>
      <c r="O478" t="s">
        <v>348</v>
      </c>
      <c r="P478" t="s">
        <v>348</v>
      </c>
      <c r="Q478">
        <v>1000</v>
      </c>
      <c r="X478">
        <v>0.20399999999999999</v>
      </c>
      <c r="Y478">
        <v>294.89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119</v>
      </c>
      <c r="AG478">
        <v>0.20399999999999999</v>
      </c>
      <c r="AH478">
        <v>2</v>
      </c>
      <c r="AI478">
        <v>57249547</v>
      </c>
      <c r="AJ478">
        <v>390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ROW(Source!A278)</f>
        <v>278</v>
      </c>
      <c r="B479">
        <v>57249558</v>
      </c>
      <c r="C479">
        <v>57249542</v>
      </c>
      <c r="D479">
        <v>54759961</v>
      </c>
      <c r="E479">
        <v>1</v>
      </c>
      <c r="F479">
        <v>1</v>
      </c>
      <c r="G479">
        <v>1081</v>
      </c>
      <c r="H479">
        <v>3</v>
      </c>
      <c r="I479" t="s">
        <v>622</v>
      </c>
      <c r="J479" t="s">
        <v>623</v>
      </c>
      <c r="K479" t="s">
        <v>624</v>
      </c>
      <c r="L479">
        <v>1354</v>
      </c>
      <c r="N479">
        <v>1010</v>
      </c>
      <c r="O479" t="s">
        <v>228</v>
      </c>
      <c r="P479" t="s">
        <v>228</v>
      </c>
      <c r="Q479">
        <v>1</v>
      </c>
      <c r="X479">
        <v>204</v>
      </c>
      <c r="Y479">
        <v>5.16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119</v>
      </c>
      <c r="AG479">
        <v>204</v>
      </c>
      <c r="AH479">
        <v>2</v>
      </c>
      <c r="AI479">
        <v>57249548</v>
      </c>
      <c r="AJ479">
        <v>391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ROW(Source!A278)</f>
        <v>278</v>
      </c>
      <c r="B480">
        <v>57249559</v>
      </c>
      <c r="C480">
        <v>57249542</v>
      </c>
      <c r="D480">
        <v>54715433</v>
      </c>
      <c r="E480">
        <v>1081</v>
      </c>
      <c r="F480">
        <v>1</v>
      </c>
      <c r="G480">
        <v>1081</v>
      </c>
      <c r="H480">
        <v>3</v>
      </c>
      <c r="I480" t="s">
        <v>687</v>
      </c>
      <c r="J480" t="s">
        <v>3</v>
      </c>
      <c r="K480" t="s">
        <v>688</v>
      </c>
      <c r="L480">
        <v>1303</v>
      </c>
      <c r="N480">
        <v>1003</v>
      </c>
      <c r="O480" t="s">
        <v>390</v>
      </c>
      <c r="P480" t="s">
        <v>390</v>
      </c>
      <c r="Q480">
        <v>1000</v>
      </c>
      <c r="X480">
        <v>0.10199999999999999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 t="s">
        <v>119</v>
      </c>
      <c r="AG480">
        <v>0.10199999999999999</v>
      </c>
      <c r="AH480">
        <v>3</v>
      </c>
      <c r="AI480">
        <v>-1</v>
      </c>
      <c r="AJ480" t="s">
        <v>3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ROW(Source!A279)</f>
        <v>279</v>
      </c>
      <c r="B481">
        <v>57249552</v>
      </c>
      <c r="C481">
        <v>57249542</v>
      </c>
      <c r="D481">
        <v>54702434</v>
      </c>
      <c r="E481">
        <v>1081</v>
      </c>
      <c r="F481">
        <v>1</v>
      </c>
      <c r="G481">
        <v>1081</v>
      </c>
      <c r="H481">
        <v>1</v>
      </c>
      <c r="I481" t="s">
        <v>457</v>
      </c>
      <c r="J481" t="s">
        <v>3</v>
      </c>
      <c r="K481" t="s">
        <v>458</v>
      </c>
      <c r="L481">
        <v>1191</v>
      </c>
      <c r="N481">
        <v>1013</v>
      </c>
      <c r="O481" t="s">
        <v>459</v>
      </c>
      <c r="P481" t="s">
        <v>459</v>
      </c>
      <c r="Q481">
        <v>1</v>
      </c>
      <c r="X481">
        <v>40.200000000000003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1</v>
      </c>
      <c r="AF481" t="s">
        <v>120</v>
      </c>
      <c r="AG481">
        <v>48.24</v>
      </c>
      <c r="AH481">
        <v>2</v>
      </c>
      <c r="AI481">
        <v>57249551</v>
      </c>
      <c r="AJ481">
        <v>393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ROW(Source!A279)</f>
        <v>279</v>
      </c>
      <c r="B482">
        <v>57249553</v>
      </c>
      <c r="C482">
        <v>57249542</v>
      </c>
      <c r="D482">
        <v>54768339</v>
      </c>
      <c r="E482">
        <v>1</v>
      </c>
      <c r="F482">
        <v>1</v>
      </c>
      <c r="G482">
        <v>1081</v>
      </c>
      <c r="H482">
        <v>2</v>
      </c>
      <c r="I482" t="s">
        <v>497</v>
      </c>
      <c r="J482" t="s">
        <v>498</v>
      </c>
      <c r="K482" t="s">
        <v>499</v>
      </c>
      <c r="L482">
        <v>1368</v>
      </c>
      <c r="N482">
        <v>1011</v>
      </c>
      <c r="O482" t="s">
        <v>463</v>
      </c>
      <c r="P482" t="s">
        <v>463</v>
      </c>
      <c r="Q482">
        <v>1</v>
      </c>
      <c r="X482">
        <v>0.03</v>
      </c>
      <c r="Y482">
        <v>0</v>
      </c>
      <c r="Z482">
        <v>83.1</v>
      </c>
      <c r="AA482">
        <v>12.62</v>
      </c>
      <c r="AB482">
        <v>0</v>
      </c>
      <c r="AC482">
        <v>0</v>
      </c>
      <c r="AD482">
        <v>1</v>
      </c>
      <c r="AE482">
        <v>0</v>
      </c>
      <c r="AF482" t="s">
        <v>120</v>
      </c>
      <c r="AG482">
        <v>3.5999999999999997E-2</v>
      </c>
      <c r="AH482">
        <v>2</v>
      </c>
      <c r="AI482">
        <v>57249543</v>
      </c>
      <c r="AJ482">
        <v>394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ROW(Source!A279)</f>
        <v>279</v>
      </c>
      <c r="B483">
        <v>57249554</v>
      </c>
      <c r="C483">
        <v>57249542</v>
      </c>
      <c r="D483">
        <v>54768460</v>
      </c>
      <c r="E483">
        <v>1</v>
      </c>
      <c r="F483">
        <v>1</v>
      </c>
      <c r="G483">
        <v>1081</v>
      </c>
      <c r="H483">
        <v>2</v>
      </c>
      <c r="I483" t="s">
        <v>460</v>
      </c>
      <c r="J483" t="s">
        <v>461</v>
      </c>
      <c r="K483" t="s">
        <v>462</v>
      </c>
      <c r="L483">
        <v>1368</v>
      </c>
      <c r="N483">
        <v>1011</v>
      </c>
      <c r="O483" t="s">
        <v>463</v>
      </c>
      <c r="P483" t="s">
        <v>463</v>
      </c>
      <c r="Q483">
        <v>1</v>
      </c>
      <c r="X483">
        <v>11</v>
      </c>
      <c r="Y483">
        <v>0</v>
      </c>
      <c r="Z483">
        <v>0.8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120</v>
      </c>
      <c r="AG483">
        <v>13.2</v>
      </c>
      <c r="AH483">
        <v>2</v>
      </c>
      <c r="AI483">
        <v>57249544</v>
      </c>
      <c r="AJ483">
        <v>395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ROW(Source!A279)</f>
        <v>279</v>
      </c>
      <c r="B484">
        <v>57249555</v>
      </c>
      <c r="C484">
        <v>57249542</v>
      </c>
      <c r="D484">
        <v>54739880</v>
      </c>
      <c r="E484">
        <v>1</v>
      </c>
      <c r="F484">
        <v>1</v>
      </c>
      <c r="G484">
        <v>1081</v>
      </c>
      <c r="H484">
        <v>3</v>
      </c>
      <c r="I484" t="s">
        <v>613</v>
      </c>
      <c r="J484" t="s">
        <v>614</v>
      </c>
      <c r="K484" t="s">
        <v>615</v>
      </c>
      <c r="L484">
        <v>1355</v>
      </c>
      <c r="N484">
        <v>1010</v>
      </c>
      <c r="O484" t="s">
        <v>67</v>
      </c>
      <c r="P484" t="s">
        <v>67</v>
      </c>
      <c r="Q484">
        <v>100</v>
      </c>
      <c r="X484">
        <v>2.08</v>
      </c>
      <c r="Y484">
        <v>15.04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119</v>
      </c>
      <c r="AG484">
        <v>2.08</v>
      </c>
      <c r="AH484">
        <v>2</v>
      </c>
      <c r="AI484">
        <v>57249545</v>
      </c>
      <c r="AJ484">
        <v>396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ROW(Source!A279)</f>
        <v>279</v>
      </c>
      <c r="B485">
        <v>57249556</v>
      </c>
      <c r="C485">
        <v>57249542</v>
      </c>
      <c r="D485">
        <v>54739979</v>
      </c>
      <c r="E485">
        <v>1</v>
      </c>
      <c r="F485">
        <v>1</v>
      </c>
      <c r="G485">
        <v>1081</v>
      </c>
      <c r="H485">
        <v>3</v>
      </c>
      <c r="I485" t="s">
        <v>616</v>
      </c>
      <c r="J485" t="s">
        <v>617</v>
      </c>
      <c r="K485" t="s">
        <v>618</v>
      </c>
      <c r="L485">
        <v>1355</v>
      </c>
      <c r="N485">
        <v>1010</v>
      </c>
      <c r="O485" t="s">
        <v>67</v>
      </c>
      <c r="P485" t="s">
        <v>67</v>
      </c>
      <c r="Q485">
        <v>100</v>
      </c>
      <c r="X485">
        <v>2.08</v>
      </c>
      <c r="Y485">
        <v>16.16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119</v>
      </c>
      <c r="AG485">
        <v>2.08</v>
      </c>
      <c r="AH485">
        <v>2</v>
      </c>
      <c r="AI485">
        <v>57249546</v>
      </c>
      <c r="AJ485">
        <v>397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ROW(Source!A279)</f>
        <v>279</v>
      </c>
      <c r="B486">
        <v>57249557</v>
      </c>
      <c r="C486">
        <v>57249542</v>
      </c>
      <c r="D486">
        <v>54760575</v>
      </c>
      <c r="E486">
        <v>1</v>
      </c>
      <c r="F486">
        <v>1</v>
      </c>
      <c r="G486">
        <v>1081</v>
      </c>
      <c r="H486">
        <v>3</v>
      </c>
      <c r="I486" t="s">
        <v>619</v>
      </c>
      <c r="J486" t="s">
        <v>620</v>
      </c>
      <c r="K486" t="s">
        <v>621</v>
      </c>
      <c r="L486">
        <v>1356</v>
      </c>
      <c r="N486">
        <v>1010</v>
      </c>
      <c r="O486" t="s">
        <v>348</v>
      </c>
      <c r="P486" t="s">
        <v>348</v>
      </c>
      <c r="Q486">
        <v>1000</v>
      </c>
      <c r="X486">
        <v>0.20399999999999999</v>
      </c>
      <c r="Y486">
        <v>294.89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119</v>
      </c>
      <c r="AG486">
        <v>0.20399999999999999</v>
      </c>
      <c r="AH486">
        <v>2</v>
      </c>
      <c r="AI486">
        <v>57249547</v>
      </c>
      <c r="AJ486">
        <v>398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ROW(Source!A279)</f>
        <v>279</v>
      </c>
      <c r="B487">
        <v>57249558</v>
      </c>
      <c r="C487">
        <v>57249542</v>
      </c>
      <c r="D487">
        <v>54759961</v>
      </c>
      <c r="E487">
        <v>1</v>
      </c>
      <c r="F487">
        <v>1</v>
      </c>
      <c r="G487">
        <v>1081</v>
      </c>
      <c r="H487">
        <v>3</v>
      </c>
      <c r="I487" t="s">
        <v>622</v>
      </c>
      <c r="J487" t="s">
        <v>623</v>
      </c>
      <c r="K487" t="s">
        <v>624</v>
      </c>
      <c r="L487">
        <v>1354</v>
      </c>
      <c r="N487">
        <v>1010</v>
      </c>
      <c r="O487" t="s">
        <v>228</v>
      </c>
      <c r="P487" t="s">
        <v>228</v>
      </c>
      <c r="Q487">
        <v>1</v>
      </c>
      <c r="X487">
        <v>204</v>
      </c>
      <c r="Y487">
        <v>5.16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119</v>
      </c>
      <c r="AG487">
        <v>204</v>
      </c>
      <c r="AH487">
        <v>2</v>
      </c>
      <c r="AI487">
        <v>57249548</v>
      </c>
      <c r="AJ487">
        <v>399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ROW(Source!A279)</f>
        <v>279</v>
      </c>
      <c r="B488">
        <v>57249559</v>
      </c>
      <c r="C488">
        <v>57249542</v>
      </c>
      <c r="D488">
        <v>54715433</v>
      </c>
      <c r="E488">
        <v>1081</v>
      </c>
      <c r="F488">
        <v>1</v>
      </c>
      <c r="G488">
        <v>1081</v>
      </c>
      <c r="H488">
        <v>3</v>
      </c>
      <c r="I488" t="s">
        <v>687</v>
      </c>
      <c r="J488" t="s">
        <v>3</v>
      </c>
      <c r="K488" t="s">
        <v>688</v>
      </c>
      <c r="L488">
        <v>1303</v>
      </c>
      <c r="N488">
        <v>1003</v>
      </c>
      <c r="O488" t="s">
        <v>390</v>
      </c>
      <c r="P488" t="s">
        <v>390</v>
      </c>
      <c r="Q488">
        <v>1000</v>
      </c>
      <c r="X488">
        <v>0.10199999999999999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 t="s">
        <v>119</v>
      </c>
      <c r="AG488">
        <v>0.10199999999999999</v>
      </c>
      <c r="AH488">
        <v>3</v>
      </c>
      <c r="AI488">
        <v>-1</v>
      </c>
      <c r="AJ488" t="s">
        <v>3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ROW(Source!A282)</f>
        <v>282</v>
      </c>
      <c r="B489">
        <v>57249563</v>
      </c>
      <c r="C489">
        <v>57249561</v>
      </c>
      <c r="D489">
        <v>54702434</v>
      </c>
      <c r="E489">
        <v>1081</v>
      </c>
      <c r="F489">
        <v>1</v>
      </c>
      <c r="G489">
        <v>1081</v>
      </c>
      <c r="H489">
        <v>1</v>
      </c>
      <c r="I489" t="s">
        <v>457</v>
      </c>
      <c r="J489" t="s">
        <v>3</v>
      </c>
      <c r="K489" t="s">
        <v>458</v>
      </c>
      <c r="L489">
        <v>1191</v>
      </c>
      <c r="N489">
        <v>1013</v>
      </c>
      <c r="O489" t="s">
        <v>459</v>
      </c>
      <c r="P489" t="s">
        <v>459</v>
      </c>
      <c r="Q489">
        <v>1</v>
      </c>
      <c r="X489">
        <v>1.26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 t="s">
        <v>120</v>
      </c>
      <c r="AG489">
        <v>1.512</v>
      </c>
      <c r="AH489">
        <v>2</v>
      </c>
      <c r="AI489">
        <v>57249562</v>
      </c>
      <c r="AJ489">
        <v>401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ROW(Source!A282)</f>
        <v>282</v>
      </c>
      <c r="B490">
        <v>57249564</v>
      </c>
      <c r="C490">
        <v>57249561</v>
      </c>
      <c r="D490">
        <v>54744117</v>
      </c>
      <c r="E490">
        <v>1</v>
      </c>
      <c r="F490">
        <v>1</v>
      </c>
      <c r="G490">
        <v>1081</v>
      </c>
      <c r="H490">
        <v>3</v>
      </c>
      <c r="I490" t="s">
        <v>430</v>
      </c>
      <c r="J490" t="s">
        <v>432</v>
      </c>
      <c r="K490" t="s">
        <v>431</v>
      </c>
      <c r="L490">
        <v>1348</v>
      </c>
      <c r="N490">
        <v>1009</v>
      </c>
      <c r="O490" t="s">
        <v>298</v>
      </c>
      <c r="P490" t="s">
        <v>298</v>
      </c>
      <c r="Q490">
        <v>1000</v>
      </c>
      <c r="X490">
        <v>3.0000000000000001E-5</v>
      </c>
      <c r="Y490">
        <v>18995.22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0</v>
      </c>
      <c r="AF490" t="s">
        <v>119</v>
      </c>
      <c r="AG490">
        <v>3.0000000000000001E-5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ROW(Source!A283)</f>
        <v>283</v>
      </c>
      <c r="B491">
        <v>57249563</v>
      </c>
      <c r="C491">
        <v>57249561</v>
      </c>
      <c r="D491">
        <v>54702434</v>
      </c>
      <c r="E491">
        <v>1081</v>
      </c>
      <c r="F491">
        <v>1</v>
      </c>
      <c r="G491">
        <v>1081</v>
      </c>
      <c r="H491">
        <v>1</v>
      </c>
      <c r="I491" t="s">
        <v>457</v>
      </c>
      <c r="J491" t="s">
        <v>3</v>
      </c>
      <c r="K491" t="s">
        <v>458</v>
      </c>
      <c r="L491">
        <v>1191</v>
      </c>
      <c r="N491">
        <v>1013</v>
      </c>
      <c r="O491" t="s">
        <v>459</v>
      </c>
      <c r="P491" t="s">
        <v>459</v>
      </c>
      <c r="Q491">
        <v>1</v>
      </c>
      <c r="X491">
        <v>1.26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120</v>
      </c>
      <c r="AG491">
        <v>1.512</v>
      </c>
      <c r="AH491">
        <v>2</v>
      </c>
      <c r="AI491">
        <v>57249562</v>
      </c>
      <c r="AJ491">
        <v>402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ROW(Source!A283)</f>
        <v>283</v>
      </c>
      <c r="B492">
        <v>57249564</v>
      </c>
      <c r="C492">
        <v>57249561</v>
      </c>
      <c r="D492">
        <v>54744117</v>
      </c>
      <c r="E492">
        <v>1</v>
      </c>
      <c r="F492">
        <v>1</v>
      </c>
      <c r="G492">
        <v>1081</v>
      </c>
      <c r="H492">
        <v>3</v>
      </c>
      <c r="I492" t="s">
        <v>430</v>
      </c>
      <c r="J492" t="s">
        <v>432</v>
      </c>
      <c r="K492" t="s">
        <v>431</v>
      </c>
      <c r="L492">
        <v>1348</v>
      </c>
      <c r="N492">
        <v>1009</v>
      </c>
      <c r="O492" t="s">
        <v>298</v>
      </c>
      <c r="P492" t="s">
        <v>298</v>
      </c>
      <c r="Q492">
        <v>1000</v>
      </c>
      <c r="X492">
        <v>3.0000000000000001E-5</v>
      </c>
      <c r="Y492">
        <v>18995.22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119</v>
      </c>
      <c r="AG492">
        <v>3.0000000000000001E-5</v>
      </c>
      <c r="AH492">
        <v>3</v>
      </c>
      <c r="AI492">
        <v>-1</v>
      </c>
      <c r="AJ492" t="s">
        <v>3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6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119</v>
      </c>
      <c r="E1" t="s">
        <v>120</v>
      </c>
      <c r="F1" t="s">
        <v>120</v>
      </c>
      <c r="G1" t="s">
        <v>120</v>
      </c>
      <c r="H1" t="s">
        <v>3</v>
      </c>
      <c r="I1" t="s">
        <v>120</v>
      </c>
      <c r="J1" t="s">
        <v>120</v>
      </c>
      <c r="K1" t="s">
        <v>3</v>
      </c>
      <c r="L1" t="s">
        <v>3</v>
      </c>
      <c r="M1" t="s">
        <v>3</v>
      </c>
      <c r="N1" t="s">
        <v>119</v>
      </c>
      <c r="O1" t="s">
        <v>120</v>
      </c>
      <c r="P1" t="s">
        <v>3</v>
      </c>
      <c r="Q1" t="s">
        <v>3</v>
      </c>
      <c r="R1" t="s">
        <v>3</v>
      </c>
      <c r="S1" t="s">
        <v>689</v>
      </c>
      <c r="T1" t="s">
        <v>690</v>
      </c>
      <c r="U1" t="s">
        <v>691</v>
      </c>
    </row>
    <row r="2" spans="1:21" x14ac:dyDescent="0.2">
      <c r="A2">
        <v>28</v>
      </c>
      <c r="B2">
        <v>1</v>
      </c>
      <c r="C2" t="s">
        <v>3</v>
      </c>
      <c r="D2" t="s">
        <v>692</v>
      </c>
      <c r="E2" t="s">
        <v>693</v>
      </c>
      <c r="F2" t="s">
        <v>693</v>
      </c>
      <c r="G2" t="s">
        <v>693</v>
      </c>
      <c r="H2" t="s">
        <v>3</v>
      </c>
      <c r="I2" t="s">
        <v>693</v>
      </c>
      <c r="J2" t="s">
        <v>693</v>
      </c>
      <c r="K2" t="s">
        <v>3</v>
      </c>
      <c r="L2" t="s">
        <v>3</v>
      </c>
      <c r="M2" t="s">
        <v>3</v>
      </c>
      <c r="N2" t="s">
        <v>692</v>
      </c>
      <c r="O2" t="s">
        <v>693</v>
      </c>
      <c r="P2" t="s">
        <v>3</v>
      </c>
      <c r="Q2" t="s">
        <v>3</v>
      </c>
      <c r="R2" t="s">
        <v>3</v>
      </c>
      <c r="S2" t="s">
        <v>694</v>
      </c>
      <c r="T2" t="s">
        <v>695</v>
      </c>
      <c r="U2" t="s">
        <v>696</v>
      </c>
    </row>
    <row r="3" spans="1:21" x14ac:dyDescent="0.2">
      <c r="A3">
        <v>29</v>
      </c>
      <c r="B3">
        <v>1</v>
      </c>
      <c r="C3" t="s">
        <v>3</v>
      </c>
      <c r="D3" t="s">
        <v>119</v>
      </c>
      <c r="E3" t="s">
        <v>120</v>
      </c>
      <c r="F3" t="s">
        <v>120</v>
      </c>
      <c r="G3" t="s">
        <v>120</v>
      </c>
      <c r="H3" t="s">
        <v>3</v>
      </c>
      <c r="I3" t="s">
        <v>120</v>
      </c>
      <c r="J3" t="s">
        <v>120</v>
      </c>
      <c r="K3" t="s">
        <v>3</v>
      </c>
      <c r="L3" t="s">
        <v>3</v>
      </c>
      <c r="M3" t="s">
        <v>3</v>
      </c>
      <c r="N3" t="s">
        <v>119</v>
      </c>
      <c r="O3" t="s">
        <v>120</v>
      </c>
      <c r="P3" t="s">
        <v>3</v>
      </c>
      <c r="Q3" t="s">
        <v>3</v>
      </c>
      <c r="R3" t="s">
        <v>3</v>
      </c>
      <c r="S3" t="s">
        <v>689</v>
      </c>
      <c r="T3" t="s">
        <v>690</v>
      </c>
      <c r="U3" t="s">
        <v>691</v>
      </c>
    </row>
    <row r="4" spans="1:21" x14ac:dyDescent="0.2">
      <c r="A4">
        <v>29</v>
      </c>
      <c r="B4">
        <v>1</v>
      </c>
      <c r="C4" t="s">
        <v>3</v>
      </c>
      <c r="D4" t="s">
        <v>692</v>
      </c>
      <c r="E4" t="s">
        <v>693</v>
      </c>
      <c r="F4" t="s">
        <v>693</v>
      </c>
      <c r="G4" t="s">
        <v>693</v>
      </c>
      <c r="H4" t="s">
        <v>3</v>
      </c>
      <c r="I4" t="s">
        <v>693</v>
      </c>
      <c r="J4" t="s">
        <v>693</v>
      </c>
      <c r="K4" t="s">
        <v>3</v>
      </c>
      <c r="L4" t="s">
        <v>3</v>
      </c>
      <c r="M4" t="s">
        <v>3</v>
      </c>
      <c r="N4" t="s">
        <v>692</v>
      </c>
      <c r="O4" t="s">
        <v>693</v>
      </c>
      <c r="P4" t="s">
        <v>3</v>
      </c>
      <c r="Q4" t="s">
        <v>3</v>
      </c>
      <c r="R4" t="s">
        <v>3</v>
      </c>
      <c r="S4" t="s">
        <v>694</v>
      </c>
      <c r="T4" t="s">
        <v>695</v>
      </c>
      <c r="U4" t="s">
        <v>696</v>
      </c>
    </row>
    <row r="5" spans="1:21" x14ac:dyDescent="0.2">
      <c r="A5">
        <v>30</v>
      </c>
      <c r="B5">
        <v>1</v>
      </c>
      <c r="C5" t="s">
        <v>3</v>
      </c>
      <c r="D5" t="s">
        <v>119</v>
      </c>
      <c r="E5" t="s">
        <v>120</v>
      </c>
      <c r="F5" t="s">
        <v>120</v>
      </c>
      <c r="G5" t="s">
        <v>120</v>
      </c>
      <c r="H5" t="s">
        <v>3</v>
      </c>
      <c r="I5" t="s">
        <v>120</v>
      </c>
      <c r="J5" t="s">
        <v>120</v>
      </c>
      <c r="K5" t="s">
        <v>3</v>
      </c>
      <c r="L5" t="s">
        <v>3</v>
      </c>
      <c r="M5" t="s">
        <v>3</v>
      </c>
      <c r="N5" t="s">
        <v>119</v>
      </c>
      <c r="O5" t="s">
        <v>120</v>
      </c>
      <c r="P5" t="s">
        <v>3</v>
      </c>
      <c r="Q5" t="s">
        <v>3</v>
      </c>
      <c r="R5" t="s">
        <v>3</v>
      </c>
      <c r="S5" t="s">
        <v>689</v>
      </c>
      <c r="T5" t="s">
        <v>690</v>
      </c>
      <c r="U5" t="s">
        <v>691</v>
      </c>
    </row>
    <row r="6" spans="1:21" x14ac:dyDescent="0.2">
      <c r="A6">
        <v>30</v>
      </c>
      <c r="B6">
        <v>1</v>
      </c>
      <c r="C6" t="s">
        <v>3</v>
      </c>
      <c r="D6" t="s">
        <v>692</v>
      </c>
      <c r="E6" t="s">
        <v>693</v>
      </c>
      <c r="F6" t="s">
        <v>693</v>
      </c>
      <c r="G6" t="s">
        <v>693</v>
      </c>
      <c r="H6" t="s">
        <v>3</v>
      </c>
      <c r="I6" t="s">
        <v>693</v>
      </c>
      <c r="J6" t="s">
        <v>693</v>
      </c>
      <c r="K6" t="s">
        <v>3</v>
      </c>
      <c r="L6" t="s">
        <v>3</v>
      </c>
      <c r="M6" t="s">
        <v>3</v>
      </c>
      <c r="N6" t="s">
        <v>692</v>
      </c>
      <c r="O6" t="s">
        <v>693</v>
      </c>
      <c r="P6" t="s">
        <v>3</v>
      </c>
      <c r="Q6" t="s">
        <v>3</v>
      </c>
      <c r="R6" t="s">
        <v>3</v>
      </c>
      <c r="S6" t="s">
        <v>694</v>
      </c>
      <c r="T6" t="s">
        <v>695</v>
      </c>
      <c r="U6" t="s">
        <v>696</v>
      </c>
    </row>
    <row r="7" spans="1:21" x14ac:dyDescent="0.2">
      <c r="A7">
        <v>31</v>
      </c>
      <c r="B7">
        <v>1</v>
      </c>
      <c r="C7" t="s">
        <v>3</v>
      </c>
      <c r="D7" t="s">
        <v>119</v>
      </c>
      <c r="E7" t="s">
        <v>120</v>
      </c>
      <c r="F7" t="s">
        <v>120</v>
      </c>
      <c r="G7" t="s">
        <v>120</v>
      </c>
      <c r="H7" t="s">
        <v>3</v>
      </c>
      <c r="I7" t="s">
        <v>120</v>
      </c>
      <c r="J7" t="s">
        <v>120</v>
      </c>
      <c r="K7" t="s">
        <v>3</v>
      </c>
      <c r="L7" t="s">
        <v>3</v>
      </c>
      <c r="M7" t="s">
        <v>3</v>
      </c>
      <c r="N7" t="s">
        <v>119</v>
      </c>
      <c r="O7" t="s">
        <v>120</v>
      </c>
      <c r="P7" t="s">
        <v>3</v>
      </c>
      <c r="Q7" t="s">
        <v>3</v>
      </c>
      <c r="R7" t="s">
        <v>3</v>
      </c>
      <c r="S7" t="s">
        <v>689</v>
      </c>
      <c r="T7" t="s">
        <v>690</v>
      </c>
      <c r="U7" t="s">
        <v>691</v>
      </c>
    </row>
    <row r="8" spans="1:21" x14ac:dyDescent="0.2">
      <c r="A8">
        <v>31</v>
      </c>
      <c r="B8">
        <v>1</v>
      </c>
      <c r="C8" t="s">
        <v>3</v>
      </c>
      <c r="D8" t="s">
        <v>692</v>
      </c>
      <c r="E8" t="s">
        <v>693</v>
      </c>
      <c r="F8" t="s">
        <v>693</v>
      </c>
      <c r="G8" t="s">
        <v>693</v>
      </c>
      <c r="H8" t="s">
        <v>3</v>
      </c>
      <c r="I8" t="s">
        <v>693</v>
      </c>
      <c r="J8" t="s">
        <v>693</v>
      </c>
      <c r="K8" t="s">
        <v>3</v>
      </c>
      <c r="L8" t="s">
        <v>3</v>
      </c>
      <c r="M8" t="s">
        <v>3</v>
      </c>
      <c r="N8" t="s">
        <v>692</v>
      </c>
      <c r="O8" t="s">
        <v>693</v>
      </c>
      <c r="P8" t="s">
        <v>3</v>
      </c>
      <c r="Q8" t="s">
        <v>3</v>
      </c>
      <c r="R8" t="s">
        <v>3</v>
      </c>
      <c r="S8" t="s">
        <v>694</v>
      </c>
      <c r="T8" t="s">
        <v>695</v>
      </c>
      <c r="U8" t="s">
        <v>696</v>
      </c>
    </row>
    <row r="9" spans="1:21" x14ac:dyDescent="0.2">
      <c r="A9">
        <v>32</v>
      </c>
      <c r="B9">
        <v>1</v>
      </c>
      <c r="C9" t="s">
        <v>3</v>
      </c>
      <c r="D9" t="s">
        <v>119</v>
      </c>
      <c r="E9" t="s">
        <v>120</v>
      </c>
      <c r="F9" t="s">
        <v>120</v>
      </c>
      <c r="G9" t="s">
        <v>120</v>
      </c>
      <c r="H9" t="s">
        <v>3</v>
      </c>
      <c r="I9" t="s">
        <v>120</v>
      </c>
      <c r="J9" t="s">
        <v>120</v>
      </c>
      <c r="K9" t="s">
        <v>3</v>
      </c>
      <c r="L9" t="s">
        <v>3</v>
      </c>
      <c r="M9" t="s">
        <v>3</v>
      </c>
      <c r="N9" t="s">
        <v>119</v>
      </c>
      <c r="O9" t="s">
        <v>120</v>
      </c>
      <c r="P9" t="s">
        <v>3</v>
      </c>
      <c r="Q9" t="s">
        <v>3</v>
      </c>
      <c r="R9" t="s">
        <v>3</v>
      </c>
      <c r="S9" t="s">
        <v>689</v>
      </c>
      <c r="T9" t="s">
        <v>690</v>
      </c>
      <c r="U9" t="s">
        <v>691</v>
      </c>
    </row>
    <row r="10" spans="1:21" x14ac:dyDescent="0.2">
      <c r="A10">
        <v>32</v>
      </c>
      <c r="B10">
        <v>1</v>
      </c>
      <c r="C10" t="s">
        <v>3</v>
      </c>
      <c r="D10" t="s">
        <v>692</v>
      </c>
      <c r="E10" t="s">
        <v>693</v>
      </c>
      <c r="F10" t="s">
        <v>693</v>
      </c>
      <c r="G10" t="s">
        <v>693</v>
      </c>
      <c r="H10" t="s">
        <v>3</v>
      </c>
      <c r="I10" t="s">
        <v>693</v>
      </c>
      <c r="J10" t="s">
        <v>693</v>
      </c>
      <c r="K10" t="s">
        <v>3</v>
      </c>
      <c r="L10" t="s">
        <v>3</v>
      </c>
      <c r="M10" t="s">
        <v>3</v>
      </c>
      <c r="N10" t="s">
        <v>692</v>
      </c>
      <c r="O10" t="s">
        <v>693</v>
      </c>
      <c r="P10" t="s">
        <v>3</v>
      </c>
      <c r="Q10" t="s">
        <v>3</v>
      </c>
      <c r="R10" t="s">
        <v>3</v>
      </c>
      <c r="S10" t="s">
        <v>694</v>
      </c>
      <c r="T10" t="s">
        <v>695</v>
      </c>
      <c r="U10" t="s">
        <v>696</v>
      </c>
    </row>
    <row r="11" spans="1:21" x14ac:dyDescent="0.2">
      <c r="A11">
        <v>33</v>
      </c>
      <c r="B11">
        <v>1</v>
      </c>
      <c r="C11" t="s">
        <v>3</v>
      </c>
      <c r="D11" t="s">
        <v>119</v>
      </c>
      <c r="E11" t="s">
        <v>120</v>
      </c>
      <c r="F11" t="s">
        <v>120</v>
      </c>
      <c r="G11" t="s">
        <v>120</v>
      </c>
      <c r="H11" t="s">
        <v>3</v>
      </c>
      <c r="I11" t="s">
        <v>120</v>
      </c>
      <c r="J11" t="s">
        <v>120</v>
      </c>
      <c r="K11" t="s">
        <v>3</v>
      </c>
      <c r="L11" t="s">
        <v>3</v>
      </c>
      <c r="M11" t="s">
        <v>3</v>
      </c>
      <c r="N11" t="s">
        <v>119</v>
      </c>
      <c r="O11" t="s">
        <v>120</v>
      </c>
      <c r="P11" t="s">
        <v>3</v>
      </c>
      <c r="Q11" t="s">
        <v>3</v>
      </c>
      <c r="R11" t="s">
        <v>3</v>
      </c>
      <c r="S11" t="s">
        <v>689</v>
      </c>
      <c r="T11" t="s">
        <v>690</v>
      </c>
      <c r="U11" t="s">
        <v>691</v>
      </c>
    </row>
    <row r="12" spans="1:21" x14ac:dyDescent="0.2">
      <c r="A12">
        <v>33</v>
      </c>
      <c r="B12">
        <v>1</v>
      </c>
      <c r="C12" t="s">
        <v>3</v>
      </c>
      <c r="D12" t="s">
        <v>692</v>
      </c>
      <c r="E12" t="s">
        <v>693</v>
      </c>
      <c r="F12" t="s">
        <v>693</v>
      </c>
      <c r="G12" t="s">
        <v>693</v>
      </c>
      <c r="H12" t="s">
        <v>3</v>
      </c>
      <c r="I12" t="s">
        <v>693</v>
      </c>
      <c r="J12" t="s">
        <v>693</v>
      </c>
      <c r="K12" t="s">
        <v>3</v>
      </c>
      <c r="L12" t="s">
        <v>3</v>
      </c>
      <c r="M12" t="s">
        <v>3</v>
      </c>
      <c r="N12" t="s">
        <v>692</v>
      </c>
      <c r="O12" t="s">
        <v>693</v>
      </c>
      <c r="P12" t="s">
        <v>3</v>
      </c>
      <c r="Q12" t="s">
        <v>3</v>
      </c>
      <c r="R12" t="s">
        <v>3</v>
      </c>
      <c r="S12" t="s">
        <v>694</v>
      </c>
      <c r="T12" t="s">
        <v>695</v>
      </c>
      <c r="U12" t="s">
        <v>696</v>
      </c>
    </row>
    <row r="13" spans="1:21" x14ac:dyDescent="0.2">
      <c r="A13">
        <v>34</v>
      </c>
      <c r="B13">
        <v>1</v>
      </c>
      <c r="C13" t="s">
        <v>3</v>
      </c>
      <c r="D13" t="s">
        <v>119</v>
      </c>
      <c r="E13" t="s">
        <v>120</v>
      </c>
      <c r="F13" t="s">
        <v>120</v>
      </c>
      <c r="G13" t="s">
        <v>120</v>
      </c>
      <c r="H13" t="s">
        <v>3</v>
      </c>
      <c r="I13" t="s">
        <v>120</v>
      </c>
      <c r="J13" t="s">
        <v>120</v>
      </c>
      <c r="K13" t="s">
        <v>3</v>
      </c>
      <c r="L13" t="s">
        <v>3</v>
      </c>
      <c r="M13" t="s">
        <v>3</v>
      </c>
      <c r="N13" t="s">
        <v>119</v>
      </c>
      <c r="O13" t="s">
        <v>120</v>
      </c>
      <c r="P13" t="s">
        <v>3</v>
      </c>
      <c r="Q13" t="s">
        <v>3</v>
      </c>
      <c r="R13" t="s">
        <v>3</v>
      </c>
      <c r="S13" t="s">
        <v>689</v>
      </c>
      <c r="T13" t="s">
        <v>690</v>
      </c>
      <c r="U13" t="s">
        <v>691</v>
      </c>
    </row>
    <row r="14" spans="1:21" x14ac:dyDescent="0.2">
      <c r="A14">
        <v>34</v>
      </c>
      <c r="B14">
        <v>1</v>
      </c>
      <c r="C14" t="s">
        <v>3</v>
      </c>
      <c r="D14" t="s">
        <v>692</v>
      </c>
      <c r="E14" t="s">
        <v>693</v>
      </c>
      <c r="F14" t="s">
        <v>693</v>
      </c>
      <c r="G14" t="s">
        <v>693</v>
      </c>
      <c r="H14" t="s">
        <v>3</v>
      </c>
      <c r="I14" t="s">
        <v>693</v>
      </c>
      <c r="J14" t="s">
        <v>693</v>
      </c>
      <c r="K14" t="s">
        <v>3</v>
      </c>
      <c r="L14" t="s">
        <v>3</v>
      </c>
      <c r="M14" t="s">
        <v>3</v>
      </c>
      <c r="N14" t="s">
        <v>692</v>
      </c>
      <c r="O14" t="s">
        <v>693</v>
      </c>
      <c r="P14" t="s">
        <v>3</v>
      </c>
      <c r="Q14" t="s">
        <v>3</v>
      </c>
      <c r="R14" t="s">
        <v>3</v>
      </c>
      <c r="S14" t="s">
        <v>694</v>
      </c>
      <c r="T14" t="s">
        <v>695</v>
      </c>
      <c r="U14" t="s">
        <v>696</v>
      </c>
    </row>
    <row r="15" spans="1:21" x14ac:dyDescent="0.2">
      <c r="A15">
        <v>35</v>
      </c>
      <c r="B15">
        <v>1</v>
      </c>
      <c r="C15" t="s">
        <v>3</v>
      </c>
      <c r="D15" t="s">
        <v>119</v>
      </c>
      <c r="E15" t="s">
        <v>120</v>
      </c>
      <c r="F15" t="s">
        <v>120</v>
      </c>
      <c r="G15" t="s">
        <v>120</v>
      </c>
      <c r="H15" t="s">
        <v>3</v>
      </c>
      <c r="I15" t="s">
        <v>120</v>
      </c>
      <c r="J15" t="s">
        <v>120</v>
      </c>
      <c r="K15" t="s">
        <v>3</v>
      </c>
      <c r="L15" t="s">
        <v>3</v>
      </c>
      <c r="M15" t="s">
        <v>3</v>
      </c>
      <c r="N15" t="s">
        <v>119</v>
      </c>
      <c r="O15" t="s">
        <v>120</v>
      </c>
      <c r="P15" t="s">
        <v>3</v>
      </c>
      <c r="Q15" t="s">
        <v>3</v>
      </c>
      <c r="R15" t="s">
        <v>3</v>
      </c>
      <c r="S15" t="s">
        <v>689</v>
      </c>
      <c r="T15" t="s">
        <v>690</v>
      </c>
      <c r="U15" t="s">
        <v>691</v>
      </c>
    </row>
    <row r="16" spans="1:21" x14ac:dyDescent="0.2">
      <c r="A16">
        <v>35</v>
      </c>
      <c r="B16">
        <v>1</v>
      </c>
      <c r="C16" t="s">
        <v>3</v>
      </c>
      <c r="D16" t="s">
        <v>692</v>
      </c>
      <c r="E16" t="s">
        <v>693</v>
      </c>
      <c r="F16" t="s">
        <v>693</v>
      </c>
      <c r="G16" t="s">
        <v>693</v>
      </c>
      <c r="H16" t="s">
        <v>3</v>
      </c>
      <c r="I16" t="s">
        <v>693</v>
      </c>
      <c r="J16" t="s">
        <v>693</v>
      </c>
      <c r="K16" t="s">
        <v>3</v>
      </c>
      <c r="L16" t="s">
        <v>3</v>
      </c>
      <c r="M16" t="s">
        <v>3</v>
      </c>
      <c r="N16" t="s">
        <v>692</v>
      </c>
      <c r="O16" t="s">
        <v>693</v>
      </c>
      <c r="P16" t="s">
        <v>3</v>
      </c>
      <c r="Q16" t="s">
        <v>3</v>
      </c>
      <c r="R16" t="s">
        <v>3</v>
      </c>
      <c r="S16" t="s">
        <v>694</v>
      </c>
      <c r="T16" t="s">
        <v>695</v>
      </c>
      <c r="U16" t="s">
        <v>696</v>
      </c>
    </row>
    <row r="17" spans="1:21" x14ac:dyDescent="0.2">
      <c r="A17">
        <v>36</v>
      </c>
      <c r="B17">
        <v>1</v>
      </c>
      <c r="C17" t="s">
        <v>3</v>
      </c>
      <c r="D17" t="s">
        <v>119</v>
      </c>
      <c r="E17" t="s">
        <v>120</v>
      </c>
      <c r="F17" t="s">
        <v>120</v>
      </c>
      <c r="G17" t="s">
        <v>120</v>
      </c>
      <c r="H17" t="s">
        <v>3</v>
      </c>
      <c r="I17" t="s">
        <v>120</v>
      </c>
      <c r="J17" t="s">
        <v>120</v>
      </c>
      <c r="K17" t="s">
        <v>3</v>
      </c>
      <c r="L17" t="s">
        <v>3</v>
      </c>
      <c r="M17" t="s">
        <v>3</v>
      </c>
      <c r="N17" t="s">
        <v>119</v>
      </c>
      <c r="O17" t="s">
        <v>120</v>
      </c>
      <c r="P17" t="s">
        <v>3</v>
      </c>
      <c r="Q17" t="s">
        <v>3</v>
      </c>
      <c r="R17" t="s">
        <v>3</v>
      </c>
      <c r="S17" t="s">
        <v>689</v>
      </c>
      <c r="T17" t="s">
        <v>690</v>
      </c>
      <c r="U17" t="s">
        <v>691</v>
      </c>
    </row>
    <row r="18" spans="1:21" x14ac:dyDescent="0.2">
      <c r="A18">
        <v>36</v>
      </c>
      <c r="B18">
        <v>1</v>
      </c>
      <c r="C18" t="s">
        <v>3</v>
      </c>
      <c r="D18" t="s">
        <v>692</v>
      </c>
      <c r="E18" t="s">
        <v>693</v>
      </c>
      <c r="F18" t="s">
        <v>693</v>
      </c>
      <c r="G18" t="s">
        <v>693</v>
      </c>
      <c r="H18" t="s">
        <v>3</v>
      </c>
      <c r="I18" t="s">
        <v>693</v>
      </c>
      <c r="J18" t="s">
        <v>693</v>
      </c>
      <c r="K18" t="s">
        <v>3</v>
      </c>
      <c r="L18" t="s">
        <v>3</v>
      </c>
      <c r="M18" t="s">
        <v>3</v>
      </c>
      <c r="N18" t="s">
        <v>692</v>
      </c>
      <c r="O18" t="s">
        <v>693</v>
      </c>
      <c r="P18" t="s">
        <v>3</v>
      </c>
      <c r="Q18" t="s">
        <v>3</v>
      </c>
      <c r="R18" t="s">
        <v>3</v>
      </c>
      <c r="S18" t="s">
        <v>694</v>
      </c>
      <c r="T18" t="s">
        <v>695</v>
      </c>
      <c r="U18" t="s">
        <v>696</v>
      </c>
    </row>
    <row r="19" spans="1:21" x14ac:dyDescent="0.2">
      <c r="A19">
        <v>37</v>
      </c>
      <c r="B19">
        <v>1</v>
      </c>
      <c r="C19" t="s">
        <v>3</v>
      </c>
      <c r="D19" t="s">
        <v>119</v>
      </c>
      <c r="E19" t="s">
        <v>120</v>
      </c>
      <c r="F19" t="s">
        <v>120</v>
      </c>
      <c r="G19" t="s">
        <v>120</v>
      </c>
      <c r="H19" t="s">
        <v>3</v>
      </c>
      <c r="I19" t="s">
        <v>120</v>
      </c>
      <c r="J19" t="s">
        <v>120</v>
      </c>
      <c r="K19" t="s">
        <v>3</v>
      </c>
      <c r="L19" t="s">
        <v>3</v>
      </c>
      <c r="M19" t="s">
        <v>3</v>
      </c>
      <c r="N19" t="s">
        <v>119</v>
      </c>
      <c r="O19" t="s">
        <v>120</v>
      </c>
      <c r="P19" t="s">
        <v>3</v>
      </c>
      <c r="Q19" t="s">
        <v>3</v>
      </c>
      <c r="R19" t="s">
        <v>3</v>
      </c>
      <c r="S19" t="s">
        <v>689</v>
      </c>
      <c r="T19" t="s">
        <v>690</v>
      </c>
      <c r="U19" t="s">
        <v>691</v>
      </c>
    </row>
    <row r="20" spans="1:21" x14ac:dyDescent="0.2">
      <c r="A20">
        <v>37</v>
      </c>
      <c r="B20">
        <v>1</v>
      </c>
      <c r="C20" t="s">
        <v>3</v>
      </c>
      <c r="D20" t="s">
        <v>692</v>
      </c>
      <c r="E20" t="s">
        <v>693</v>
      </c>
      <c r="F20" t="s">
        <v>693</v>
      </c>
      <c r="G20" t="s">
        <v>693</v>
      </c>
      <c r="H20" t="s">
        <v>3</v>
      </c>
      <c r="I20" t="s">
        <v>693</v>
      </c>
      <c r="J20" t="s">
        <v>693</v>
      </c>
      <c r="K20" t="s">
        <v>3</v>
      </c>
      <c r="L20" t="s">
        <v>3</v>
      </c>
      <c r="M20" t="s">
        <v>3</v>
      </c>
      <c r="N20" t="s">
        <v>692</v>
      </c>
      <c r="O20" t="s">
        <v>693</v>
      </c>
      <c r="P20" t="s">
        <v>3</v>
      </c>
      <c r="Q20" t="s">
        <v>3</v>
      </c>
      <c r="R20" t="s">
        <v>3</v>
      </c>
      <c r="S20" t="s">
        <v>694</v>
      </c>
      <c r="T20" t="s">
        <v>695</v>
      </c>
      <c r="U20" t="s">
        <v>696</v>
      </c>
    </row>
    <row r="21" spans="1:21" x14ac:dyDescent="0.2">
      <c r="A21">
        <v>38</v>
      </c>
      <c r="B21">
        <v>1</v>
      </c>
      <c r="C21" t="s">
        <v>3</v>
      </c>
      <c r="D21" t="s">
        <v>119</v>
      </c>
      <c r="E21" t="s">
        <v>120</v>
      </c>
      <c r="F21" t="s">
        <v>120</v>
      </c>
      <c r="G21" t="s">
        <v>120</v>
      </c>
      <c r="H21" t="s">
        <v>3</v>
      </c>
      <c r="I21" t="s">
        <v>120</v>
      </c>
      <c r="J21" t="s">
        <v>120</v>
      </c>
      <c r="K21" t="s">
        <v>3</v>
      </c>
      <c r="L21" t="s">
        <v>3</v>
      </c>
      <c r="M21" t="s">
        <v>3</v>
      </c>
      <c r="N21" t="s">
        <v>119</v>
      </c>
      <c r="O21" t="s">
        <v>120</v>
      </c>
      <c r="P21" t="s">
        <v>3</v>
      </c>
      <c r="Q21" t="s">
        <v>3</v>
      </c>
      <c r="R21" t="s">
        <v>3</v>
      </c>
      <c r="S21" t="s">
        <v>689</v>
      </c>
      <c r="T21" t="s">
        <v>690</v>
      </c>
      <c r="U21" t="s">
        <v>691</v>
      </c>
    </row>
    <row r="22" spans="1:21" x14ac:dyDescent="0.2">
      <c r="A22">
        <v>38</v>
      </c>
      <c r="B22">
        <v>1</v>
      </c>
      <c r="C22" t="s">
        <v>3</v>
      </c>
      <c r="D22" t="s">
        <v>692</v>
      </c>
      <c r="E22" t="s">
        <v>693</v>
      </c>
      <c r="F22" t="s">
        <v>693</v>
      </c>
      <c r="G22" t="s">
        <v>693</v>
      </c>
      <c r="H22" t="s">
        <v>3</v>
      </c>
      <c r="I22" t="s">
        <v>693</v>
      </c>
      <c r="J22" t="s">
        <v>693</v>
      </c>
      <c r="K22" t="s">
        <v>3</v>
      </c>
      <c r="L22" t="s">
        <v>3</v>
      </c>
      <c r="M22" t="s">
        <v>3</v>
      </c>
      <c r="N22" t="s">
        <v>692</v>
      </c>
      <c r="O22" t="s">
        <v>693</v>
      </c>
      <c r="P22" t="s">
        <v>3</v>
      </c>
      <c r="Q22" t="s">
        <v>3</v>
      </c>
      <c r="R22" t="s">
        <v>3</v>
      </c>
      <c r="S22" t="s">
        <v>694</v>
      </c>
      <c r="T22" t="s">
        <v>695</v>
      </c>
      <c r="U22" t="s">
        <v>696</v>
      </c>
    </row>
    <row r="23" spans="1:21" x14ac:dyDescent="0.2">
      <c r="A23">
        <v>39</v>
      </c>
      <c r="B23">
        <v>1</v>
      </c>
      <c r="C23" t="s">
        <v>3</v>
      </c>
      <c r="D23" t="s">
        <v>119</v>
      </c>
      <c r="E23" t="s">
        <v>120</v>
      </c>
      <c r="F23" t="s">
        <v>120</v>
      </c>
      <c r="G23" t="s">
        <v>120</v>
      </c>
      <c r="H23" t="s">
        <v>3</v>
      </c>
      <c r="I23" t="s">
        <v>120</v>
      </c>
      <c r="J23" t="s">
        <v>120</v>
      </c>
      <c r="K23" t="s">
        <v>3</v>
      </c>
      <c r="L23" t="s">
        <v>3</v>
      </c>
      <c r="M23" t="s">
        <v>3</v>
      </c>
      <c r="N23" t="s">
        <v>119</v>
      </c>
      <c r="O23" t="s">
        <v>120</v>
      </c>
      <c r="P23" t="s">
        <v>3</v>
      </c>
      <c r="Q23" t="s">
        <v>3</v>
      </c>
      <c r="R23" t="s">
        <v>3</v>
      </c>
      <c r="S23" t="s">
        <v>689</v>
      </c>
      <c r="T23" t="s">
        <v>690</v>
      </c>
      <c r="U23" t="s">
        <v>691</v>
      </c>
    </row>
    <row r="24" spans="1:21" x14ac:dyDescent="0.2">
      <c r="A24">
        <v>39</v>
      </c>
      <c r="B24">
        <v>1</v>
      </c>
      <c r="C24" t="s">
        <v>3</v>
      </c>
      <c r="D24" t="s">
        <v>692</v>
      </c>
      <c r="E24" t="s">
        <v>693</v>
      </c>
      <c r="F24" t="s">
        <v>693</v>
      </c>
      <c r="G24" t="s">
        <v>693</v>
      </c>
      <c r="H24" t="s">
        <v>3</v>
      </c>
      <c r="I24" t="s">
        <v>693</v>
      </c>
      <c r="J24" t="s">
        <v>693</v>
      </c>
      <c r="K24" t="s">
        <v>3</v>
      </c>
      <c r="L24" t="s">
        <v>3</v>
      </c>
      <c r="M24" t="s">
        <v>3</v>
      </c>
      <c r="N24" t="s">
        <v>692</v>
      </c>
      <c r="O24" t="s">
        <v>693</v>
      </c>
      <c r="P24" t="s">
        <v>3</v>
      </c>
      <c r="Q24" t="s">
        <v>3</v>
      </c>
      <c r="R24" t="s">
        <v>3</v>
      </c>
      <c r="S24" t="s">
        <v>694</v>
      </c>
      <c r="T24" t="s">
        <v>695</v>
      </c>
      <c r="U24" t="s">
        <v>696</v>
      </c>
    </row>
    <row r="25" spans="1:21" x14ac:dyDescent="0.2">
      <c r="A25">
        <v>40</v>
      </c>
      <c r="B25">
        <v>1</v>
      </c>
      <c r="C25" t="s">
        <v>3</v>
      </c>
      <c r="D25" t="s">
        <v>119</v>
      </c>
      <c r="E25" t="s">
        <v>120</v>
      </c>
      <c r="F25" t="s">
        <v>120</v>
      </c>
      <c r="G25" t="s">
        <v>120</v>
      </c>
      <c r="H25" t="s">
        <v>3</v>
      </c>
      <c r="I25" t="s">
        <v>120</v>
      </c>
      <c r="J25" t="s">
        <v>120</v>
      </c>
      <c r="K25" t="s">
        <v>3</v>
      </c>
      <c r="L25" t="s">
        <v>3</v>
      </c>
      <c r="M25" t="s">
        <v>3</v>
      </c>
      <c r="N25" t="s">
        <v>119</v>
      </c>
      <c r="O25" t="s">
        <v>120</v>
      </c>
      <c r="P25" t="s">
        <v>3</v>
      </c>
      <c r="Q25" t="s">
        <v>3</v>
      </c>
      <c r="R25" t="s">
        <v>3</v>
      </c>
      <c r="S25" t="s">
        <v>689</v>
      </c>
      <c r="T25" t="s">
        <v>690</v>
      </c>
      <c r="U25" t="s">
        <v>691</v>
      </c>
    </row>
    <row r="26" spans="1:21" x14ac:dyDescent="0.2">
      <c r="A26">
        <v>40</v>
      </c>
      <c r="B26">
        <v>1</v>
      </c>
      <c r="C26" t="s">
        <v>3</v>
      </c>
      <c r="D26" t="s">
        <v>692</v>
      </c>
      <c r="E26" t="s">
        <v>693</v>
      </c>
      <c r="F26" t="s">
        <v>693</v>
      </c>
      <c r="G26" t="s">
        <v>693</v>
      </c>
      <c r="H26" t="s">
        <v>3</v>
      </c>
      <c r="I26" t="s">
        <v>693</v>
      </c>
      <c r="J26" t="s">
        <v>693</v>
      </c>
      <c r="K26" t="s">
        <v>3</v>
      </c>
      <c r="L26" t="s">
        <v>3</v>
      </c>
      <c r="M26" t="s">
        <v>3</v>
      </c>
      <c r="N26" t="s">
        <v>692</v>
      </c>
      <c r="O26" t="s">
        <v>693</v>
      </c>
      <c r="P26" t="s">
        <v>3</v>
      </c>
      <c r="Q26" t="s">
        <v>3</v>
      </c>
      <c r="R26" t="s">
        <v>3</v>
      </c>
      <c r="S26" t="s">
        <v>694</v>
      </c>
      <c r="T26" t="s">
        <v>695</v>
      </c>
      <c r="U26" t="s">
        <v>696</v>
      </c>
    </row>
    <row r="27" spans="1:21" x14ac:dyDescent="0.2">
      <c r="A27">
        <v>41</v>
      </c>
      <c r="B27">
        <v>1</v>
      </c>
      <c r="C27" t="s">
        <v>3</v>
      </c>
      <c r="D27" t="s">
        <v>119</v>
      </c>
      <c r="E27" t="s">
        <v>120</v>
      </c>
      <c r="F27" t="s">
        <v>120</v>
      </c>
      <c r="G27" t="s">
        <v>120</v>
      </c>
      <c r="H27" t="s">
        <v>3</v>
      </c>
      <c r="I27" t="s">
        <v>120</v>
      </c>
      <c r="J27" t="s">
        <v>120</v>
      </c>
      <c r="K27" t="s">
        <v>3</v>
      </c>
      <c r="L27" t="s">
        <v>3</v>
      </c>
      <c r="M27" t="s">
        <v>3</v>
      </c>
      <c r="N27" t="s">
        <v>119</v>
      </c>
      <c r="O27" t="s">
        <v>120</v>
      </c>
      <c r="P27" t="s">
        <v>3</v>
      </c>
      <c r="Q27" t="s">
        <v>3</v>
      </c>
      <c r="R27" t="s">
        <v>3</v>
      </c>
      <c r="S27" t="s">
        <v>689</v>
      </c>
      <c r="T27" t="s">
        <v>690</v>
      </c>
      <c r="U27" t="s">
        <v>691</v>
      </c>
    </row>
    <row r="28" spans="1:21" x14ac:dyDescent="0.2">
      <c r="A28">
        <v>41</v>
      </c>
      <c r="B28">
        <v>1</v>
      </c>
      <c r="C28" t="s">
        <v>3</v>
      </c>
      <c r="D28" t="s">
        <v>692</v>
      </c>
      <c r="E28" t="s">
        <v>693</v>
      </c>
      <c r="F28" t="s">
        <v>693</v>
      </c>
      <c r="G28" t="s">
        <v>693</v>
      </c>
      <c r="H28" t="s">
        <v>3</v>
      </c>
      <c r="I28" t="s">
        <v>693</v>
      </c>
      <c r="J28" t="s">
        <v>693</v>
      </c>
      <c r="K28" t="s">
        <v>3</v>
      </c>
      <c r="L28" t="s">
        <v>3</v>
      </c>
      <c r="M28" t="s">
        <v>3</v>
      </c>
      <c r="N28" t="s">
        <v>692</v>
      </c>
      <c r="O28" t="s">
        <v>693</v>
      </c>
      <c r="P28" t="s">
        <v>3</v>
      </c>
      <c r="Q28" t="s">
        <v>3</v>
      </c>
      <c r="R28" t="s">
        <v>3</v>
      </c>
      <c r="S28" t="s">
        <v>694</v>
      </c>
      <c r="T28" t="s">
        <v>695</v>
      </c>
      <c r="U28" t="s">
        <v>696</v>
      </c>
    </row>
    <row r="29" spans="1:21" x14ac:dyDescent="0.2">
      <c r="A29">
        <v>42</v>
      </c>
      <c r="B29">
        <v>1</v>
      </c>
      <c r="C29" t="s">
        <v>3</v>
      </c>
      <c r="D29" t="s">
        <v>119</v>
      </c>
      <c r="E29" t="s">
        <v>120</v>
      </c>
      <c r="F29" t="s">
        <v>120</v>
      </c>
      <c r="G29" t="s">
        <v>120</v>
      </c>
      <c r="H29" t="s">
        <v>3</v>
      </c>
      <c r="I29" t="s">
        <v>120</v>
      </c>
      <c r="J29" t="s">
        <v>120</v>
      </c>
      <c r="K29" t="s">
        <v>3</v>
      </c>
      <c r="L29" t="s">
        <v>3</v>
      </c>
      <c r="M29" t="s">
        <v>3</v>
      </c>
      <c r="N29" t="s">
        <v>119</v>
      </c>
      <c r="O29" t="s">
        <v>120</v>
      </c>
      <c r="P29" t="s">
        <v>3</v>
      </c>
      <c r="Q29" t="s">
        <v>3</v>
      </c>
      <c r="R29" t="s">
        <v>3</v>
      </c>
      <c r="S29" t="s">
        <v>689</v>
      </c>
      <c r="T29" t="s">
        <v>690</v>
      </c>
      <c r="U29" t="s">
        <v>691</v>
      </c>
    </row>
    <row r="30" spans="1:21" x14ac:dyDescent="0.2">
      <c r="A30">
        <v>42</v>
      </c>
      <c r="B30">
        <v>1</v>
      </c>
      <c r="C30" t="s">
        <v>3</v>
      </c>
      <c r="D30" t="s">
        <v>692</v>
      </c>
      <c r="E30" t="s">
        <v>693</v>
      </c>
      <c r="F30" t="s">
        <v>693</v>
      </c>
      <c r="G30" t="s">
        <v>693</v>
      </c>
      <c r="H30" t="s">
        <v>3</v>
      </c>
      <c r="I30" t="s">
        <v>693</v>
      </c>
      <c r="J30" t="s">
        <v>693</v>
      </c>
      <c r="K30" t="s">
        <v>3</v>
      </c>
      <c r="L30" t="s">
        <v>3</v>
      </c>
      <c r="M30" t="s">
        <v>3</v>
      </c>
      <c r="N30" t="s">
        <v>692</v>
      </c>
      <c r="O30" t="s">
        <v>693</v>
      </c>
      <c r="P30" t="s">
        <v>3</v>
      </c>
      <c r="Q30" t="s">
        <v>3</v>
      </c>
      <c r="R30" t="s">
        <v>3</v>
      </c>
      <c r="S30" t="s">
        <v>694</v>
      </c>
      <c r="T30" t="s">
        <v>695</v>
      </c>
      <c r="U30" t="s">
        <v>696</v>
      </c>
    </row>
    <row r="31" spans="1:21" x14ac:dyDescent="0.2">
      <c r="A31">
        <v>43</v>
      </c>
      <c r="B31">
        <v>1</v>
      </c>
      <c r="C31" t="s">
        <v>3</v>
      </c>
      <c r="D31" t="s">
        <v>119</v>
      </c>
      <c r="E31" t="s">
        <v>120</v>
      </c>
      <c r="F31" t="s">
        <v>120</v>
      </c>
      <c r="G31" t="s">
        <v>120</v>
      </c>
      <c r="H31" t="s">
        <v>3</v>
      </c>
      <c r="I31" t="s">
        <v>120</v>
      </c>
      <c r="J31" t="s">
        <v>120</v>
      </c>
      <c r="K31" t="s">
        <v>3</v>
      </c>
      <c r="L31" t="s">
        <v>3</v>
      </c>
      <c r="M31" t="s">
        <v>3</v>
      </c>
      <c r="N31" t="s">
        <v>119</v>
      </c>
      <c r="O31" t="s">
        <v>120</v>
      </c>
      <c r="P31" t="s">
        <v>3</v>
      </c>
      <c r="Q31" t="s">
        <v>3</v>
      </c>
      <c r="R31" t="s">
        <v>3</v>
      </c>
      <c r="S31" t="s">
        <v>689</v>
      </c>
      <c r="T31" t="s">
        <v>690</v>
      </c>
      <c r="U31" t="s">
        <v>691</v>
      </c>
    </row>
    <row r="32" spans="1:21" x14ac:dyDescent="0.2">
      <c r="A32">
        <v>43</v>
      </c>
      <c r="B32">
        <v>1</v>
      </c>
      <c r="C32" t="s">
        <v>3</v>
      </c>
      <c r="D32" t="s">
        <v>692</v>
      </c>
      <c r="E32" t="s">
        <v>693</v>
      </c>
      <c r="F32" t="s">
        <v>693</v>
      </c>
      <c r="G32" t="s">
        <v>693</v>
      </c>
      <c r="H32" t="s">
        <v>3</v>
      </c>
      <c r="I32" t="s">
        <v>693</v>
      </c>
      <c r="J32" t="s">
        <v>693</v>
      </c>
      <c r="K32" t="s">
        <v>3</v>
      </c>
      <c r="L32" t="s">
        <v>3</v>
      </c>
      <c r="M32" t="s">
        <v>3</v>
      </c>
      <c r="N32" t="s">
        <v>692</v>
      </c>
      <c r="O32" t="s">
        <v>693</v>
      </c>
      <c r="P32" t="s">
        <v>3</v>
      </c>
      <c r="Q32" t="s">
        <v>3</v>
      </c>
      <c r="R32" t="s">
        <v>3</v>
      </c>
      <c r="S32" t="s">
        <v>694</v>
      </c>
      <c r="T32" t="s">
        <v>695</v>
      </c>
      <c r="U32" t="s">
        <v>696</v>
      </c>
    </row>
    <row r="33" spans="1:21" x14ac:dyDescent="0.2">
      <c r="A33">
        <v>44</v>
      </c>
      <c r="B33">
        <v>1</v>
      </c>
      <c r="C33" t="s">
        <v>3</v>
      </c>
      <c r="D33" t="s">
        <v>119</v>
      </c>
      <c r="E33" t="s">
        <v>120</v>
      </c>
      <c r="F33" t="s">
        <v>120</v>
      </c>
      <c r="G33" t="s">
        <v>120</v>
      </c>
      <c r="H33" t="s">
        <v>3</v>
      </c>
      <c r="I33" t="s">
        <v>120</v>
      </c>
      <c r="J33" t="s">
        <v>120</v>
      </c>
      <c r="K33" t="s">
        <v>3</v>
      </c>
      <c r="L33" t="s">
        <v>3</v>
      </c>
      <c r="M33" t="s">
        <v>3</v>
      </c>
      <c r="N33" t="s">
        <v>119</v>
      </c>
      <c r="O33" t="s">
        <v>120</v>
      </c>
      <c r="P33" t="s">
        <v>3</v>
      </c>
      <c r="Q33" t="s">
        <v>3</v>
      </c>
      <c r="R33" t="s">
        <v>3</v>
      </c>
      <c r="S33" t="s">
        <v>689</v>
      </c>
      <c r="T33" t="s">
        <v>690</v>
      </c>
      <c r="U33" t="s">
        <v>691</v>
      </c>
    </row>
    <row r="34" spans="1:21" x14ac:dyDescent="0.2">
      <c r="A34">
        <v>44</v>
      </c>
      <c r="B34">
        <v>1</v>
      </c>
      <c r="C34" t="s">
        <v>3</v>
      </c>
      <c r="D34" t="s">
        <v>692</v>
      </c>
      <c r="E34" t="s">
        <v>693</v>
      </c>
      <c r="F34" t="s">
        <v>693</v>
      </c>
      <c r="G34" t="s">
        <v>693</v>
      </c>
      <c r="H34" t="s">
        <v>3</v>
      </c>
      <c r="I34" t="s">
        <v>693</v>
      </c>
      <c r="J34" t="s">
        <v>693</v>
      </c>
      <c r="K34" t="s">
        <v>3</v>
      </c>
      <c r="L34" t="s">
        <v>3</v>
      </c>
      <c r="M34" t="s">
        <v>3</v>
      </c>
      <c r="N34" t="s">
        <v>692</v>
      </c>
      <c r="O34" t="s">
        <v>693</v>
      </c>
      <c r="P34" t="s">
        <v>3</v>
      </c>
      <c r="Q34" t="s">
        <v>3</v>
      </c>
      <c r="R34" t="s">
        <v>3</v>
      </c>
      <c r="S34" t="s">
        <v>694</v>
      </c>
      <c r="T34" t="s">
        <v>695</v>
      </c>
      <c r="U34" t="s">
        <v>696</v>
      </c>
    </row>
    <row r="35" spans="1:21" x14ac:dyDescent="0.2">
      <c r="A35">
        <v>45</v>
      </c>
      <c r="B35">
        <v>1</v>
      </c>
      <c r="C35" t="s">
        <v>3</v>
      </c>
      <c r="D35" t="s">
        <v>119</v>
      </c>
      <c r="E35" t="s">
        <v>120</v>
      </c>
      <c r="F35" t="s">
        <v>120</v>
      </c>
      <c r="G35" t="s">
        <v>120</v>
      </c>
      <c r="H35" t="s">
        <v>3</v>
      </c>
      <c r="I35" t="s">
        <v>120</v>
      </c>
      <c r="J35" t="s">
        <v>120</v>
      </c>
      <c r="K35" t="s">
        <v>3</v>
      </c>
      <c r="L35" t="s">
        <v>3</v>
      </c>
      <c r="M35" t="s">
        <v>3</v>
      </c>
      <c r="N35" t="s">
        <v>119</v>
      </c>
      <c r="O35" t="s">
        <v>120</v>
      </c>
      <c r="P35" t="s">
        <v>3</v>
      </c>
      <c r="Q35" t="s">
        <v>3</v>
      </c>
      <c r="R35" t="s">
        <v>3</v>
      </c>
      <c r="S35" t="s">
        <v>689</v>
      </c>
      <c r="T35" t="s">
        <v>690</v>
      </c>
      <c r="U35" t="s">
        <v>691</v>
      </c>
    </row>
    <row r="36" spans="1:21" x14ac:dyDescent="0.2">
      <c r="A36">
        <v>45</v>
      </c>
      <c r="B36">
        <v>1</v>
      </c>
      <c r="C36" t="s">
        <v>3</v>
      </c>
      <c r="D36" t="s">
        <v>692</v>
      </c>
      <c r="E36" t="s">
        <v>693</v>
      </c>
      <c r="F36" t="s">
        <v>693</v>
      </c>
      <c r="G36" t="s">
        <v>693</v>
      </c>
      <c r="H36" t="s">
        <v>3</v>
      </c>
      <c r="I36" t="s">
        <v>693</v>
      </c>
      <c r="J36" t="s">
        <v>693</v>
      </c>
      <c r="K36" t="s">
        <v>3</v>
      </c>
      <c r="L36" t="s">
        <v>3</v>
      </c>
      <c r="M36" t="s">
        <v>3</v>
      </c>
      <c r="N36" t="s">
        <v>692</v>
      </c>
      <c r="O36" t="s">
        <v>693</v>
      </c>
      <c r="P36" t="s">
        <v>3</v>
      </c>
      <c r="Q36" t="s">
        <v>3</v>
      </c>
      <c r="R36" t="s">
        <v>3</v>
      </c>
      <c r="S36" t="s">
        <v>694</v>
      </c>
      <c r="T36" t="s">
        <v>695</v>
      </c>
      <c r="U36" t="s">
        <v>696</v>
      </c>
    </row>
    <row r="37" spans="1:21" x14ac:dyDescent="0.2">
      <c r="A37">
        <v>46</v>
      </c>
      <c r="B37">
        <v>1</v>
      </c>
      <c r="C37" t="s">
        <v>3</v>
      </c>
      <c r="D37" t="s">
        <v>119</v>
      </c>
      <c r="E37" t="s">
        <v>120</v>
      </c>
      <c r="F37" t="s">
        <v>120</v>
      </c>
      <c r="G37" t="s">
        <v>120</v>
      </c>
      <c r="H37" t="s">
        <v>3</v>
      </c>
      <c r="I37" t="s">
        <v>120</v>
      </c>
      <c r="J37" t="s">
        <v>120</v>
      </c>
      <c r="K37" t="s">
        <v>3</v>
      </c>
      <c r="L37" t="s">
        <v>3</v>
      </c>
      <c r="M37" t="s">
        <v>3</v>
      </c>
      <c r="N37" t="s">
        <v>119</v>
      </c>
      <c r="O37" t="s">
        <v>120</v>
      </c>
      <c r="P37" t="s">
        <v>3</v>
      </c>
      <c r="Q37" t="s">
        <v>3</v>
      </c>
      <c r="R37" t="s">
        <v>3</v>
      </c>
      <c r="S37" t="s">
        <v>689</v>
      </c>
      <c r="T37" t="s">
        <v>690</v>
      </c>
      <c r="U37" t="s">
        <v>691</v>
      </c>
    </row>
    <row r="38" spans="1:21" x14ac:dyDescent="0.2">
      <c r="A38">
        <v>46</v>
      </c>
      <c r="B38">
        <v>1</v>
      </c>
      <c r="C38" t="s">
        <v>3</v>
      </c>
      <c r="D38" t="s">
        <v>692</v>
      </c>
      <c r="E38" t="s">
        <v>693</v>
      </c>
      <c r="F38" t="s">
        <v>693</v>
      </c>
      <c r="G38" t="s">
        <v>693</v>
      </c>
      <c r="H38" t="s">
        <v>3</v>
      </c>
      <c r="I38" t="s">
        <v>693</v>
      </c>
      <c r="J38" t="s">
        <v>693</v>
      </c>
      <c r="K38" t="s">
        <v>3</v>
      </c>
      <c r="L38" t="s">
        <v>3</v>
      </c>
      <c r="M38" t="s">
        <v>3</v>
      </c>
      <c r="N38" t="s">
        <v>692</v>
      </c>
      <c r="O38" t="s">
        <v>693</v>
      </c>
      <c r="P38" t="s">
        <v>3</v>
      </c>
      <c r="Q38" t="s">
        <v>3</v>
      </c>
      <c r="R38" t="s">
        <v>3</v>
      </c>
      <c r="S38" t="s">
        <v>694</v>
      </c>
      <c r="T38" t="s">
        <v>695</v>
      </c>
      <c r="U38" t="s">
        <v>696</v>
      </c>
    </row>
    <row r="39" spans="1:21" x14ac:dyDescent="0.2">
      <c r="A39">
        <v>47</v>
      </c>
      <c r="B39">
        <v>1</v>
      </c>
      <c r="C39" t="s">
        <v>3</v>
      </c>
      <c r="D39" t="s">
        <v>119</v>
      </c>
      <c r="E39" t="s">
        <v>120</v>
      </c>
      <c r="F39" t="s">
        <v>120</v>
      </c>
      <c r="G39" t="s">
        <v>120</v>
      </c>
      <c r="H39" t="s">
        <v>3</v>
      </c>
      <c r="I39" t="s">
        <v>120</v>
      </c>
      <c r="J39" t="s">
        <v>120</v>
      </c>
      <c r="K39" t="s">
        <v>3</v>
      </c>
      <c r="L39" t="s">
        <v>3</v>
      </c>
      <c r="M39" t="s">
        <v>3</v>
      </c>
      <c r="N39" t="s">
        <v>119</v>
      </c>
      <c r="O39" t="s">
        <v>120</v>
      </c>
      <c r="P39" t="s">
        <v>3</v>
      </c>
      <c r="Q39" t="s">
        <v>3</v>
      </c>
      <c r="R39" t="s">
        <v>3</v>
      </c>
      <c r="S39" t="s">
        <v>689</v>
      </c>
      <c r="T39" t="s">
        <v>690</v>
      </c>
      <c r="U39" t="s">
        <v>691</v>
      </c>
    </row>
    <row r="40" spans="1:21" x14ac:dyDescent="0.2">
      <c r="A40">
        <v>47</v>
      </c>
      <c r="B40">
        <v>1</v>
      </c>
      <c r="C40" t="s">
        <v>3</v>
      </c>
      <c r="D40" t="s">
        <v>692</v>
      </c>
      <c r="E40" t="s">
        <v>693</v>
      </c>
      <c r="F40" t="s">
        <v>693</v>
      </c>
      <c r="G40" t="s">
        <v>693</v>
      </c>
      <c r="H40" t="s">
        <v>3</v>
      </c>
      <c r="I40" t="s">
        <v>693</v>
      </c>
      <c r="J40" t="s">
        <v>693</v>
      </c>
      <c r="K40" t="s">
        <v>3</v>
      </c>
      <c r="L40" t="s">
        <v>3</v>
      </c>
      <c r="M40" t="s">
        <v>3</v>
      </c>
      <c r="N40" t="s">
        <v>692</v>
      </c>
      <c r="O40" t="s">
        <v>693</v>
      </c>
      <c r="P40" t="s">
        <v>3</v>
      </c>
      <c r="Q40" t="s">
        <v>3</v>
      </c>
      <c r="R40" t="s">
        <v>3</v>
      </c>
      <c r="S40" t="s">
        <v>694</v>
      </c>
      <c r="T40" t="s">
        <v>695</v>
      </c>
      <c r="U40" t="s">
        <v>696</v>
      </c>
    </row>
    <row r="41" spans="1:21" x14ac:dyDescent="0.2">
      <c r="A41">
        <v>48</v>
      </c>
      <c r="B41">
        <v>1</v>
      </c>
      <c r="C41" t="s">
        <v>3</v>
      </c>
      <c r="D41" t="s">
        <v>119</v>
      </c>
      <c r="E41" t="s">
        <v>120</v>
      </c>
      <c r="F41" t="s">
        <v>120</v>
      </c>
      <c r="G41" t="s">
        <v>120</v>
      </c>
      <c r="H41" t="s">
        <v>3</v>
      </c>
      <c r="I41" t="s">
        <v>120</v>
      </c>
      <c r="J41" t="s">
        <v>120</v>
      </c>
      <c r="K41" t="s">
        <v>3</v>
      </c>
      <c r="L41" t="s">
        <v>3</v>
      </c>
      <c r="M41" t="s">
        <v>3</v>
      </c>
      <c r="N41" t="s">
        <v>119</v>
      </c>
      <c r="O41" t="s">
        <v>120</v>
      </c>
      <c r="P41" t="s">
        <v>3</v>
      </c>
      <c r="Q41" t="s">
        <v>3</v>
      </c>
      <c r="R41" t="s">
        <v>3</v>
      </c>
      <c r="S41" t="s">
        <v>689</v>
      </c>
      <c r="T41" t="s">
        <v>690</v>
      </c>
      <c r="U41" t="s">
        <v>691</v>
      </c>
    </row>
    <row r="42" spans="1:21" x14ac:dyDescent="0.2">
      <c r="A42">
        <v>48</v>
      </c>
      <c r="B42">
        <v>1</v>
      </c>
      <c r="C42" t="s">
        <v>3</v>
      </c>
      <c r="D42" t="s">
        <v>697</v>
      </c>
      <c r="E42" t="s">
        <v>697</v>
      </c>
      <c r="F42" t="s">
        <v>697</v>
      </c>
      <c r="G42" t="s">
        <v>697</v>
      </c>
      <c r="H42" t="s">
        <v>3</v>
      </c>
      <c r="I42" t="s">
        <v>697</v>
      </c>
      <c r="J42" t="s">
        <v>697</v>
      </c>
      <c r="K42" t="s">
        <v>3</v>
      </c>
      <c r="L42" t="s">
        <v>3</v>
      </c>
      <c r="M42" t="s">
        <v>3</v>
      </c>
      <c r="N42" t="s">
        <v>697</v>
      </c>
      <c r="O42" t="s">
        <v>697</v>
      </c>
      <c r="P42" t="s">
        <v>3</v>
      </c>
      <c r="Q42" t="s">
        <v>3</v>
      </c>
      <c r="R42" t="s">
        <v>3</v>
      </c>
      <c r="S42" t="s">
        <v>698</v>
      </c>
      <c r="T42" t="s">
        <v>699</v>
      </c>
      <c r="U42" t="s">
        <v>700</v>
      </c>
    </row>
    <row r="43" spans="1:21" x14ac:dyDescent="0.2">
      <c r="A43">
        <v>49</v>
      </c>
      <c r="B43">
        <v>1</v>
      </c>
      <c r="C43" t="s">
        <v>3</v>
      </c>
      <c r="D43" t="s">
        <v>119</v>
      </c>
      <c r="E43" t="s">
        <v>120</v>
      </c>
      <c r="F43" t="s">
        <v>120</v>
      </c>
      <c r="G43" t="s">
        <v>120</v>
      </c>
      <c r="H43" t="s">
        <v>3</v>
      </c>
      <c r="I43" t="s">
        <v>120</v>
      </c>
      <c r="J43" t="s">
        <v>120</v>
      </c>
      <c r="K43" t="s">
        <v>3</v>
      </c>
      <c r="L43" t="s">
        <v>3</v>
      </c>
      <c r="M43" t="s">
        <v>3</v>
      </c>
      <c r="N43" t="s">
        <v>119</v>
      </c>
      <c r="O43" t="s">
        <v>120</v>
      </c>
      <c r="P43" t="s">
        <v>3</v>
      </c>
      <c r="Q43" t="s">
        <v>3</v>
      </c>
      <c r="R43" t="s">
        <v>3</v>
      </c>
      <c r="S43" t="s">
        <v>689</v>
      </c>
      <c r="T43" t="s">
        <v>690</v>
      </c>
      <c r="U43" t="s">
        <v>691</v>
      </c>
    </row>
    <row r="44" spans="1:21" x14ac:dyDescent="0.2">
      <c r="A44">
        <v>49</v>
      </c>
      <c r="B44">
        <v>1</v>
      </c>
      <c r="C44" t="s">
        <v>3</v>
      </c>
      <c r="D44" t="s">
        <v>697</v>
      </c>
      <c r="E44" t="s">
        <v>697</v>
      </c>
      <c r="F44" t="s">
        <v>697</v>
      </c>
      <c r="G44" t="s">
        <v>697</v>
      </c>
      <c r="H44" t="s">
        <v>3</v>
      </c>
      <c r="I44" t="s">
        <v>697</v>
      </c>
      <c r="J44" t="s">
        <v>697</v>
      </c>
      <c r="K44" t="s">
        <v>3</v>
      </c>
      <c r="L44" t="s">
        <v>3</v>
      </c>
      <c r="M44" t="s">
        <v>3</v>
      </c>
      <c r="N44" t="s">
        <v>697</v>
      </c>
      <c r="O44" t="s">
        <v>697</v>
      </c>
      <c r="P44" t="s">
        <v>3</v>
      </c>
      <c r="Q44" t="s">
        <v>3</v>
      </c>
      <c r="R44" t="s">
        <v>3</v>
      </c>
      <c r="S44" t="s">
        <v>698</v>
      </c>
      <c r="T44" t="s">
        <v>699</v>
      </c>
      <c r="U44" t="s">
        <v>700</v>
      </c>
    </row>
    <row r="45" spans="1:21" x14ac:dyDescent="0.2">
      <c r="A45">
        <v>50</v>
      </c>
      <c r="B45">
        <v>1</v>
      </c>
      <c r="C45" t="s">
        <v>3</v>
      </c>
      <c r="D45" t="s">
        <v>119</v>
      </c>
      <c r="E45" t="s">
        <v>120</v>
      </c>
      <c r="F45" t="s">
        <v>120</v>
      </c>
      <c r="G45" t="s">
        <v>120</v>
      </c>
      <c r="H45" t="s">
        <v>3</v>
      </c>
      <c r="I45" t="s">
        <v>120</v>
      </c>
      <c r="J45" t="s">
        <v>120</v>
      </c>
      <c r="K45" t="s">
        <v>3</v>
      </c>
      <c r="L45" t="s">
        <v>3</v>
      </c>
      <c r="M45" t="s">
        <v>3</v>
      </c>
      <c r="N45" t="s">
        <v>119</v>
      </c>
      <c r="O45" t="s">
        <v>120</v>
      </c>
      <c r="P45" t="s">
        <v>3</v>
      </c>
      <c r="Q45" t="s">
        <v>3</v>
      </c>
      <c r="R45" t="s">
        <v>3</v>
      </c>
      <c r="S45" t="s">
        <v>689</v>
      </c>
      <c r="T45" t="s">
        <v>690</v>
      </c>
      <c r="U45" t="s">
        <v>691</v>
      </c>
    </row>
    <row r="46" spans="1:21" x14ac:dyDescent="0.2">
      <c r="A46">
        <v>50</v>
      </c>
      <c r="B46">
        <v>1</v>
      </c>
      <c r="C46" t="s">
        <v>3</v>
      </c>
      <c r="D46" t="s">
        <v>692</v>
      </c>
      <c r="E46" t="s">
        <v>693</v>
      </c>
      <c r="F46" t="s">
        <v>693</v>
      </c>
      <c r="G46" t="s">
        <v>693</v>
      </c>
      <c r="H46" t="s">
        <v>3</v>
      </c>
      <c r="I46" t="s">
        <v>693</v>
      </c>
      <c r="J46" t="s">
        <v>693</v>
      </c>
      <c r="K46" t="s">
        <v>3</v>
      </c>
      <c r="L46" t="s">
        <v>3</v>
      </c>
      <c r="M46" t="s">
        <v>3</v>
      </c>
      <c r="N46" t="s">
        <v>692</v>
      </c>
      <c r="O46" t="s">
        <v>693</v>
      </c>
      <c r="P46" t="s">
        <v>3</v>
      </c>
      <c r="Q46" t="s">
        <v>3</v>
      </c>
      <c r="R46" t="s">
        <v>3</v>
      </c>
      <c r="S46" t="s">
        <v>694</v>
      </c>
      <c r="T46" t="s">
        <v>695</v>
      </c>
      <c r="U46" t="s">
        <v>696</v>
      </c>
    </row>
    <row r="47" spans="1:21" x14ac:dyDescent="0.2">
      <c r="A47">
        <v>51</v>
      </c>
      <c r="B47">
        <v>1</v>
      </c>
      <c r="C47" t="s">
        <v>3</v>
      </c>
      <c r="D47" t="s">
        <v>119</v>
      </c>
      <c r="E47" t="s">
        <v>120</v>
      </c>
      <c r="F47" t="s">
        <v>120</v>
      </c>
      <c r="G47" t="s">
        <v>120</v>
      </c>
      <c r="H47" t="s">
        <v>3</v>
      </c>
      <c r="I47" t="s">
        <v>120</v>
      </c>
      <c r="J47" t="s">
        <v>120</v>
      </c>
      <c r="K47" t="s">
        <v>3</v>
      </c>
      <c r="L47" t="s">
        <v>3</v>
      </c>
      <c r="M47" t="s">
        <v>3</v>
      </c>
      <c r="N47" t="s">
        <v>119</v>
      </c>
      <c r="O47" t="s">
        <v>120</v>
      </c>
      <c r="P47" t="s">
        <v>3</v>
      </c>
      <c r="Q47" t="s">
        <v>3</v>
      </c>
      <c r="R47" t="s">
        <v>3</v>
      </c>
      <c r="S47" t="s">
        <v>689</v>
      </c>
      <c r="T47" t="s">
        <v>690</v>
      </c>
      <c r="U47" t="s">
        <v>691</v>
      </c>
    </row>
    <row r="48" spans="1:21" x14ac:dyDescent="0.2">
      <c r="A48">
        <v>51</v>
      </c>
      <c r="B48">
        <v>1</v>
      </c>
      <c r="C48" t="s">
        <v>3</v>
      </c>
      <c r="D48" t="s">
        <v>692</v>
      </c>
      <c r="E48" t="s">
        <v>693</v>
      </c>
      <c r="F48" t="s">
        <v>693</v>
      </c>
      <c r="G48" t="s">
        <v>693</v>
      </c>
      <c r="H48" t="s">
        <v>3</v>
      </c>
      <c r="I48" t="s">
        <v>693</v>
      </c>
      <c r="J48" t="s">
        <v>693</v>
      </c>
      <c r="K48" t="s">
        <v>3</v>
      </c>
      <c r="L48" t="s">
        <v>3</v>
      </c>
      <c r="M48" t="s">
        <v>3</v>
      </c>
      <c r="N48" t="s">
        <v>692</v>
      </c>
      <c r="O48" t="s">
        <v>693</v>
      </c>
      <c r="P48" t="s">
        <v>3</v>
      </c>
      <c r="Q48" t="s">
        <v>3</v>
      </c>
      <c r="R48" t="s">
        <v>3</v>
      </c>
      <c r="S48" t="s">
        <v>694</v>
      </c>
      <c r="T48" t="s">
        <v>695</v>
      </c>
      <c r="U48" t="s">
        <v>696</v>
      </c>
    </row>
    <row r="49" spans="1:21" x14ac:dyDescent="0.2">
      <c r="A49">
        <v>52</v>
      </c>
      <c r="B49">
        <v>1</v>
      </c>
      <c r="C49" t="s">
        <v>3</v>
      </c>
      <c r="D49" t="s">
        <v>119</v>
      </c>
      <c r="E49" t="s">
        <v>120</v>
      </c>
      <c r="F49" t="s">
        <v>120</v>
      </c>
      <c r="G49" t="s">
        <v>120</v>
      </c>
      <c r="H49" t="s">
        <v>3</v>
      </c>
      <c r="I49" t="s">
        <v>120</v>
      </c>
      <c r="J49" t="s">
        <v>120</v>
      </c>
      <c r="K49" t="s">
        <v>3</v>
      </c>
      <c r="L49" t="s">
        <v>3</v>
      </c>
      <c r="M49" t="s">
        <v>3</v>
      </c>
      <c r="N49" t="s">
        <v>119</v>
      </c>
      <c r="O49" t="s">
        <v>120</v>
      </c>
      <c r="P49" t="s">
        <v>3</v>
      </c>
      <c r="Q49" t="s">
        <v>3</v>
      </c>
      <c r="R49" t="s">
        <v>3</v>
      </c>
      <c r="S49" t="s">
        <v>689</v>
      </c>
      <c r="T49" t="s">
        <v>690</v>
      </c>
      <c r="U49" t="s">
        <v>691</v>
      </c>
    </row>
    <row r="50" spans="1:21" x14ac:dyDescent="0.2">
      <c r="A50">
        <v>52</v>
      </c>
      <c r="B50">
        <v>1</v>
      </c>
      <c r="C50" t="s">
        <v>3</v>
      </c>
      <c r="D50" t="s">
        <v>697</v>
      </c>
      <c r="E50" t="s">
        <v>697</v>
      </c>
      <c r="F50" t="s">
        <v>697</v>
      </c>
      <c r="G50" t="s">
        <v>697</v>
      </c>
      <c r="H50" t="s">
        <v>3</v>
      </c>
      <c r="I50" t="s">
        <v>697</v>
      </c>
      <c r="J50" t="s">
        <v>697</v>
      </c>
      <c r="K50" t="s">
        <v>3</v>
      </c>
      <c r="L50" t="s">
        <v>3</v>
      </c>
      <c r="M50" t="s">
        <v>3</v>
      </c>
      <c r="N50" t="s">
        <v>697</v>
      </c>
      <c r="O50" t="s">
        <v>697</v>
      </c>
      <c r="P50" t="s">
        <v>3</v>
      </c>
      <c r="Q50" t="s">
        <v>3</v>
      </c>
      <c r="R50" t="s">
        <v>3</v>
      </c>
      <c r="S50" t="s">
        <v>698</v>
      </c>
      <c r="T50" t="s">
        <v>699</v>
      </c>
      <c r="U50" t="s">
        <v>700</v>
      </c>
    </row>
    <row r="51" spans="1:21" x14ac:dyDescent="0.2">
      <c r="A51">
        <v>53</v>
      </c>
      <c r="B51">
        <v>1</v>
      </c>
      <c r="C51" t="s">
        <v>3</v>
      </c>
      <c r="D51" t="s">
        <v>119</v>
      </c>
      <c r="E51" t="s">
        <v>120</v>
      </c>
      <c r="F51" t="s">
        <v>120</v>
      </c>
      <c r="G51" t="s">
        <v>120</v>
      </c>
      <c r="H51" t="s">
        <v>3</v>
      </c>
      <c r="I51" t="s">
        <v>120</v>
      </c>
      <c r="J51" t="s">
        <v>120</v>
      </c>
      <c r="K51" t="s">
        <v>3</v>
      </c>
      <c r="L51" t="s">
        <v>3</v>
      </c>
      <c r="M51" t="s">
        <v>3</v>
      </c>
      <c r="N51" t="s">
        <v>119</v>
      </c>
      <c r="O51" t="s">
        <v>120</v>
      </c>
      <c r="P51" t="s">
        <v>3</v>
      </c>
      <c r="Q51" t="s">
        <v>3</v>
      </c>
      <c r="R51" t="s">
        <v>3</v>
      </c>
      <c r="S51" t="s">
        <v>689</v>
      </c>
      <c r="T51" t="s">
        <v>690</v>
      </c>
      <c r="U51" t="s">
        <v>691</v>
      </c>
    </row>
    <row r="52" spans="1:21" x14ac:dyDescent="0.2">
      <c r="A52">
        <v>53</v>
      </c>
      <c r="B52">
        <v>1</v>
      </c>
      <c r="C52" t="s">
        <v>3</v>
      </c>
      <c r="D52" t="s">
        <v>697</v>
      </c>
      <c r="E52" t="s">
        <v>697</v>
      </c>
      <c r="F52" t="s">
        <v>697</v>
      </c>
      <c r="G52" t="s">
        <v>697</v>
      </c>
      <c r="H52" t="s">
        <v>3</v>
      </c>
      <c r="I52" t="s">
        <v>697</v>
      </c>
      <c r="J52" t="s">
        <v>697</v>
      </c>
      <c r="K52" t="s">
        <v>3</v>
      </c>
      <c r="L52" t="s">
        <v>3</v>
      </c>
      <c r="M52" t="s">
        <v>3</v>
      </c>
      <c r="N52" t="s">
        <v>697</v>
      </c>
      <c r="O52" t="s">
        <v>697</v>
      </c>
      <c r="P52" t="s">
        <v>3</v>
      </c>
      <c r="Q52" t="s">
        <v>3</v>
      </c>
      <c r="R52" t="s">
        <v>3</v>
      </c>
      <c r="S52" t="s">
        <v>698</v>
      </c>
      <c r="T52" t="s">
        <v>699</v>
      </c>
      <c r="U52" t="s">
        <v>700</v>
      </c>
    </row>
    <row r="53" spans="1:21" x14ac:dyDescent="0.2">
      <c r="A53">
        <v>54</v>
      </c>
      <c r="B53">
        <v>1</v>
      </c>
      <c r="C53" t="s">
        <v>3</v>
      </c>
      <c r="D53" t="s">
        <v>119</v>
      </c>
      <c r="E53" t="s">
        <v>120</v>
      </c>
      <c r="F53" t="s">
        <v>120</v>
      </c>
      <c r="G53" t="s">
        <v>120</v>
      </c>
      <c r="H53" t="s">
        <v>3</v>
      </c>
      <c r="I53" t="s">
        <v>120</v>
      </c>
      <c r="J53" t="s">
        <v>120</v>
      </c>
      <c r="K53" t="s">
        <v>3</v>
      </c>
      <c r="L53" t="s">
        <v>3</v>
      </c>
      <c r="M53" t="s">
        <v>3</v>
      </c>
      <c r="N53" t="s">
        <v>119</v>
      </c>
      <c r="O53" t="s">
        <v>120</v>
      </c>
      <c r="P53" t="s">
        <v>3</v>
      </c>
      <c r="Q53" t="s">
        <v>3</v>
      </c>
      <c r="R53" t="s">
        <v>3</v>
      </c>
      <c r="S53" t="s">
        <v>689</v>
      </c>
      <c r="T53" t="s">
        <v>690</v>
      </c>
      <c r="U53" t="s">
        <v>691</v>
      </c>
    </row>
    <row r="54" spans="1:21" x14ac:dyDescent="0.2">
      <c r="A54">
        <v>54</v>
      </c>
      <c r="B54">
        <v>1</v>
      </c>
      <c r="C54" t="s">
        <v>3</v>
      </c>
      <c r="D54" t="s">
        <v>697</v>
      </c>
      <c r="E54" t="s">
        <v>697</v>
      </c>
      <c r="F54" t="s">
        <v>697</v>
      </c>
      <c r="G54" t="s">
        <v>697</v>
      </c>
      <c r="H54" t="s">
        <v>3</v>
      </c>
      <c r="I54" t="s">
        <v>697</v>
      </c>
      <c r="J54" t="s">
        <v>697</v>
      </c>
      <c r="K54" t="s">
        <v>3</v>
      </c>
      <c r="L54" t="s">
        <v>3</v>
      </c>
      <c r="M54" t="s">
        <v>3</v>
      </c>
      <c r="N54" t="s">
        <v>697</v>
      </c>
      <c r="O54" t="s">
        <v>697</v>
      </c>
      <c r="P54" t="s">
        <v>3</v>
      </c>
      <c r="Q54" t="s">
        <v>3</v>
      </c>
      <c r="R54" t="s">
        <v>3</v>
      </c>
      <c r="S54" t="s">
        <v>698</v>
      </c>
      <c r="T54" t="s">
        <v>699</v>
      </c>
      <c r="U54" t="s">
        <v>700</v>
      </c>
    </row>
    <row r="55" spans="1:21" x14ac:dyDescent="0.2">
      <c r="A55">
        <v>55</v>
      </c>
      <c r="B55">
        <v>1</v>
      </c>
      <c r="C55" t="s">
        <v>3</v>
      </c>
      <c r="D55" t="s">
        <v>119</v>
      </c>
      <c r="E55" t="s">
        <v>120</v>
      </c>
      <c r="F55" t="s">
        <v>120</v>
      </c>
      <c r="G55" t="s">
        <v>120</v>
      </c>
      <c r="H55" t="s">
        <v>3</v>
      </c>
      <c r="I55" t="s">
        <v>120</v>
      </c>
      <c r="J55" t="s">
        <v>120</v>
      </c>
      <c r="K55" t="s">
        <v>3</v>
      </c>
      <c r="L55" t="s">
        <v>3</v>
      </c>
      <c r="M55" t="s">
        <v>3</v>
      </c>
      <c r="N55" t="s">
        <v>119</v>
      </c>
      <c r="O55" t="s">
        <v>120</v>
      </c>
      <c r="P55" t="s">
        <v>3</v>
      </c>
      <c r="Q55" t="s">
        <v>3</v>
      </c>
      <c r="R55" t="s">
        <v>3</v>
      </c>
      <c r="S55" t="s">
        <v>689</v>
      </c>
      <c r="T55" t="s">
        <v>690</v>
      </c>
      <c r="U55" t="s">
        <v>691</v>
      </c>
    </row>
    <row r="56" spans="1:21" x14ac:dyDescent="0.2">
      <c r="A56">
        <v>55</v>
      </c>
      <c r="B56">
        <v>1</v>
      </c>
      <c r="C56" t="s">
        <v>3</v>
      </c>
      <c r="D56" t="s">
        <v>697</v>
      </c>
      <c r="E56" t="s">
        <v>697</v>
      </c>
      <c r="F56" t="s">
        <v>697</v>
      </c>
      <c r="G56" t="s">
        <v>697</v>
      </c>
      <c r="H56" t="s">
        <v>3</v>
      </c>
      <c r="I56" t="s">
        <v>697</v>
      </c>
      <c r="J56" t="s">
        <v>697</v>
      </c>
      <c r="K56" t="s">
        <v>3</v>
      </c>
      <c r="L56" t="s">
        <v>3</v>
      </c>
      <c r="M56" t="s">
        <v>3</v>
      </c>
      <c r="N56" t="s">
        <v>697</v>
      </c>
      <c r="O56" t="s">
        <v>697</v>
      </c>
      <c r="P56" t="s">
        <v>3</v>
      </c>
      <c r="Q56" t="s">
        <v>3</v>
      </c>
      <c r="R56" t="s">
        <v>3</v>
      </c>
      <c r="S56" t="s">
        <v>698</v>
      </c>
      <c r="T56" t="s">
        <v>699</v>
      </c>
      <c r="U56" t="s">
        <v>700</v>
      </c>
    </row>
    <row r="57" spans="1:21" x14ac:dyDescent="0.2">
      <c r="A57">
        <v>56</v>
      </c>
      <c r="B57">
        <v>1</v>
      </c>
      <c r="C57" t="s">
        <v>3</v>
      </c>
      <c r="D57" t="s">
        <v>119</v>
      </c>
      <c r="E57" t="s">
        <v>120</v>
      </c>
      <c r="F57" t="s">
        <v>120</v>
      </c>
      <c r="G57" t="s">
        <v>120</v>
      </c>
      <c r="H57" t="s">
        <v>3</v>
      </c>
      <c r="I57" t="s">
        <v>120</v>
      </c>
      <c r="J57" t="s">
        <v>120</v>
      </c>
      <c r="K57" t="s">
        <v>3</v>
      </c>
      <c r="L57" t="s">
        <v>3</v>
      </c>
      <c r="M57" t="s">
        <v>3</v>
      </c>
      <c r="N57" t="s">
        <v>119</v>
      </c>
      <c r="O57" t="s">
        <v>120</v>
      </c>
      <c r="P57" t="s">
        <v>3</v>
      </c>
      <c r="Q57" t="s">
        <v>3</v>
      </c>
      <c r="R57" t="s">
        <v>3</v>
      </c>
      <c r="S57" t="s">
        <v>689</v>
      </c>
      <c r="T57" t="s">
        <v>690</v>
      </c>
      <c r="U57" t="s">
        <v>691</v>
      </c>
    </row>
    <row r="58" spans="1:21" x14ac:dyDescent="0.2">
      <c r="A58">
        <v>56</v>
      </c>
      <c r="B58">
        <v>1</v>
      </c>
      <c r="C58" t="s">
        <v>3</v>
      </c>
      <c r="D58" t="s">
        <v>697</v>
      </c>
      <c r="E58" t="s">
        <v>697</v>
      </c>
      <c r="F58" t="s">
        <v>697</v>
      </c>
      <c r="G58" t="s">
        <v>697</v>
      </c>
      <c r="H58" t="s">
        <v>3</v>
      </c>
      <c r="I58" t="s">
        <v>697</v>
      </c>
      <c r="J58" t="s">
        <v>697</v>
      </c>
      <c r="K58" t="s">
        <v>3</v>
      </c>
      <c r="L58" t="s">
        <v>3</v>
      </c>
      <c r="M58" t="s">
        <v>3</v>
      </c>
      <c r="N58" t="s">
        <v>697</v>
      </c>
      <c r="O58" t="s">
        <v>697</v>
      </c>
      <c r="P58" t="s">
        <v>3</v>
      </c>
      <c r="Q58" t="s">
        <v>3</v>
      </c>
      <c r="R58" t="s">
        <v>3</v>
      </c>
      <c r="S58" t="s">
        <v>698</v>
      </c>
      <c r="T58" t="s">
        <v>699</v>
      </c>
      <c r="U58" t="s">
        <v>700</v>
      </c>
    </row>
    <row r="59" spans="1:21" x14ac:dyDescent="0.2">
      <c r="A59">
        <v>57</v>
      </c>
      <c r="B59">
        <v>1</v>
      </c>
      <c r="C59" t="s">
        <v>3</v>
      </c>
      <c r="D59" t="s">
        <v>119</v>
      </c>
      <c r="E59" t="s">
        <v>120</v>
      </c>
      <c r="F59" t="s">
        <v>120</v>
      </c>
      <c r="G59" t="s">
        <v>120</v>
      </c>
      <c r="H59" t="s">
        <v>3</v>
      </c>
      <c r="I59" t="s">
        <v>120</v>
      </c>
      <c r="J59" t="s">
        <v>120</v>
      </c>
      <c r="K59" t="s">
        <v>3</v>
      </c>
      <c r="L59" t="s">
        <v>3</v>
      </c>
      <c r="M59" t="s">
        <v>3</v>
      </c>
      <c r="N59" t="s">
        <v>119</v>
      </c>
      <c r="O59" t="s">
        <v>120</v>
      </c>
      <c r="P59" t="s">
        <v>3</v>
      </c>
      <c r="Q59" t="s">
        <v>3</v>
      </c>
      <c r="R59" t="s">
        <v>3</v>
      </c>
      <c r="S59" t="s">
        <v>689</v>
      </c>
      <c r="T59" t="s">
        <v>690</v>
      </c>
      <c r="U59" t="s">
        <v>691</v>
      </c>
    </row>
    <row r="60" spans="1:21" x14ac:dyDescent="0.2">
      <c r="A60">
        <v>57</v>
      </c>
      <c r="B60">
        <v>1</v>
      </c>
      <c r="C60" t="s">
        <v>3</v>
      </c>
      <c r="D60" t="s">
        <v>697</v>
      </c>
      <c r="E60" t="s">
        <v>697</v>
      </c>
      <c r="F60" t="s">
        <v>697</v>
      </c>
      <c r="G60" t="s">
        <v>697</v>
      </c>
      <c r="H60" t="s">
        <v>3</v>
      </c>
      <c r="I60" t="s">
        <v>697</v>
      </c>
      <c r="J60" t="s">
        <v>697</v>
      </c>
      <c r="K60" t="s">
        <v>3</v>
      </c>
      <c r="L60" t="s">
        <v>3</v>
      </c>
      <c r="M60" t="s">
        <v>3</v>
      </c>
      <c r="N60" t="s">
        <v>697</v>
      </c>
      <c r="O60" t="s">
        <v>697</v>
      </c>
      <c r="P60" t="s">
        <v>3</v>
      </c>
      <c r="Q60" t="s">
        <v>3</v>
      </c>
      <c r="R60" t="s">
        <v>3</v>
      </c>
      <c r="S60" t="s">
        <v>698</v>
      </c>
      <c r="T60" t="s">
        <v>699</v>
      </c>
      <c r="U60" t="s">
        <v>700</v>
      </c>
    </row>
    <row r="61" spans="1:21" x14ac:dyDescent="0.2">
      <c r="A61">
        <v>58</v>
      </c>
      <c r="B61">
        <v>1</v>
      </c>
      <c r="C61" t="s">
        <v>3</v>
      </c>
      <c r="D61" t="s">
        <v>119</v>
      </c>
      <c r="E61" t="s">
        <v>120</v>
      </c>
      <c r="F61" t="s">
        <v>120</v>
      </c>
      <c r="G61" t="s">
        <v>120</v>
      </c>
      <c r="H61" t="s">
        <v>3</v>
      </c>
      <c r="I61" t="s">
        <v>120</v>
      </c>
      <c r="J61" t="s">
        <v>120</v>
      </c>
      <c r="K61" t="s">
        <v>3</v>
      </c>
      <c r="L61" t="s">
        <v>3</v>
      </c>
      <c r="M61" t="s">
        <v>3</v>
      </c>
      <c r="N61" t="s">
        <v>119</v>
      </c>
      <c r="O61" t="s">
        <v>120</v>
      </c>
      <c r="P61" t="s">
        <v>3</v>
      </c>
      <c r="Q61" t="s">
        <v>3</v>
      </c>
      <c r="R61" t="s">
        <v>3</v>
      </c>
      <c r="S61" t="s">
        <v>689</v>
      </c>
      <c r="T61" t="s">
        <v>690</v>
      </c>
      <c r="U61" t="s">
        <v>691</v>
      </c>
    </row>
    <row r="62" spans="1:21" x14ac:dyDescent="0.2">
      <c r="A62">
        <v>59</v>
      </c>
      <c r="B62">
        <v>1</v>
      </c>
      <c r="C62" t="s">
        <v>3</v>
      </c>
      <c r="D62" t="s">
        <v>119</v>
      </c>
      <c r="E62" t="s">
        <v>120</v>
      </c>
      <c r="F62" t="s">
        <v>120</v>
      </c>
      <c r="G62" t="s">
        <v>120</v>
      </c>
      <c r="H62" t="s">
        <v>3</v>
      </c>
      <c r="I62" t="s">
        <v>120</v>
      </c>
      <c r="J62" t="s">
        <v>120</v>
      </c>
      <c r="K62" t="s">
        <v>3</v>
      </c>
      <c r="L62" t="s">
        <v>3</v>
      </c>
      <c r="M62" t="s">
        <v>3</v>
      </c>
      <c r="N62" t="s">
        <v>119</v>
      </c>
      <c r="O62" t="s">
        <v>120</v>
      </c>
      <c r="P62" t="s">
        <v>3</v>
      </c>
      <c r="Q62" t="s">
        <v>3</v>
      </c>
      <c r="R62" t="s">
        <v>3</v>
      </c>
      <c r="S62" t="s">
        <v>689</v>
      </c>
      <c r="T62" t="s">
        <v>690</v>
      </c>
      <c r="U62" t="s">
        <v>691</v>
      </c>
    </row>
    <row r="63" spans="1:21" x14ac:dyDescent="0.2">
      <c r="A63">
        <v>60</v>
      </c>
      <c r="B63">
        <v>1</v>
      </c>
      <c r="C63" t="s">
        <v>3</v>
      </c>
      <c r="D63" t="s">
        <v>119</v>
      </c>
      <c r="E63" t="s">
        <v>120</v>
      </c>
      <c r="F63" t="s">
        <v>120</v>
      </c>
      <c r="G63" t="s">
        <v>120</v>
      </c>
      <c r="H63" t="s">
        <v>3</v>
      </c>
      <c r="I63" t="s">
        <v>120</v>
      </c>
      <c r="J63" t="s">
        <v>120</v>
      </c>
      <c r="K63" t="s">
        <v>3</v>
      </c>
      <c r="L63" t="s">
        <v>3</v>
      </c>
      <c r="M63" t="s">
        <v>3</v>
      </c>
      <c r="N63" t="s">
        <v>119</v>
      </c>
      <c r="O63" t="s">
        <v>120</v>
      </c>
      <c r="P63" t="s">
        <v>3</v>
      </c>
      <c r="Q63" t="s">
        <v>3</v>
      </c>
      <c r="R63" t="s">
        <v>3</v>
      </c>
      <c r="S63" t="s">
        <v>689</v>
      </c>
      <c r="T63" t="s">
        <v>690</v>
      </c>
      <c r="U63" t="s">
        <v>691</v>
      </c>
    </row>
    <row r="64" spans="1:21" x14ac:dyDescent="0.2">
      <c r="A64">
        <v>61</v>
      </c>
      <c r="B64">
        <v>1</v>
      </c>
      <c r="C64" t="s">
        <v>3</v>
      </c>
      <c r="D64" t="s">
        <v>119</v>
      </c>
      <c r="E64" t="s">
        <v>120</v>
      </c>
      <c r="F64" t="s">
        <v>120</v>
      </c>
      <c r="G64" t="s">
        <v>120</v>
      </c>
      <c r="H64" t="s">
        <v>3</v>
      </c>
      <c r="I64" t="s">
        <v>120</v>
      </c>
      <c r="J64" t="s">
        <v>120</v>
      </c>
      <c r="K64" t="s">
        <v>3</v>
      </c>
      <c r="L64" t="s">
        <v>3</v>
      </c>
      <c r="M64" t="s">
        <v>3</v>
      </c>
      <c r="N64" t="s">
        <v>119</v>
      </c>
      <c r="O64" t="s">
        <v>120</v>
      </c>
      <c r="P64" t="s">
        <v>3</v>
      </c>
      <c r="Q64" t="s">
        <v>3</v>
      </c>
      <c r="R64" t="s">
        <v>3</v>
      </c>
      <c r="S64" t="s">
        <v>689</v>
      </c>
      <c r="T64" t="s">
        <v>690</v>
      </c>
      <c r="U64" t="s">
        <v>691</v>
      </c>
    </row>
    <row r="65" spans="1:21" x14ac:dyDescent="0.2">
      <c r="A65">
        <v>62</v>
      </c>
      <c r="B65">
        <v>1</v>
      </c>
      <c r="C65" t="s">
        <v>3</v>
      </c>
      <c r="D65" t="s">
        <v>119</v>
      </c>
      <c r="E65" t="s">
        <v>120</v>
      </c>
      <c r="F65" t="s">
        <v>120</v>
      </c>
      <c r="G65" t="s">
        <v>120</v>
      </c>
      <c r="H65" t="s">
        <v>3</v>
      </c>
      <c r="I65" t="s">
        <v>120</v>
      </c>
      <c r="J65" t="s">
        <v>120</v>
      </c>
      <c r="K65" t="s">
        <v>3</v>
      </c>
      <c r="L65" t="s">
        <v>3</v>
      </c>
      <c r="M65" t="s">
        <v>3</v>
      </c>
      <c r="N65" t="s">
        <v>119</v>
      </c>
      <c r="O65" t="s">
        <v>120</v>
      </c>
      <c r="P65" t="s">
        <v>3</v>
      </c>
      <c r="Q65" t="s">
        <v>3</v>
      </c>
      <c r="R65" t="s">
        <v>3</v>
      </c>
      <c r="S65" t="s">
        <v>689</v>
      </c>
      <c r="T65" t="s">
        <v>690</v>
      </c>
      <c r="U65" t="s">
        <v>691</v>
      </c>
    </row>
    <row r="66" spans="1:21" x14ac:dyDescent="0.2">
      <c r="A66">
        <v>62</v>
      </c>
      <c r="B66">
        <v>1</v>
      </c>
      <c r="C66" t="s">
        <v>3</v>
      </c>
      <c r="D66" t="s">
        <v>692</v>
      </c>
      <c r="E66" t="s">
        <v>693</v>
      </c>
      <c r="F66" t="s">
        <v>693</v>
      </c>
      <c r="G66" t="s">
        <v>693</v>
      </c>
      <c r="H66" t="s">
        <v>3</v>
      </c>
      <c r="I66" t="s">
        <v>693</v>
      </c>
      <c r="J66" t="s">
        <v>693</v>
      </c>
      <c r="K66" t="s">
        <v>3</v>
      </c>
      <c r="L66" t="s">
        <v>3</v>
      </c>
      <c r="M66" t="s">
        <v>3</v>
      </c>
      <c r="N66" t="s">
        <v>692</v>
      </c>
      <c r="O66" t="s">
        <v>693</v>
      </c>
      <c r="P66" t="s">
        <v>3</v>
      </c>
      <c r="Q66" t="s">
        <v>3</v>
      </c>
      <c r="R66" t="s">
        <v>3</v>
      </c>
      <c r="S66" t="s">
        <v>694</v>
      </c>
      <c r="T66" t="s">
        <v>695</v>
      </c>
      <c r="U66" t="s">
        <v>696</v>
      </c>
    </row>
    <row r="67" spans="1:21" x14ac:dyDescent="0.2">
      <c r="A67">
        <v>63</v>
      </c>
      <c r="B67">
        <v>1</v>
      </c>
      <c r="C67" t="s">
        <v>3</v>
      </c>
      <c r="D67" t="s">
        <v>119</v>
      </c>
      <c r="E67" t="s">
        <v>120</v>
      </c>
      <c r="F67" t="s">
        <v>120</v>
      </c>
      <c r="G67" t="s">
        <v>120</v>
      </c>
      <c r="H67" t="s">
        <v>3</v>
      </c>
      <c r="I67" t="s">
        <v>120</v>
      </c>
      <c r="J67" t="s">
        <v>120</v>
      </c>
      <c r="K67" t="s">
        <v>3</v>
      </c>
      <c r="L67" t="s">
        <v>3</v>
      </c>
      <c r="M67" t="s">
        <v>3</v>
      </c>
      <c r="N67" t="s">
        <v>119</v>
      </c>
      <c r="O67" t="s">
        <v>120</v>
      </c>
      <c r="P67" t="s">
        <v>3</v>
      </c>
      <c r="Q67" t="s">
        <v>3</v>
      </c>
      <c r="R67" t="s">
        <v>3</v>
      </c>
      <c r="S67" t="s">
        <v>689</v>
      </c>
      <c r="T67" t="s">
        <v>690</v>
      </c>
      <c r="U67" t="s">
        <v>691</v>
      </c>
    </row>
    <row r="68" spans="1:21" x14ac:dyDescent="0.2">
      <c r="A68">
        <v>63</v>
      </c>
      <c r="B68">
        <v>1</v>
      </c>
      <c r="C68" t="s">
        <v>3</v>
      </c>
      <c r="D68" t="s">
        <v>692</v>
      </c>
      <c r="E68" t="s">
        <v>693</v>
      </c>
      <c r="F68" t="s">
        <v>693</v>
      </c>
      <c r="G68" t="s">
        <v>693</v>
      </c>
      <c r="H68" t="s">
        <v>3</v>
      </c>
      <c r="I68" t="s">
        <v>693</v>
      </c>
      <c r="J68" t="s">
        <v>693</v>
      </c>
      <c r="K68" t="s">
        <v>3</v>
      </c>
      <c r="L68" t="s">
        <v>3</v>
      </c>
      <c r="M68" t="s">
        <v>3</v>
      </c>
      <c r="N68" t="s">
        <v>692</v>
      </c>
      <c r="O68" t="s">
        <v>693</v>
      </c>
      <c r="P68" t="s">
        <v>3</v>
      </c>
      <c r="Q68" t="s">
        <v>3</v>
      </c>
      <c r="R68" t="s">
        <v>3</v>
      </c>
      <c r="S68" t="s">
        <v>694</v>
      </c>
      <c r="T68" t="s">
        <v>695</v>
      </c>
      <c r="U68" t="s">
        <v>696</v>
      </c>
    </row>
    <row r="69" spans="1:21" x14ac:dyDescent="0.2">
      <c r="A69">
        <v>99</v>
      </c>
      <c r="B69">
        <v>1</v>
      </c>
      <c r="C69" t="s">
        <v>3</v>
      </c>
      <c r="D69" t="s">
        <v>119</v>
      </c>
      <c r="E69" t="s">
        <v>120</v>
      </c>
      <c r="F69" t="s">
        <v>120</v>
      </c>
      <c r="G69" t="s">
        <v>120</v>
      </c>
      <c r="H69" t="s">
        <v>3</v>
      </c>
      <c r="I69" t="s">
        <v>120</v>
      </c>
      <c r="J69" t="s">
        <v>120</v>
      </c>
      <c r="K69" t="s">
        <v>3</v>
      </c>
      <c r="L69" t="s">
        <v>3</v>
      </c>
      <c r="M69" t="s">
        <v>3</v>
      </c>
      <c r="N69" t="s">
        <v>119</v>
      </c>
      <c r="O69" t="s">
        <v>120</v>
      </c>
      <c r="P69" t="s">
        <v>3</v>
      </c>
      <c r="Q69" t="s">
        <v>3</v>
      </c>
      <c r="R69" t="s">
        <v>3</v>
      </c>
      <c r="S69" t="s">
        <v>689</v>
      </c>
      <c r="T69" t="s">
        <v>690</v>
      </c>
      <c r="U69" t="s">
        <v>691</v>
      </c>
    </row>
    <row r="70" spans="1:21" x14ac:dyDescent="0.2">
      <c r="A70">
        <v>100</v>
      </c>
      <c r="B70">
        <v>1</v>
      </c>
      <c r="C70" t="s">
        <v>3</v>
      </c>
      <c r="D70" t="s">
        <v>119</v>
      </c>
      <c r="E70" t="s">
        <v>120</v>
      </c>
      <c r="F70" t="s">
        <v>120</v>
      </c>
      <c r="G70" t="s">
        <v>120</v>
      </c>
      <c r="H70" t="s">
        <v>3</v>
      </c>
      <c r="I70" t="s">
        <v>120</v>
      </c>
      <c r="J70" t="s">
        <v>120</v>
      </c>
      <c r="K70" t="s">
        <v>3</v>
      </c>
      <c r="L70" t="s">
        <v>3</v>
      </c>
      <c r="M70" t="s">
        <v>3</v>
      </c>
      <c r="N70" t="s">
        <v>119</v>
      </c>
      <c r="O70" t="s">
        <v>120</v>
      </c>
      <c r="P70" t="s">
        <v>3</v>
      </c>
      <c r="Q70" t="s">
        <v>3</v>
      </c>
      <c r="R70" t="s">
        <v>3</v>
      </c>
      <c r="S70" t="s">
        <v>689</v>
      </c>
      <c r="T70" t="s">
        <v>690</v>
      </c>
      <c r="U70" t="s">
        <v>691</v>
      </c>
    </row>
    <row r="71" spans="1:21" x14ac:dyDescent="0.2">
      <c r="A71">
        <v>107</v>
      </c>
      <c r="B71">
        <v>1</v>
      </c>
      <c r="C71" t="s">
        <v>3</v>
      </c>
      <c r="D71" t="s">
        <v>119</v>
      </c>
      <c r="E71" t="s">
        <v>120</v>
      </c>
      <c r="F71" t="s">
        <v>120</v>
      </c>
      <c r="G71" t="s">
        <v>120</v>
      </c>
      <c r="H71" t="s">
        <v>3</v>
      </c>
      <c r="I71" t="s">
        <v>120</v>
      </c>
      <c r="J71" t="s">
        <v>120</v>
      </c>
      <c r="K71" t="s">
        <v>3</v>
      </c>
      <c r="L71" t="s">
        <v>3</v>
      </c>
      <c r="M71" t="s">
        <v>3</v>
      </c>
      <c r="N71" t="s">
        <v>119</v>
      </c>
      <c r="O71" t="s">
        <v>120</v>
      </c>
      <c r="P71" t="s">
        <v>3</v>
      </c>
      <c r="Q71" t="s">
        <v>3</v>
      </c>
      <c r="R71" t="s">
        <v>3</v>
      </c>
      <c r="S71" t="s">
        <v>689</v>
      </c>
      <c r="T71" t="s">
        <v>690</v>
      </c>
      <c r="U71" t="s">
        <v>691</v>
      </c>
    </row>
    <row r="72" spans="1:21" x14ac:dyDescent="0.2">
      <c r="A72">
        <v>108</v>
      </c>
      <c r="B72">
        <v>1</v>
      </c>
      <c r="C72" t="s">
        <v>3</v>
      </c>
      <c r="D72" t="s">
        <v>119</v>
      </c>
      <c r="E72" t="s">
        <v>120</v>
      </c>
      <c r="F72" t="s">
        <v>120</v>
      </c>
      <c r="G72" t="s">
        <v>120</v>
      </c>
      <c r="H72" t="s">
        <v>3</v>
      </c>
      <c r="I72" t="s">
        <v>120</v>
      </c>
      <c r="J72" t="s">
        <v>120</v>
      </c>
      <c r="K72" t="s">
        <v>3</v>
      </c>
      <c r="L72" t="s">
        <v>3</v>
      </c>
      <c r="M72" t="s">
        <v>3</v>
      </c>
      <c r="N72" t="s">
        <v>119</v>
      </c>
      <c r="O72" t="s">
        <v>120</v>
      </c>
      <c r="P72" t="s">
        <v>3</v>
      </c>
      <c r="Q72" t="s">
        <v>3</v>
      </c>
      <c r="R72" t="s">
        <v>3</v>
      </c>
      <c r="S72" t="s">
        <v>689</v>
      </c>
      <c r="T72" t="s">
        <v>690</v>
      </c>
      <c r="U72" t="s">
        <v>691</v>
      </c>
    </row>
    <row r="73" spans="1:21" x14ac:dyDescent="0.2">
      <c r="A73">
        <v>111</v>
      </c>
      <c r="B73">
        <v>1</v>
      </c>
      <c r="C73" t="s">
        <v>3</v>
      </c>
      <c r="D73" t="s">
        <v>119</v>
      </c>
      <c r="E73" t="s">
        <v>120</v>
      </c>
      <c r="F73" t="s">
        <v>120</v>
      </c>
      <c r="G73" t="s">
        <v>120</v>
      </c>
      <c r="H73" t="s">
        <v>3</v>
      </c>
      <c r="I73" t="s">
        <v>120</v>
      </c>
      <c r="J73" t="s">
        <v>120</v>
      </c>
      <c r="K73" t="s">
        <v>3</v>
      </c>
      <c r="L73" t="s">
        <v>3</v>
      </c>
      <c r="M73" t="s">
        <v>3</v>
      </c>
      <c r="N73" t="s">
        <v>119</v>
      </c>
      <c r="O73" t="s">
        <v>120</v>
      </c>
      <c r="P73" t="s">
        <v>3</v>
      </c>
      <c r="Q73" t="s">
        <v>3</v>
      </c>
      <c r="R73" t="s">
        <v>3</v>
      </c>
      <c r="S73" t="s">
        <v>689</v>
      </c>
      <c r="T73" t="s">
        <v>690</v>
      </c>
      <c r="U73" t="s">
        <v>691</v>
      </c>
    </row>
    <row r="74" spans="1:21" x14ac:dyDescent="0.2">
      <c r="A74">
        <v>112</v>
      </c>
      <c r="B74">
        <v>1</v>
      </c>
      <c r="C74" t="s">
        <v>3</v>
      </c>
      <c r="D74" t="s">
        <v>119</v>
      </c>
      <c r="E74" t="s">
        <v>120</v>
      </c>
      <c r="F74" t="s">
        <v>120</v>
      </c>
      <c r="G74" t="s">
        <v>120</v>
      </c>
      <c r="H74" t="s">
        <v>3</v>
      </c>
      <c r="I74" t="s">
        <v>120</v>
      </c>
      <c r="J74" t="s">
        <v>120</v>
      </c>
      <c r="K74" t="s">
        <v>3</v>
      </c>
      <c r="L74" t="s">
        <v>3</v>
      </c>
      <c r="M74" t="s">
        <v>3</v>
      </c>
      <c r="N74" t="s">
        <v>119</v>
      </c>
      <c r="O74" t="s">
        <v>120</v>
      </c>
      <c r="P74" t="s">
        <v>3</v>
      </c>
      <c r="Q74" t="s">
        <v>3</v>
      </c>
      <c r="R74" t="s">
        <v>3</v>
      </c>
      <c r="S74" t="s">
        <v>689</v>
      </c>
      <c r="T74" t="s">
        <v>690</v>
      </c>
      <c r="U74" t="s">
        <v>691</v>
      </c>
    </row>
    <row r="75" spans="1:21" x14ac:dyDescent="0.2">
      <c r="A75">
        <v>123</v>
      </c>
      <c r="B75">
        <v>1</v>
      </c>
      <c r="C75" t="s">
        <v>3</v>
      </c>
      <c r="D75" t="s">
        <v>119</v>
      </c>
      <c r="E75" t="s">
        <v>120</v>
      </c>
      <c r="F75" t="s">
        <v>120</v>
      </c>
      <c r="G75" t="s">
        <v>120</v>
      </c>
      <c r="H75" t="s">
        <v>3</v>
      </c>
      <c r="I75" t="s">
        <v>120</v>
      </c>
      <c r="J75" t="s">
        <v>120</v>
      </c>
      <c r="K75" t="s">
        <v>3</v>
      </c>
      <c r="L75" t="s">
        <v>3</v>
      </c>
      <c r="M75" t="s">
        <v>3</v>
      </c>
      <c r="N75" t="s">
        <v>119</v>
      </c>
      <c r="O75" t="s">
        <v>120</v>
      </c>
      <c r="P75" t="s">
        <v>3</v>
      </c>
      <c r="Q75" t="s">
        <v>3</v>
      </c>
      <c r="R75" t="s">
        <v>3</v>
      </c>
      <c r="S75" t="s">
        <v>689</v>
      </c>
      <c r="T75" t="s">
        <v>690</v>
      </c>
      <c r="U75" t="s">
        <v>691</v>
      </c>
    </row>
    <row r="76" spans="1:21" x14ac:dyDescent="0.2">
      <c r="A76">
        <v>124</v>
      </c>
      <c r="B76">
        <v>1</v>
      </c>
      <c r="C76" t="s">
        <v>3</v>
      </c>
      <c r="D76" t="s">
        <v>119</v>
      </c>
      <c r="E76" t="s">
        <v>120</v>
      </c>
      <c r="F76" t="s">
        <v>120</v>
      </c>
      <c r="G76" t="s">
        <v>120</v>
      </c>
      <c r="H76" t="s">
        <v>3</v>
      </c>
      <c r="I76" t="s">
        <v>120</v>
      </c>
      <c r="J76" t="s">
        <v>120</v>
      </c>
      <c r="K76" t="s">
        <v>3</v>
      </c>
      <c r="L76" t="s">
        <v>3</v>
      </c>
      <c r="M76" t="s">
        <v>3</v>
      </c>
      <c r="N76" t="s">
        <v>119</v>
      </c>
      <c r="O76" t="s">
        <v>120</v>
      </c>
      <c r="P76" t="s">
        <v>3</v>
      </c>
      <c r="Q76" t="s">
        <v>3</v>
      </c>
      <c r="R76" t="s">
        <v>3</v>
      </c>
      <c r="S76" t="s">
        <v>689</v>
      </c>
      <c r="T76" t="s">
        <v>690</v>
      </c>
      <c r="U76" t="s">
        <v>691</v>
      </c>
    </row>
    <row r="77" spans="1:21" x14ac:dyDescent="0.2">
      <c r="A77">
        <v>127</v>
      </c>
      <c r="B77">
        <v>1</v>
      </c>
      <c r="C77" t="s">
        <v>3</v>
      </c>
      <c r="D77" t="s">
        <v>119</v>
      </c>
      <c r="E77" t="s">
        <v>120</v>
      </c>
      <c r="F77" t="s">
        <v>120</v>
      </c>
      <c r="G77" t="s">
        <v>120</v>
      </c>
      <c r="H77" t="s">
        <v>3</v>
      </c>
      <c r="I77" t="s">
        <v>120</v>
      </c>
      <c r="J77" t="s">
        <v>120</v>
      </c>
      <c r="K77" t="s">
        <v>3</v>
      </c>
      <c r="L77" t="s">
        <v>3</v>
      </c>
      <c r="M77" t="s">
        <v>3</v>
      </c>
      <c r="N77" t="s">
        <v>119</v>
      </c>
      <c r="O77" t="s">
        <v>120</v>
      </c>
      <c r="P77" t="s">
        <v>3</v>
      </c>
      <c r="Q77" t="s">
        <v>3</v>
      </c>
      <c r="R77" t="s">
        <v>3</v>
      </c>
      <c r="S77" t="s">
        <v>689</v>
      </c>
      <c r="T77" t="s">
        <v>690</v>
      </c>
      <c r="U77" t="s">
        <v>691</v>
      </c>
    </row>
    <row r="78" spans="1:21" x14ac:dyDescent="0.2">
      <c r="A78">
        <v>128</v>
      </c>
      <c r="B78">
        <v>1</v>
      </c>
      <c r="C78" t="s">
        <v>3</v>
      </c>
      <c r="D78" t="s">
        <v>119</v>
      </c>
      <c r="E78" t="s">
        <v>120</v>
      </c>
      <c r="F78" t="s">
        <v>120</v>
      </c>
      <c r="G78" t="s">
        <v>120</v>
      </c>
      <c r="H78" t="s">
        <v>3</v>
      </c>
      <c r="I78" t="s">
        <v>120</v>
      </c>
      <c r="J78" t="s">
        <v>120</v>
      </c>
      <c r="K78" t="s">
        <v>3</v>
      </c>
      <c r="L78" t="s">
        <v>3</v>
      </c>
      <c r="M78" t="s">
        <v>3</v>
      </c>
      <c r="N78" t="s">
        <v>119</v>
      </c>
      <c r="O78" t="s">
        <v>120</v>
      </c>
      <c r="P78" t="s">
        <v>3</v>
      </c>
      <c r="Q78" t="s">
        <v>3</v>
      </c>
      <c r="R78" t="s">
        <v>3</v>
      </c>
      <c r="S78" t="s">
        <v>689</v>
      </c>
      <c r="T78" t="s">
        <v>690</v>
      </c>
      <c r="U78" t="s">
        <v>691</v>
      </c>
    </row>
    <row r="79" spans="1:21" x14ac:dyDescent="0.2">
      <c r="A79">
        <v>131</v>
      </c>
      <c r="B79">
        <v>1</v>
      </c>
      <c r="C79" t="s">
        <v>3</v>
      </c>
      <c r="D79" t="s">
        <v>119</v>
      </c>
      <c r="E79" t="s">
        <v>120</v>
      </c>
      <c r="F79" t="s">
        <v>120</v>
      </c>
      <c r="G79" t="s">
        <v>120</v>
      </c>
      <c r="H79" t="s">
        <v>3</v>
      </c>
      <c r="I79" t="s">
        <v>120</v>
      </c>
      <c r="J79" t="s">
        <v>120</v>
      </c>
      <c r="K79" t="s">
        <v>3</v>
      </c>
      <c r="L79" t="s">
        <v>3</v>
      </c>
      <c r="M79" t="s">
        <v>3</v>
      </c>
      <c r="N79" t="s">
        <v>119</v>
      </c>
      <c r="O79" t="s">
        <v>120</v>
      </c>
      <c r="P79" t="s">
        <v>3</v>
      </c>
      <c r="Q79" t="s">
        <v>3</v>
      </c>
      <c r="R79" t="s">
        <v>3</v>
      </c>
      <c r="S79" t="s">
        <v>689</v>
      </c>
      <c r="T79" t="s">
        <v>690</v>
      </c>
      <c r="U79" t="s">
        <v>691</v>
      </c>
    </row>
    <row r="80" spans="1:21" x14ac:dyDescent="0.2">
      <c r="A80">
        <v>132</v>
      </c>
      <c r="B80">
        <v>1</v>
      </c>
      <c r="C80" t="s">
        <v>3</v>
      </c>
      <c r="D80" t="s">
        <v>119</v>
      </c>
      <c r="E80" t="s">
        <v>120</v>
      </c>
      <c r="F80" t="s">
        <v>120</v>
      </c>
      <c r="G80" t="s">
        <v>120</v>
      </c>
      <c r="H80" t="s">
        <v>3</v>
      </c>
      <c r="I80" t="s">
        <v>120</v>
      </c>
      <c r="J80" t="s">
        <v>120</v>
      </c>
      <c r="K80" t="s">
        <v>3</v>
      </c>
      <c r="L80" t="s">
        <v>3</v>
      </c>
      <c r="M80" t="s">
        <v>3</v>
      </c>
      <c r="N80" t="s">
        <v>119</v>
      </c>
      <c r="O80" t="s">
        <v>120</v>
      </c>
      <c r="P80" t="s">
        <v>3</v>
      </c>
      <c r="Q80" t="s">
        <v>3</v>
      </c>
      <c r="R80" t="s">
        <v>3</v>
      </c>
      <c r="S80" t="s">
        <v>689</v>
      </c>
      <c r="T80" t="s">
        <v>690</v>
      </c>
      <c r="U80" t="s">
        <v>691</v>
      </c>
    </row>
    <row r="81" spans="1:21" x14ac:dyDescent="0.2">
      <c r="A81">
        <v>135</v>
      </c>
      <c r="B81">
        <v>1</v>
      </c>
      <c r="C81" t="s">
        <v>3</v>
      </c>
      <c r="D81" t="s">
        <v>119</v>
      </c>
      <c r="E81" t="s">
        <v>120</v>
      </c>
      <c r="F81" t="s">
        <v>120</v>
      </c>
      <c r="G81" t="s">
        <v>120</v>
      </c>
      <c r="H81" t="s">
        <v>3</v>
      </c>
      <c r="I81" t="s">
        <v>120</v>
      </c>
      <c r="J81" t="s">
        <v>120</v>
      </c>
      <c r="K81" t="s">
        <v>3</v>
      </c>
      <c r="L81" t="s">
        <v>3</v>
      </c>
      <c r="M81" t="s">
        <v>3</v>
      </c>
      <c r="N81" t="s">
        <v>119</v>
      </c>
      <c r="O81" t="s">
        <v>120</v>
      </c>
      <c r="P81" t="s">
        <v>3</v>
      </c>
      <c r="Q81" t="s">
        <v>3</v>
      </c>
      <c r="R81" t="s">
        <v>3</v>
      </c>
      <c r="S81" t="s">
        <v>689</v>
      </c>
      <c r="T81" t="s">
        <v>690</v>
      </c>
      <c r="U81" t="s">
        <v>691</v>
      </c>
    </row>
    <row r="82" spans="1:21" x14ac:dyDescent="0.2">
      <c r="A82">
        <v>136</v>
      </c>
      <c r="B82">
        <v>1</v>
      </c>
      <c r="C82" t="s">
        <v>3</v>
      </c>
      <c r="D82" t="s">
        <v>119</v>
      </c>
      <c r="E82" t="s">
        <v>120</v>
      </c>
      <c r="F82" t="s">
        <v>120</v>
      </c>
      <c r="G82" t="s">
        <v>120</v>
      </c>
      <c r="H82" t="s">
        <v>3</v>
      </c>
      <c r="I82" t="s">
        <v>120</v>
      </c>
      <c r="J82" t="s">
        <v>120</v>
      </c>
      <c r="K82" t="s">
        <v>3</v>
      </c>
      <c r="L82" t="s">
        <v>3</v>
      </c>
      <c r="M82" t="s">
        <v>3</v>
      </c>
      <c r="N82" t="s">
        <v>119</v>
      </c>
      <c r="O82" t="s">
        <v>120</v>
      </c>
      <c r="P82" t="s">
        <v>3</v>
      </c>
      <c r="Q82" t="s">
        <v>3</v>
      </c>
      <c r="R82" t="s">
        <v>3</v>
      </c>
      <c r="S82" t="s">
        <v>689</v>
      </c>
      <c r="T82" t="s">
        <v>690</v>
      </c>
      <c r="U82" t="s">
        <v>691</v>
      </c>
    </row>
    <row r="83" spans="1:21" x14ac:dyDescent="0.2">
      <c r="A83">
        <v>139</v>
      </c>
      <c r="B83">
        <v>1</v>
      </c>
      <c r="C83" t="s">
        <v>3</v>
      </c>
      <c r="D83" t="s">
        <v>119</v>
      </c>
      <c r="E83" t="s">
        <v>120</v>
      </c>
      <c r="F83" t="s">
        <v>120</v>
      </c>
      <c r="G83" t="s">
        <v>120</v>
      </c>
      <c r="H83" t="s">
        <v>3</v>
      </c>
      <c r="I83" t="s">
        <v>120</v>
      </c>
      <c r="J83" t="s">
        <v>120</v>
      </c>
      <c r="K83" t="s">
        <v>3</v>
      </c>
      <c r="L83" t="s">
        <v>3</v>
      </c>
      <c r="M83" t="s">
        <v>3</v>
      </c>
      <c r="N83" t="s">
        <v>119</v>
      </c>
      <c r="O83" t="s">
        <v>120</v>
      </c>
      <c r="P83" t="s">
        <v>3</v>
      </c>
      <c r="Q83" t="s">
        <v>3</v>
      </c>
      <c r="R83" t="s">
        <v>3</v>
      </c>
      <c r="S83" t="s">
        <v>689</v>
      </c>
      <c r="T83" t="s">
        <v>690</v>
      </c>
      <c r="U83" t="s">
        <v>691</v>
      </c>
    </row>
    <row r="84" spans="1:21" x14ac:dyDescent="0.2">
      <c r="A84">
        <v>140</v>
      </c>
      <c r="B84">
        <v>1</v>
      </c>
      <c r="C84" t="s">
        <v>3</v>
      </c>
      <c r="D84" t="s">
        <v>119</v>
      </c>
      <c r="E84" t="s">
        <v>120</v>
      </c>
      <c r="F84" t="s">
        <v>120</v>
      </c>
      <c r="G84" t="s">
        <v>120</v>
      </c>
      <c r="H84" t="s">
        <v>3</v>
      </c>
      <c r="I84" t="s">
        <v>120</v>
      </c>
      <c r="J84" t="s">
        <v>120</v>
      </c>
      <c r="K84" t="s">
        <v>3</v>
      </c>
      <c r="L84" t="s">
        <v>3</v>
      </c>
      <c r="M84" t="s">
        <v>3</v>
      </c>
      <c r="N84" t="s">
        <v>119</v>
      </c>
      <c r="O84" t="s">
        <v>120</v>
      </c>
      <c r="P84" t="s">
        <v>3</v>
      </c>
      <c r="Q84" t="s">
        <v>3</v>
      </c>
      <c r="R84" t="s">
        <v>3</v>
      </c>
      <c r="S84" t="s">
        <v>689</v>
      </c>
      <c r="T84" t="s">
        <v>690</v>
      </c>
      <c r="U84" t="s">
        <v>691</v>
      </c>
    </row>
    <row r="85" spans="1:21" x14ac:dyDescent="0.2">
      <c r="A85">
        <v>143</v>
      </c>
      <c r="B85">
        <v>1</v>
      </c>
      <c r="C85" t="s">
        <v>3</v>
      </c>
      <c r="D85" t="s">
        <v>119</v>
      </c>
      <c r="E85" t="s">
        <v>120</v>
      </c>
      <c r="F85" t="s">
        <v>120</v>
      </c>
      <c r="G85" t="s">
        <v>120</v>
      </c>
      <c r="H85" t="s">
        <v>3</v>
      </c>
      <c r="I85" t="s">
        <v>120</v>
      </c>
      <c r="J85" t="s">
        <v>120</v>
      </c>
      <c r="K85" t="s">
        <v>3</v>
      </c>
      <c r="L85" t="s">
        <v>3</v>
      </c>
      <c r="M85" t="s">
        <v>3</v>
      </c>
      <c r="N85" t="s">
        <v>119</v>
      </c>
      <c r="O85" t="s">
        <v>120</v>
      </c>
      <c r="P85" t="s">
        <v>3</v>
      </c>
      <c r="Q85" t="s">
        <v>3</v>
      </c>
      <c r="R85" t="s">
        <v>3</v>
      </c>
      <c r="S85" t="s">
        <v>689</v>
      </c>
      <c r="T85" t="s">
        <v>690</v>
      </c>
      <c r="U85" t="s">
        <v>691</v>
      </c>
    </row>
    <row r="86" spans="1:21" x14ac:dyDescent="0.2">
      <c r="A86">
        <v>144</v>
      </c>
      <c r="B86">
        <v>1</v>
      </c>
      <c r="C86" t="s">
        <v>3</v>
      </c>
      <c r="D86" t="s">
        <v>119</v>
      </c>
      <c r="E86" t="s">
        <v>120</v>
      </c>
      <c r="F86" t="s">
        <v>120</v>
      </c>
      <c r="G86" t="s">
        <v>120</v>
      </c>
      <c r="H86" t="s">
        <v>3</v>
      </c>
      <c r="I86" t="s">
        <v>120</v>
      </c>
      <c r="J86" t="s">
        <v>120</v>
      </c>
      <c r="K86" t="s">
        <v>3</v>
      </c>
      <c r="L86" t="s">
        <v>3</v>
      </c>
      <c r="M86" t="s">
        <v>3</v>
      </c>
      <c r="N86" t="s">
        <v>119</v>
      </c>
      <c r="O86" t="s">
        <v>120</v>
      </c>
      <c r="P86" t="s">
        <v>3</v>
      </c>
      <c r="Q86" t="s">
        <v>3</v>
      </c>
      <c r="R86" t="s">
        <v>3</v>
      </c>
      <c r="S86" t="s">
        <v>689</v>
      </c>
      <c r="T86" t="s">
        <v>690</v>
      </c>
      <c r="U86" t="s">
        <v>691</v>
      </c>
    </row>
    <row r="87" spans="1:21" x14ac:dyDescent="0.2">
      <c r="A87">
        <v>157</v>
      </c>
      <c r="B87">
        <v>1</v>
      </c>
      <c r="C87" t="s">
        <v>3</v>
      </c>
      <c r="D87" t="s">
        <v>119</v>
      </c>
      <c r="E87" t="s">
        <v>701</v>
      </c>
      <c r="F87" t="s">
        <v>701</v>
      </c>
      <c r="G87" t="s">
        <v>702</v>
      </c>
      <c r="H87" t="s">
        <v>3</v>
      </c>
      <c r="I87" t="s">
        <v>702</v>
      </c>
      <c r="J87" t="s">
        <v>701</v>
      </c>
      <c r="K87" t="s">
        <v>3</v>
      </c>
      <c r="L87" t="s">
        <v>3</v>
      </c>
      <c r="M87" t="s">
        <v>3</v>
      </c>
      <c r="N87" t="s">
        <v>119</v>
      </c>
      <c r="O87" t="s">
        <v>701</v>
      </c>
      <c r="P87" t="s">
        <v>3</v>
      </c>
      <c r="Q87" t="s">
        <v>3</v>
      </c>
      <c r="R87" t="s">
        <v>3</v>
      </c>
      <c r="S87" t="s">
        <v>703</v>
      </c>
      <c r="T87" t="s">
        <v>704</v>
      </c>
      <c r="U87" t="s">
        <v>700</v>
      </c>
    </row>
    <row r="88" spans="1:21" x14ac:dyDescent="0.2">
      <c r="A88">
        <v>157</v>
      </c>
      <c r="B88">
        <v>1</v>
      </c>
      <c r="C88" t="s">
        <v>3</v>
      </c>
      <c r="D88" t="s">
        <v>119</v>
      </c>
      <c r="E88" t="s">
        <v>120</v>
      </c>
      <c r="F88" t="s">
        <v>120</v>
      </c>
      <c r="G88" t="s">
        <v>120</v>
      </c>
      <c r="H88" t="s">
        <v>3</v>
      </c>
      <c r="I88" t="s">
        <v>120</v>
      </c>
      <c r="J88" t="s">
        <v>120</v>
      </c>
      <c r="K88" t="s">
        <v>3</v>
      </c>
      <c r="L88" t="s">
        <v>3</v>
      </c>
      <c r="M88" t="s">
        <v>3</v>
      </c>
      <c r="N88" t="s">
        <v>119</v>
      </c>
      <c r="O88" t="s">
        <v>120</v>
      </c>
      <c r="P88" t="s">
        <v>3</v>
      </c>
      <c r="Q88" t="s">
        <v>3</v>
      </c>
      <c r="R88" t="s">
        <v>3</v>
      </c>
      <c r="S88" t="s">
        <v>689</v>
      </c>
      <c r="T88" t="s">
        <v>690</v>
      </c>
      <c r="U88" t="s">
        <v>691</v>
      </c>
    </row>
    <row r="89" spans="1:21" x14ac:dyDescent="0.2">
      <c r="A89">
        <v>158</v>
      </c>
      <c r="B89">
        <v>1</v>
      </c>
      <c r="C89" t="s">
        <v>3</v>
      </c>
      <c r="D89" t="s">
        <v>119</v>
      </c>
      <c r="E89" t="s">
        <v>701</v>
      </c>
      <c r="F89" t="s">
        <v>701</v>
      </c>
      <c r="G89" t="s">
        <v>702</v>
      </c>
      <c r="H89" t="s">
        <v>3</v>
      </c>
      <c r="I89" t="s">
        <v>702</v>
      </c>
      <c r="J89" t="s">
        <v>701</v>
      </c>
      <c r="K89" t="s">
        <v>3</v>
      </c>
      <c r="L89" t="s">
        <v>3</v>
      </c>
      <c r="M89" t="s">
        <v>3</v>
      </c>
      <c r="N89" t="s">
        <v>119</v>
      </c>
      <c r="O89" t="s">
        <v>701</v>
      </c>
      <c r="P89" t="s">
        <v>3</v>
      </c>
      <c r="Q89" t="s">
        <v>3</v>
      </c>
      <c r="R89" t="s">
        <v>3</v>
      </c>
      <c r="S89" t="s">
        <v>703</v>
      </c>
      <c r="T89" t="s">
        <v>704</v>
      </c>
      <c r="U89" t="s">
        <v>700</v>
      </c>
    </row>
    <row r="90" spans="1:21" x14ac:dyDescent="0.2">
      <c r="A90">
        <v>158</v>
      </c>
      <c r="B90">
        <v>1</v>
      </c>
      <c r="C90" t="s">
        <v>3</v>
      </c>
      <c r="D90" t="s">
        <v>119</v>
      </c>
      <c r="E90" t="s">
        <v>120</v>
      </c>
      <c r="F90" t="s">
        <v>120</v>
      </c>
      <c r="G90" t="s">
        <v>120</v>
      </c>
      <c r="H90" t="s">
        <v>3</v>
      </c>
      <c r="I90" t="s">
        <v>120</v>
      </c>
      <c r="J90" t="s">
        <v>120</v>
      </c>
      <c r="K90" t="s">
        <v>3</v>
      </c>
      <c r="L90" t="s">
        <v>3</v>
      </c>
      <c r="M90" t="s">
        <v>3</v>
      </c>
      <c r="N90" t="s">
        <v>119</v>
      </c>
      <c r="O90" t="s">
        <v>120</v>
      </c>
      <c r="P90" t="s">
        <v>3</v>
      </c>
      <c r="Q90" t="s">
        <v>3</v>
      </c>
      <c r="R90" t="s">
        <v>3</v>
      </c>
      <c r="S90" t="s">
        <v>689</v>
      </c>
      <c r="T90" t="s">
        <v>690</v>
      </c>
      <c r="U90" t="s">
        <v>691</v>
      </c>
    </row>
    <row r="91" spans="1:21" x14ac:dyDescent="0.2">
      <c r="A91">
        <v>161</v>
      </c>
      <c r="B91">
        <v>1</v>
      </c>
      <c r="C91" t="s">
        <v>3</v>
      </c>
      <c r="D91" t="s">
        <v>119</v>
      </c>
      <c r="E91" t="s">
        <v>120</v>
      </c>
      <c r="F91" t="s">
        <v>120</v>
      </c>
      <c r="G91" t="s">
        <v>120</v>
      </c>
      <c r="H91" t="s">
        <v>3</v>
      </c>
      <c r="I91" t="s">
        <v>120</v>
      </c>
      <c r="J91" t="s">
        <v>120</v>
      </c>
      <c r="K91" t="s">
        <v>3</v>
      </c>
      <c r="L91" t="s">
        <v>3</v>
      </c>
      <c r="M91" t="s">
        <v>3</v>
      </c>
      <c r="N91" t="s">
        <v>119</v>
      </c>
      <c r="O91" t="s">
        <v>120</v>
      </c>
      <c r="P91" t="s">
        <v>3</v>
      </c>
      <c r="Q91" t="s">
        <v>3</v>
      </c>
      <c r="R91" t="s">
        <v>3</v>
      </c>
      <c r="S91" t="s">
        <v>689</v>
      </c>
      <c r="T91" t="s">
        <v>690</v>
      </c>
      <c r="U91" t="s">
        <v>691</v>
      </c>
    </row>
    <row r="92" spans="1:21" x14ac:dyDescent="0.2">
      <c r="A92">
        <v>162</v>
      </c>
      <c r="B92">
        <v>1</v>
      </c>
      <c r="C92" t="s">
        <v>3</v>
      </c>
      <c r="D92" t="s">
        <v>119</v>
      </c>
      <c r="E92" t="s">
        <v>120</v>
      </c>
      <c r="F92" t="s">
        <v>120</v>
      </c>
      <c r="G92" t="s">
        <v>120</v>
      </c>
      <c r="H92" t="s">
        <v>3</v>
      </c>
      <c r="I92" t="s">
        <v>120</v>
      </c>
      <c r="J92" t="s">
        <v>120</v>
      </c>
      <c r="K92" t="s">
        <v>3</v>
      </c>
      <c r="L92" t="s">
        <v>3</v>
      </c>
      <c r="M92" t="s">
        <v>3</v>
      </c>
      <c r="N92" t="s">
        <v>119</v>
      </c>
      <c r="O92" t="s">
        <v>120</v>
      </c>
      <c r="P92" t="s">
        <v>3</v>
      </c>
      <c r="Q92" t="s">
        <v>3</v>
      </c>
      <c r="R92" t="s">
        <v>3</v>
      </c>
      <c r="S92" t="s">
        <v>689</v>
      </c>
      <c r="T92" t="s">
        <v>690</v>
      </c>
      <c r="U92" t="s">
        <v>691</v>
      </c>
    </row>
    <row r="93" spans="1:21" x14ac:dyDescent="0.2">
      <c r="A93">
        <v>165</v>
      </c>
      <c r="B93">
        <v>1</v>
      </c>
      <c r="C93" t="s">
        <v>3</v>
      </c>
      <c r="D93" t="s">
        <v>119</v>
      </c>
      <c r="E93" t="s">
        <v>701</v>
      </c>
      <c r="F93" t="s">
        <v>701</v>
      </c>
      <c r="G93" t="s">
        <v>702</v>
      </c>
      <c r="H93" t="s">
        <v>3</v>
      </c>
      <c r="I93" t="s">
        <v>702</v>
      </c>
      <c r="J93" t="s">
        <v>701</v>
      </c>
      <c r="K93" t="s">
        <v>3</v>
      </c>
      <c r="L93" t="s">
        <v>3</v>
      </c>
      <c r="M93" t="s">
        <v>3</v>
      </c>
      <c r="N93" t="s">
        <v>119</v>
      </c>
      <c r="O93" t="s">
        <v>701</v>
      </c>
      <c r="P93" t="s">
        <v>3</v>
      </c>
      <c r="Q93" t="s">
        <v>3</v>
      </c>
      <c r="R93" t="s">
        <v>3</v>
      </c>
      <c r="S93" t="s">
        <v>703</v>
      </c>
      <c r="T93" t="s">
        <v>704</v>
      </c>
      <c r="U93" t="s">
        <v>700</v>
      </c>
    </row>
    <row r="94" spans="1:21" x14ac:dyDescent="0.2">
      <c r="A94">
        <v>165</v>
      </c>
      <c r="B94">
        <v>1</v>
      </c>
      <c r="C94" t="s">
        <v>3</v>
      </c>
      <c r="D94" t="s">
        <v>119</v>
      </c>
      <c r="E94" t="s">
        <v>120</v>
      </c>
      <c r="F94" t="s">
        <v>120</v>
      </c>
      <c r="G94" t="s">
        <v>120</v>
      </c>
      <c r="H94" t="s">
        <v>3</v>
      </c>
      <c r="I94" t="s">
        <v>120</v>
      </c>
      <c r="J94" t="s">
        <v>120</v>
      </c>
      <c r="K94" t="s">
        <v>3</v>
      </c>
      <c r="L94" t="s">
        <v>3</v>
      </c>
      <c r="M94" t="s">
        <v>3</v>
      </c>
      <c r="N94" t="s">
        <v>119</v>
      </c>
      <c r="O94" t="s">
        <v>120</v>
      </c>
      <c r="P94" t="s">
        <v>3</v>
      </c>
      <c r="Q94" t="s">
        <v>3</v>
      </c>
      <c r="R94" t="s">
        <v>3</v>
      </c>
      <c r="S94" t="s">
        <v>689</v>
      </c>
      <c r="T94" t="s">
        <v>690</v>
      </c>
      <c r="U94" t="s">
        <v>691</v>
      </c>
    </row>
    <row r="95" spans="1:21" x14ac:dyDescent="0.2">
      <c r="A95">
        <v>166</v>
      </c>
      <c r="B95">
        <v>1</v>
      </c>
      <c r="C95" t="s">
        <v>3</v>
      </c>
      <c r="D95" t="s">
        <v>119</v>
      </c>
      <c r="E95" t="s">
        <v>701</v>
      </c>
      <c r="F95" t="s">
        <v>701</v>
      </c>
      <c r="G95" t="s">
        <v>702</v>
      </c>
      <c r="H95" t="s">
        <v>3</v>
      </c>
      <c r="I95" t="s">
        <v>702</v>
      </c>
      <c r="J95" t="s">
        <v>701</v>
      </c>
      <c r="K95" t="s">
        <v>3</v>
      </c>
      <c r="L95" t="s">
        <v>3</v>
      </c>
      <c r="M95" t="s">
        <v>3</v>
      </c>
      <c r="N95" t="s">
        <v>119</v>
      </c>
      <c r="O95" t="s">
        <v>701</v>
      </c>
      <c r="P95" t="s">
        <v>3</v>
      </c>
      <c r="Q95" t="s">
        <v>3</v>
      </c>
      <c r="R95" t="s">
        <v>3</v>
      </c>
      <c r="S95" t="s">
        <v>703</v>
      </c>
      <c r="T95" t="s">
        <v>704</v>
      </c>
      <c r="U95" t="s">
        <v>700</v>
      </c>
    </row>
    <row r="96" spans="1:21" x14ac:dyDescent="0.2">
      <c r="A96">
        <v>166</v>
      </c>
      <c r="B96">
        <v>1</v>
      </c>
      <c r="C96" t="s">
        <v>3</v>
      </c>
      <c r="D96" t="s">
        <v>119</v>
      </c>
      <c r="E96" t="s">
        <v>120</v>
      </c>
      <c r="F96" t="s">
        <v>120</v>
      </c>
      <c r="G96" t="s">
        <v>120</v>
      </c>
      <c r="H96" t="s">
        <v>3</v>
      </c>
      <c r="I96" t="s">
        <v>120</v>
      </c>
      <c r="J96" t="s">
        <v>120</v>
      </c>
      <c r="K96" t="s">
        <v>3</v>
      </c>
      <c r="L96" t="s">
        <v>3</v>
      </c>
      <c r="M96" t="s">
        <v>3</v>
      </c>
      <c r="N96" t="s">
        <v>119</v>
      </c>
      <c r="O96" t="s">
        <v>120</v>
      </c>
      <c r="P96" t="s">
        <v>3</v>
      </c>
      <c r="Q96" t="s">
        <v>3</v>
      </c>
      <c r="R96" t="s">
        <v>3</v>
      </c>
      <c r="S96" t="s">
        <v>689</v>
      </c>
      <c r="T96" t="s">
        <v>690</v>
      </c>
      <c r="U96" t="s">
        <v>691</v>
      </c>
    </row>
    <row r="97" spans="1:21" x14ac:dyDescent="0.2">
      <c r="A97">
        <v>171</v>
      </c>
      <c r="B97">
        <v>1</v>
      </c>
      <c r="C97" t="s">
        <v>3</v>
      </c>
      <c r="D97" t="s">
        <v>119</v>
      </c>
      <c r="E97" t="s">
        <v>701</v>
      </c>
      <c r="F97" t="s">
        <v>701</v>
      </c>
      <c r="G97" t="s">
        <v>702</v>
      </c>
      <c r="H97" t="s">
        <v>3</v>
      </c>
      <c r="I97" t="s">
        <v>702</v>
      </c>
      <c r="J97" t="s">
        <v>701</v>
      </c>
      <c r="K97" t="s">
        <v>3</v>
      </c>
      <c r="L97" t="s">
        <v>3</v>
      </c>
      <c r="M97" t="s">
        <v>3</v>
      </c>
      <c r="N97" t="s">
        <v>119</v>
      </c>
      <c r="O97" t="s">
        <v>701</v>
      </c>
      <c r="P97" t="s">
        <v>3</v>
      </c>
      <c r="Q97" t="s">
        <v>3</v>
      </c>
      <c r="R97" t="s">
        <v>3</v>
      </c>
      <c r="S97" t="s">
        <v>703</v>
      </c>
      <c r="T97" t="s">
        <v>704</v>
      </c>
      <c r="U97" t="s">
        <v>700</v>
      </c>
    </row>
    <row r="98" spans="1:21" x14ac:dyDescent="0.2">
      <c r="A98">
        <v>171</v>
      </c>
      <c r="B98">
        <v>1</v>
      </c>
      <c r="C98" t="s">
        <v>3</v>
      </c>
      <c r="D98" t="s">
        <v>119</v>
      </c>
      <c r="E98" t="s">
        <v>120</v>
      </c>
      <c r="F98" t="s">
        <v>120</v>
      </c>
      <c r="G98" t="s">
        <v>120</v>
      </c>
      <c r="H98" t="s">
        <v>3</v>
      </c>
      <c r="I98" t="s">
        <v>120</v>
      </c>
      <c r="J98" t="s">
        <v>120</v>
      </c>
      <c r="K98" t="s">
        <v>3</v>
      </c>
      <c r="L98" t="s">
        <v>3</v>
      </c>
      <c r="M98" t="s">
        <v>3</v>
      </c>
      <c r="N98" t="s">
        <v>119</v>
      </c>
      <c r="O98" t="s">
        <v>120</v>
      </c>
      <c r="P98" t="s">
        <v>3</v>
      </c>
      <c r="Q98" t="s">
        <v>3</v>
      </c>
      <c r="R98" t="s">
        <v>3</v>
      </c>
      <c r="S98" t="s">
        <v>689</v>
      </c>
      <c r="T98" t="s">
        <v>690</v>
      </c>
      <c r="U98" t="s">
        <v>691</v>
      </c>
    </row>
    <row r="99" spans="1:21" x14ac:dyDescent="0.2">
      <c r="A99">
        <v>172</v>
      </c>
      <c r="B99">
        <v>1</v>
      </c>
      <c r="C99" t="s">
        <v>3</v>
      </c>
      <c r="D99" t="s">
        <v>119</v>
      </c>
      <c r="E99" t="s">
        <v>701</v>
      </c>
      <c r="F99" t="s">
        <v>701</v>
      </c>
      <c r="G99" t="s">
        <v>702</v>
      </c>
      <c r="H99" t="s">
        <v>3</v>
      </c>
      <c r="I99" t="s">
        <v>702</v>
      </c>
      <c r="J99" t="s">
        <v>701</v>
      </c>
      <c r="K99" t="s">
        <v>3</v>
      </c>
      <c r="L99" t="s">
        <v>3</v>
      </c>
      <c r="M99" t="s">
        <v>3</v>
      </c>
      <c r="N99" t="s">
        <v>119</v>
      </c>
      <c r="O99" t="s">
        <v>701</v>
      </c>
      <c r="P99" t="s">
        <v>3</v>
      </c>
      <c r="Q99" t="s">
        <v>3</v>
      </c>
      <c r="R99" t="s">
        <v>3</v>
      </c>
      <c r="S99" t="s">
        <v>703</v>
      </c>
      <c r="T99" t="s">
        <v>704</v>
      </c>
      <c r="U99" t="s">
        <v>700</v>
      </c>
    </row>
    <row r="100" spans="1:21" x14ac:dyDescent="0.2">
      <c r="A100">
        <v>172</v>
      </c>
      <c r="B100">
        <v>1</v>
      </c>
      <c r="C100" t="s">
        <v>3</v>
      </c>
      <c r="D100" t="s">
        <v>119</v>
      </c>
      <c r="E100" t="s">
        <v>120</v>
      </c>
      <c r="F100" t="s">
        <v>120</v>
      </c>
      <c r="G100" t="s">
        <v>120</v>
      </c>
      <c r="H100" t="s">
        <v>3</v>
      </c>
      <c r="I100" t="s">
        <v>120</v>
      </c>
      <c r="J100" t="s">
        <v>120</v>
      </c>
      <c r="K100" t="s">
        <v>3</v>
      </c>
      <c r="L100" t="s">
        <v>3</v>
      </c>
      <c r="M100" t="s">
        <v>3</v>
      </c>
      <c r="N100" t="s">
        <v>119</v>
      </c>
      <c r="O100" t="s">
        <v>120</v>
      </c>
      <c r="P100" t="s">
        <v>3</v>
      </c>
      <c r="Q100" t="s">
        <v>3</v>
      </c>
      <c r="R100" t="s">
        <v>3</v>
      </c>
      <c r="S100" t="s">
        <v>689</v>
      </c>
      <c r="T100" t="s">
        <v>690</v>
      </c>
      <c r="U100" t="s">
        <v>691</v>
      </c>
    </row>
    <row r="101" spans="1:21" x14ac:dyDescent="0.2">
      <c r="A101">
        <v>177</v>
      </c>
      <c r="B101">
        <v>1</v>
      </c>
      <c r="C101" t="s">
        <v>3</v>
      </c>
      <c r="D101" t="s">
        <v>119</v>
      </c>
      <c r="E101" t="s">
        <v>701</v>
      </c>
      <c r="F101" t="s">
        <v>701</v>
      </c>
      <c r="G101" t="s">
        <v>702</v>
      </c>
      <c r="H101" t="s">
        <v>3</v>
      </c>
      <c r="I101" t="s">
        <v>702</v>
      </c>
      <c r="J101" t="s">
        <v>701</v>
      </c>
      <c r="K101" t="s">
        <v>3</v>
      </c>
      <c r="L101" t="s">
        <v>3</v>
      </c>
      <c r="M101" t="s">
        <v>3</v>
      </c>
      <c r="N101" t="s">
        <v>119</v>
      </c>
      <c r="O101" t="s">
        <v>701</v>
      </c>
      <c r="P101" t="s">
        <v>3</v>
      </c>
      <c r="Q101" t="s">
        <v>3</v>
      </c>
      <c r="R101" t="s">
        <v>3</v>
      </c>
      <c r="S101" t="s">
        <v>703</v>
      </c>
      <c r="T101" t="s">
        <v>704</v>
      </c>
      <c r="U101" t="s">
        <v>700</v>
      </c>
    </row>
    <row r="102" spans="1:21" x14ac:dyDescent="0.2">
      <c r="A102">
        <v>177</v>
      </c>
      <c r="B102">
        <v>1</v>
      </c>
      <c r="C102" t="s">
        <v>3</v>
      </c>
      <c r="D102" t="s">
        <v>119</v>
      </c>
      <c r="E102" t="s">
        <v>120</v>
      </c>
      <c r="F102" t="s">
        <v>120</v>
      </c>
      <c r="G102" t="s">
        <v>120</v>
      </c>
      <c r="H102" t="s">
        <v>3</v>
      </c>
      <c r="I102" t="s">
        <v>120</v>
      </c>
      <c r="J102" t="s">
        <v>120</v>
      </c>
      <c r="K102" t="s">
        <v>3</v>
      </c>
      <c r="L102" t="s">
        <v>3</v>
      </c>
      <c r="M102" t="s">
        <v>3</v>
      </c>
      <c r="N102" t="s">
        <v>119</v>
      </c>
      <c r="O102" t="s">
        <v>120</v>
      </c>
      <c r="P102" t="s">
        <v>3</v>
      </c>
      <c r="Q102" t="s">
        <v>3</v>
      </c>
      <c r="R102" t="s">
        <v>3</v>
      </c>
      <c r="S102" t="s">
        <v>689</v>
      </c>
      <c r="T102" t="s">
        <v>690</v>
      </c>
      <c r="U102" t="s">
        <v>691</v>
      </c>
    </row>
    <row r="103" spans="1:21" x14ac:dyDescent="0.2">
      <c r="A103">
        <v>178</v>
      </c>
      <c r="B103">
        <v>1</v>
      </c>
      <c r="C103" t="s">
        <v>3</v>
      </c>
      <c r="D103" t="s">
        <v>119</v>
      </c>
      <c r="E103" t="s">
        <v>701</v>
      </c>
      <c r="F103" t="s">
        <v>701</v>
      </c>
      <c r="G103" t="s">
        <v>702</v>
      </c>
      <c r="H103" t="s">
        <v>3</v>
      </c>
      <c r="I103" t="s">
        <v>702</v>
      </c>
      <c r="J103" t="s">
        <v>701</v>
      </c>
      <c r="K103" t="s">
        <v>3</v>
      </c>
      <c r="L103" t="s">
        <v>3</v>
      </c>
      <c r="M103" t="s">
        <v>3</v>
      </c>
      <c r="N103" t="s">
        <v>119</v>
      </c>
      <c r="O103" t="s">
        <v>701</v>
      </c>
      <c r="P103" t="s">
        <v>3</v>
      </c>
      <c r="Q103" t="s">
        <v>3</v>
      </c>
      <c r="R103" t="s">
        <v>3</v>
      </c>
      <c r="S103" t="s">
        <v>703</v>
      </c>
      <c r="T103" t="s">
        <v>704</v>
      </c>
      <c r="U103" t="s">
        <v>700</v>
      </c>
    </row>
    <row r="104" spans="1:21" x14ac:dyDescent="0.2">
      <c r="A104">
        <v>178</v>
      </c>
      <c r="B104">
        <v>1</v>
      </c>
      <c r="C104" t="s">
        <v>3</v>
      </c>
      <c r="D104" t="s">
        <v>119</v>
      </c>
      <c r="E104" t="s">
        <v>120</v>
      </c>
      <c r="F104" t="s">
        <v>120</v>
      </c>
      <c r="G104" t="s">
        <v>120</v>
      </c>
      <c r="H104" t="s">
        <v>3</v>
      </c>
      <c r="I104" t="s">
        <v>120</v>
      </c>
      <c r="J104" t="s">
        <v>120</v>
      </c>
      <c r="K104" t="s">
        <v>3</v>
      </c>
      <c r="L104" t="s">
        <v>3</v>
      </c>
      <c r="M104" t="s">
        <v>3</v>
      </c>
      <c r="N104" t="s">
        <v>119</v>
      </c>
      <c r="O104" t="s">
        <v>120</v>
      </c>
      <c r="P104" t="s">
        <v>3</v>
      </c>
      <c r="Q104" t="s">
        <v>3</v>
      </c>
      <c r="R104" t="s">
        <v>3</v>
      </c>
      <c r="S104" t="s">
        <v>689</v>
      </c>
      <c r="T104" t="s">
        <v>690</v>
      </c>
      <c r="U104" t="s">
        <v>691</v>
      </c>
    </row>
    <row r="105" spans="1:21" x14ac:dyDescent="0.2">
      <c r="A105">
        <v>216</v>
      </c>
      <c r="B105">
        <v>1</v>
      </c>
      <c r="C105" t="s">
        <v>3</v>
      </c>
      <c r="D105" t="s">
        <v>119</v>
      </c>
      <c r="E105" t="s">
        <v>120</v>
      </c>
      <c r="F105" t="s">
        <v>120</v>
      </c>
      <c r="G105" t="s">
        <v>120</v>
      </c>
      <c r="H105" t="s">
        <v>3</v>
      </c>
      <c r="I105" t="s">
        <v>120</v>
      </c>
      <c r="J105" t="s">
        <v>120</v>
      </c>
      <c r="K105" t="s">
        <v>3</v>
      </c>
      <c r="L105" t="s">
        <v>3</v>
      </c>
      <c r="M105" t="s">
        <v>3</v>
      </c>
      <c r="N105" t="s">
        <v>119</v>
      </c>
      <c r="O105" t="s">
        <v>120</v>
      </c>
      <c r="P105" t="s">
        <v>3</v>
      </c>
      <c r="Q105" t="s">
        <v>3</v>
      </c>
      <c r="R105" t="s">
        <v>3</v>
      </c>
      <c r="S105" t="s">
        <v>689</v>
      </c>
      <c r="T105" t="s">
        <v>690</v>
      </c>
      <c r="U105" t="s">
        <v>691</v>
      </c>
    </row>
    <row r="106" spans="1:21" x14ac:dyDescent="0.2">
      <c r="A106">
        <v>217</v>
      </c>
      <c r="B106">
        <v>1</v>
      </c>
      <c r="C106" t="s">
        <v>3</v>
      </c>
      <c r="D106" t="s">
        <v>119</v>
      </c>
      <c r="E106" t="s">
        <v>120</v>
      </c>
      <c r="F106" t="s">
        <v>120</v>
      </c>
      <c r="G106" t="s">
        <v>120</v>
      </c>
      <c r="H106" t="s">
        <v>3</v>
      </c>
      <c r="I106" t="s">
        <v>120</v>
      </c>
      <c r="J106" t="s">
        <v>120</v>
      </c>
      <c r="K106" t="s">
        <v>3</v>
      </c>
      <c r="L106" t="s">
        <v>3</v>
      </c>
      <c r="M106" t="s">
        <v>3</v>
      </c>
      <c r="N106" t="s">
        <v>119</v>
      </c>
      <c r="O106" t="s">
        <v>120</v>
      </c>
      <c r="P106" t="s">
        <v>3</v>
      </c>
      <c r="Q106" t="s">
        <v>3</v>
      </c>
      <c r="R106" t="s">
        <v>3</v>
      </c>
      <c r="S106" t="s">
        <v>689</v>
      </c>
      <c r="T106" t="s">
        <v>690</v>
      </c>
      <c r="U106" t="s">
        <v>691</v>
      </c>
    </row>
    <row r="107" spans="1:21" x14ac:dyDescent="0.2">
      <c r="A107">
        <v>228</v>
      </c>
      <c r="B107">
        <v>1</v>
      </c>
      <c r="C107" t="s">
        <v>3</v>
      </c>
      <c r="D107" t="s">
        <v>119</v>
      </c>
      <c r="E107" t="s">
        <v>120</v>
      </c>
      <c r="F107" t="s">
        <v>120</v>
      </c>
      <c r="G107" t="s">
        <v>120</v>
      </c>
      <c r="H107" t="s">
        <v>3</v>
      </c>
      <c r="I107" t="s">
        <v>120</v>
      </c>
      <c r="J107" t="s">
        <v>120</v>
      </c>
      <c r="K107" t="s">
        <v>3</v>
      </c>
      <c r="L107" t="s">
        <v>3</v>
      </c>
      <c r="M107" t="s">
        <v>3</v>
      </c>
      <c r="N107" t="s">
        <v>119</v>
      </c>
      <c r="O107" t="s">
        <v>120</v>
      </c>
      <c r="P107" t="s">
        <v>3</v>
      </c>
      <c r="Q107" t="s">
        <v>3</v>
      </c>
      <c r="R107" t="s">
        <v>3</v>
      </c>
      <c r="S107" t="s">
        <v>689</v>
      </c>
      <c r="T107" t="s">
        <v>690</v>
      </c>
      <c r="U107" t="s">
        <v>691</v>
      </c>
    </row>
    <row r="108" spans="1:21" x14ac:dyDescent="0.2">
      <c r="A108">
        <v>229</v>
      </c>
      <c r="B108">
        <v>1</v>
      </c>
      <c r="C108" t="s">
        <v>3</v>
      </c>
      <c r="D108" t="s">
        <v>119</v>
      </c>
      <c r="E108" t="s">
        <v>120</v>
      </c>
      <c r="F108" t="s">
        <v>120</v>
      </c>
      <c r="G108" t="s">
        <v>120</v>
      </c>
      <c r="H108" t="s">
        <v>3</v>
      </c>
      <c r="I108" t="s">
        <v>120</v>
      </c>
      <c r="J108" t="s">
        <v>120</v>
      </c>
      <c r="K108" t="s">
        <v>3</v>
      </c>
      <c r="L108" t="s">
        <v>3</v>
      </c>
      <c r="M108" t="s">
        <v>3</v>
      </c>
      <c r="N108" t="s">
        <v>119</v>
      </c>
      <c r="O108" t="s">
        <v>120</v>
      </c>
      <c r="P108" t="s">
        <v>3</v>
      </c>
      <c r="Q108" t="s">
        <v>3</v>
      </c>
      <c r="R108" t="s">
        <v>3</v>
      </c>
      <c r="S108" t="s">
        <v>689</v>
      </c>
      <c r="T108" t="s">
        <v>690</v>
      </c>
      <c r="U108" t="s">
        <v>691</v>
      </c>
    </row>
    <row r="109" spans="1:21" x14ac:dyDescent="0.2">
      <c r="A109">
        <v>240</v>
      </c>
      <c r="B109">
        <v>1</v>
      </c>
      <c r="C109" t="s">
        <v>3</v>
      </c>
      <c r="D109" t="s">
        <v>119</v>
      </c>
      <c r="E109" t="s">
        <v>120</v>
      </c>
      <c r="F109" t="s">
        <v>120</v>
      </c>
      <c r="G109" t="s">
        <v>120</v>
      </c>
      <c r="H109" t="s">
        <v>3</v>
      </c>
      <c r="I109" t="s">
        <v>120</v>
      </c>
      <c r="J109" t="s">
        <v>120</v>
      </c>
      <c r="K109" t="s">
        <v>3</v>
      </c>
      <c r="L109" t="s">
        <v>3</v>
      </c>
      <c r="M109" t="s">
        <v>3</v>
      </c>
      <c r="N109" t="s">
        <v>119</v>
      </c>
      <c r="O109" t="s">
        <v>120</v>
      </c>
      <c r="P109" t="s">
        <v>3</v>
      </c>
      <c r="Q109" t="s">
        <v>3</v>
      </c>
      <c r="R109" t="s">
        <v>3</v>
      </c>
      <c r="S109" t="s">
        <v>689</v>
      </c>
      <c r="T109" t="s">
        <v>690</v>
      </c>
      <c r="U109" t="s">
        <v>691</v>
      </c>
    </row>
    <row r="110" spans="1:21" x14ac:dyDescent="0.2">
      <c r="A110">
        <v>241</v>
      </c>
      <c r="B110">
        <v>1</v>
      </c>
      <c r="C110" t="s">
        <v>3</v>
      </c>
      <c r="D110" t="s">
        <v>119</v>
      </c>
      <c r="E110" t="s">
        <v>120</v>
      </c>
      <c r="F110" t="s">
        <v>120</v>
      </c>
      <c r="G110" t="s">
        <v>120</v>
      </c>
      <c r="H110" t="s">
        <v>3</v>
      </c>
      <c r="I110" t="s">
        <v>120</v>
      </c>
      <c r="J110" t="s">
        <v>120</v>
      </c>
      <c r="K110" t="s">
        <v>3</v>
      </c>
      <c r="L110" t="s">
        <v>3</v>
      </c>
      <c r="M110" t="s">
        <v>3</v>
      </c>
      <c r="N110" t="s">
        <v>119</v>
      </c>
      <c r="O110" t="s">
        <v>120</v>
      </c>
      <c r="P110" t="s">
        <v>3</v>
      </c>
      <c r="Q110" t="s">
        <v>3</v>
      </c>
      <c r="R110" t="s">
        <v>3</v>
      </c>
      <c r="S110" t="s">
        <v>689</v>
      </c>
      <c r="T110" t="s">
        <v>690</v>
      </c>
      <c r="U110" t="s">
        <v>691</v>
      </c>
    </row>
    <row r="111" spans="1:21" x14ac:dyDescent="0.2">
      <c r="A111">
        <v>244</v>
      </c>
      <c r="B111">
        <v>1</v>
      </c>
      <c r="C111" t="s">
        <v>3</v>
      </c>
      <c r="D111" t="s">
        <v>119</v>
      </c>
      <c r="E111" t="s">
        <v>120</v>
      </c>
      <c r="F111" t="s">
        <v>120</v>
      </c>
      <c r="G111" t="s">
        <v>120</v>
      </c>
      <c r="H111" t="s">
        <v>3</v>
      </c>
      <c r="I111" t="s">
        <v>120</v>
      </c>
      <c r="J111" t="s">
        <v>120</v>
      </c>
      <c r="K111" t="s">
        <v>3</v>
      </c>
      <c r="L111" t="s">
        <v>3</v>
      </c>
      <c r="M111" t="s">
        <v>3</v>
      </c>
      <c r="N111" t="s">
        <v>119</v>
      </c>
      <c r="O111" t="s">
        <v>120</v>
      </c>
      <c r="P111" t="s">
        <v>3</v>
      </c>
      <c r="Q111" t="s">
        <v>3</v>
      </c>
      <c r="R111" t="s">
        <v>3</v>
      </c>
      <c r="S111" t="s">
        <v>689</v>
      </c>
      <c r="T111" t="s">
        <v>690</v>
      </c>
      <c r="U111" t="s">
        <v>691</v>
      </c>
    </row>
    <row r="112" spans="1:21" x14ac:dyDescent="0.2">
      <c r="A112">
        <v>245</v>
      </c>
      <c r="B112">
        <v>1</v>
      </c>
      <c r="C112" t="s">
        <v>3</v>
      </c>
      <c r="D112" t="s">
        <v>119</v>
      </c>
      <c r="E112" t="s">
        <v>120</v>
      </c>
      <c r="F112" t="s">
        <v>120</v>
      </c>
      <c r="G112" t="s">
        <v>120</v>
      </c>
      <c r="H112" t="s">
        <v>3</v>
      </c>
      <c r="I112" t="s">
        <v>120</v>
      </c>
      <c r="J112" t="s">
        <v>120</v>
      </c>
      <c r="K112" t="s">
        <v>3</v>
      </c>
      <c r="L112" t="s">
        <v>3</v>
      </c>
      <c r="M112" t="s">
        <v>3</v>
      </c>
      <c r="N112" t="s">
        <v>119</v>
      </c>
      <c r="O112" t="s">
        <v>120</v>
      </c>
      <c r="P112" t="s">
        <v>3</v>
      </c>
      <c r="Q112" t="s">
        <v>3</v>
      </c>
      <c r="R112" t="s">
        <v>3</v>
      </c>
      <c r="S112" t="s">
        <v>689</v>
      </c>
      <c r="T112" t="s">
        <v>690</v>
      </c>
      <c r="U112" t="s">
        <v>691</v>
      </c>
    </row>
    <row r="113" spans="1:21" x14ac:dyDescent="0.2">
      <c r="A113">
        <v>250</v>
      </c>
      <c r="B113">
        <v>1</v>
      </c>
      <c r="C113" t="s">
        <v>3</v>
      </c>
      <c r="D113" t="s">
        <v>119</v>
      </c>
      <c r="E113" t="s">
        <v>120</v>
      </c>
      <c r="F113" t="s">
        <v>120</v>
      </c>
      <c r="G113" t="s">
        <v>120</v>
      </c>
      <c r="H113" t="s">
        <v>3</v>
      </c>
      <c r="I113" t="s">
        <v>120</v>
      </c>
      <c r="J113" t="s">
        <v>120</v>
      </c>
      <c r="K113" t="s">
        <v>3</v>
      </c>
      <c r="L113" t="s">
        <v>3</v>
      </c>
      <c r="M113" t="s">
        <v>3</v>
      </c>
      <c r="N113" t="s">
        <v>119</v>
      </c>
      <c r="O113" t="s">
        <v>120</v>
      </c>
      <c r="P113" t="s">
        <v>3</v>
      </c>
      <c r="Q113" t="s">
        <v>3</v>
      </c>
      <c r="R113" t="s">
        <v>3</v>
      </c>
      <c r="S113" t="s">
        <v>689</v>
      </c>
      <c r="T113" t="s">
        <v>690</v>
      </c>
      <c r="U113" t="s">
        <v>691</v>
      </c>
    </row>
    <row r="114" spans="1:21" x14ac:dyDescent="0.2">
      <c r="A114">
        <v>251</v>
      </c>
      <c r="B114">
        <v>1</v>
      </c>
      <c r="C114" t="s">
        <v>3</v>
      </c>
      <c r="D114" t="s">
        <v>119</v>
      </c>
      <c r="E114" t="s">
        <v>120</v>
      </c>
      <c r="F114" t="s">
        <v>120</v>
      </c>
      <c r="G114" t="s">
        <v>120</v>
      </c>
      <c r="H114" t="s">
        <v>3</v>
      </c>
      <c r="I114" t="s">
        <v>120</v>
      </c>
      <c r="J114" t="s">
        <v>120</v>
      </c>
      <c r="K114" t="s">
        <v>3</v>
      </c>
      <c r="L114" t="s">
        <v>3</v>
      </c>
      <c r="M114" t="s">
        <v>3</v>
      </c>
      <c r="N114" t="s">
        <v>119</v>
      </c>
      <c r="O114" t="s">
        <v>120</v>
      </c>
      <c r="P114" t="s">
        <v>3</v>
      </c>
      <c r="Q114" t="s">
        <v>3</v>
      </c>
      <c r="R114" t="s">
        <v>3</v>
      </c>
      <c r="S114" t="s">
        <v>689</v>
      </c>
      <c r="T114" t="s">
        <v>690</v>
      </c>
      <c r="U114" t="s">
        <v>691</v>
      </c>
    </row>
    <row r="115" spans="1:21" x14ac:dyDescent="0.2">
      <c r="A115">
        <v>258</v>
      </c>
      <c r="B115">
        <v>1</v>
      </c>
      <c r="C115" t="s">
        <v>3</v>
      </c>
      <c r="D115" t="s">
        <v>119</v>
      </c>
      <c r="E115" t="s">
        <v>120</v>
      </c>
      <c r="F115" t="s">
        <v>120</v>
      </c>
      <c r="G115" t="s">
        <v>120</v>
      </c>
      <c r="H115" t="s">
        <v>3</v>
      </c>
      <c r="I115" t="s">
        <v>120</v>
      </c>
      <c r="J115" t="s">
        <v>120</v>
      </c>
      <c r="K115" t="s">
        <v>3</v>
      </c>
      <c r="L115" t="s">
        <v>3</v>
      </c>
      <c r="M115" t="s">
        <v>3</v>
      </c>
      <c r="N115" t="s">
        <v>119</v>
      </c>
      <c r="O115" t="s">
        <v>120</v>
      </c>
      <c r="P115" t="s">
        <v>3</v>
      </c>
      <c r="Q115" t="s">
        <v>3</v>
      </c>
      <c r="R115" t="s">
        <v>3</v>
      </c>
      <c r="S115" t="s">
        <v>689</v>
      </c>
      <c r="T115" t="s">
        <v>690</v>
      </c>
      <c r="U115" t="s">
        <v>691</v>
      </c>
    </row>
    <row r="116" spans="1:21" x14ac:dyDescent="0.2">
      <c r="A116">
        <v>259</v>
      </c>
      <c r="B116">
        <v>1</v>
      </c>
      <c r="C116" t="s">
        <v>3</v>
      </c>
      <c r="D116" t="s">
        <v>119</v>
      </c>
      <c r="E116" t="s">
        <v>120</v>
      </c>
      <c r="F116" t="s">
        <v>120</v>
      </c>
      <c r="G116" t="s">
        <v>120</v>
      </c>
      <c r="H116" t="s">
        <v>3</v>
      </c>
      <c r="I116" t="s">
        <v>120</v>
      </c>
      <c r="J116" t="s">
        <v>120</v>
      </c>
      <c r="K116" t="s">
        <v>3</v>
      </c>
      <c r="L116" t="s">
        <v>3</v>
      </c>
      <c r="M116" t="s">
        <v>3</v>
      </c>
      <c r="N116" t="s">
        <v>119</v>
      </c>
      <c r="O116" t="s">
        <v>120</v>
      </c>
      <c r="P116" t="s">
        <v>3</v>
      </c>
      <c r="Q116" t="s">
        <v>3</v>
      </c>
      <c r="R116" t="s">
        <v>3</v>
      </c>
      <c r="S116" t="s">
        <v>689</v>
      </c>
      <c r="T116" t="s">
        <v>690</v>
      </c>
      <c r="U116" t="s">
        <v>691</v>
      </c>
    </row>
    <row r="117" spans="1:21" x14ac:dyDescent="0.2">
      <c r="A117">
        <v>262</v>
      </c>
      <c r="B117">
        <v>1</v>
      </c>
      <c r="C117" t="s">
        <v>3</v>
      </c>
      <c r="D117" t="s">
        <v>119</v>
      </c>
      <c r="E117" t="s">
        <v>120</v>
      </c>
      <c r="F117" t="s">
        <v>120</v>
      </c>
      <c r="G117" t="s">
        <v>120</v>
      </c>
      <c r="H117" t="s">
        <v>3</v>
      </c>
      <c r="I117" t="s">
        <v>120</v>
      </c>
      <c r="J117" t="s">
        <v>120</v>
      </c>
      <c r="K117" t="s">
        <v>3</v>
      </c>
      <c r="L117" t="s">
        <v>3</v>
      </c>
      <c r="M117" t="s">
        <v>3</v>
      </c>
      <c r="N117" t="s">
        <v>119</v>
      </c>
      <c r="O117" t="s">
        <v>120</v>
      </c>
      <c r="P117" t="s">
        <v>3</v>
      </c>
      <c r="Q117" t="s">
        <v>3</v>
      </c>
      <c r="R117" t="s">
        <v>3</v>
      </c>
      <c r="S117" t="s">
        <v>689</v>
      </c>
      <c r="T117" t="s">
        <v>690</v>
      </c>
      <c r="U117" t="s">
        <v>691</v>
      </c>
    </row>
    <row r="118" spans="1:21" x14ac:dyDescent="0.2">
      <c r="A118">
        <v>263</v>
      </c>
      <c r="B118">
        <v>1</v>
      </c>
      <c r="C118" t="s">
        <v>3</v>
      </c>
      <c r="D118" t="s">
        <v>119</v>
      </c>
      <c r="E118" t="s">
        <v>120</v>
      </c>
      <c r="F118" t="s">
        <v>120</v>
      </c>
      <c r="G118" t="s">
        <v>120</v>
      </c>
      <c r="H118" t="s">
        <v>3</v>
      </c>
      <c r="I118" t="s">
        <v>120</v>
      </c>
      <c r="J118" t="s">
        <v>120</v>
      </c>
      <c r="K118" t="s">
        <v>3</v>
      </c>
      <c r="L118" t="s">
        <v>3</v>
      </c>
      <c r="M118" t="s">
        <v>3</v>
      </c>
      <c r="N118" t="s">
        <v>119</v>
      </c>
      <c r="O118" t="s">
        <v>120</v>
      </c>
      <c r="P118" t="s">
        <v>3</v>
      </c>
      <c r="Q118" t="s">
        <v>3</v>
      </c>
      <c r="R118" t="s">
        <v>3</v>
      </c>
      <c r="S118" t="s">
        <v>689</v>
      </c>
      <c r="T118" t="s">
        <v>690</v>
      </c>
      <c r="U118" t="s">
        <v>691</v>
      </c>
    </row>
    <row r="119" spans="1:21" x14ac:dyDescent="0.2">
      <c r="A119">
        <v>266</v>
      </c>
      <c r="B119">
        <v>1</v>
      </c>
      <c r="C119" t="s">
        <v>3</v>
      </c>
      <c r="D119" t="s">
        <v>119</v>
      </c>
      <c r="E119" t="s">
        <v>120</v>
      </c>
      <c r="F119" t="s">
        <v>120</v>
      </c>
      <c r="G119" t="s">
        <v>120</v>
      </c>
      <c r="H119" t="s">
        <v>3</v>
      </c>
      <c r="I119" t="s">
        <v>120</v>
      </c>
      <c r="J119" t="s">
        <v>120</v>
      </c>
      <c r="K119" t="s">
        <v>3</v>
      </c>
      <c r="L119" t="s">
        <v>3</v>
      </c>
      <c r="M119" t="s">
        <v>3</v>
      </c>
      <c r="N119" t="s">
        <v>119</v>
      </c>
      <c r="O119" t="s">
        <v>120</v>
      </c>
      <c r="P119" t="s">
        <v>3</v>
      </c>
      <c r="Q119" t="s">
        <v>3</v>
      </c>
      <c r="R119" t="s">
        <v>3</v>
      </c>
      <c r="S119" t="s">
        <v>689</v>
      </c>
      <c r="T119" t="s">
        <v>690</v>
      </c>
      <c r="U119" t="s">
        <v>691</v>
      </c>
    </row>
    <row r="120" spans="1:21" x14ac:dyDescent="0.2">
      <c r="A120">
        <v>267</v>
      </c>
      <c r="B120">
        <v>1</v>
      </c>
      <c r="C120" t="s">
        <v>3</v>
      </c>
      <c r="D120" t="s">
        <v>119</v>
      </c>
      <c r="E120" t="s">
        <v>120</v>
      </c>
      <c r="F120" t="s">
        <v>120</v>
      </c>
      <c r="G120" t="s">
        <v>120</v>
      </c>
      <c r="H120" t="s">
        <v>3</v>
      </c>
      <c r="I120" t="s">
        <v>120</v>
      </c>
      <c r="J120" t="s">
        <v>120</v>
      </c>
      <c r="K120" t="s">
        <v>3</v>
      </c>
      <c r="L120" t="s">
        <v>3</v>
      </c>
      <c r="M120" t="s">
        <v>3</v>
      </c>
      <c r="N120" t="s">
        <v>119</v>
      </c>
      <c r="O120" t="s">
        <v>120</v>
      </c>
      <c r="P120" t="s">
        <v>3</v>
      </c>
      <c r="Q120" t="s">
        <v>3</v>
      </c>
      <c r="R120" t="s">
        <v>3</v>
      </c>
      <c r="S120" t="s">
        <v>689</v>
      </c>
      <c r="T120" t="s">
        <v>690</v>
      </c>
      <c r="U120" t="s">
        <v>691</v>
      </c>
    </row>
    <row r="121" spans="1:21" x14ac:dyDescent="0.2">
      <c r="A121">
        <v>274</v>
      </c>
      <c r="B121">
        <v>1</v>
      </c>
      <c r="C121" t="s">
        <v>3</v>
      </c>
      <c r="D121" t="s">
        <v>119</v>
      </c>
      <c r="E121" t="s">
        <v>120</v>
      </c>
      <c r="F121" t="s">
        <v>120</v>
      </c>
      <c r="G121" t="s">
        <v>120</v>
      </c>
      <c r="H121" t="s">
        <v>3</v>
      </c>
      <c r="I121" t="s">
        <v>120</v>
      </c>
      <c r="J121" t="s">
        <v>120</v>
      </c>
      <c r="K121" t="s">
        <v>3</v>
      </c>
      <c r="L121" t="s">
        <v>3</v>
      </c>
      <c r="M121" t="s">
        <v>3</v>
      </c>
      <c r="N121" t="s">
        <v>119</v>
      </c>
      <c r="O121" t="s">
        <v>120</v>
      </c>
      <c r="P121" t="s">
        <v>3</v>
      </c>
      <c r="Q121" t="s">
        <v>3</v>
      </c>
      <c r="R121" t="s">
        <v>3</v>
      </c>
      <c r="S121" t="s">
        <v>689</v>
      </c>
      <c r="T121" t="s">
        <v>690</v>
      </c>
      <c r="U121" t="s">
        <v>691</v>
      </c>
    </row>
    <row r="122" spans="1:21" x14ac:dyDescent="0.2">
      <c r="A122">
        <v>275</v>
      </c>
      <c r="B122">
        <v>1</v>
      </c>
      <c r="C122" t="s">
        <v>3</v>
      </c>
      <c r="D122" t="s">
        <v>119</v>
      </c>
      <c r="E122" t="s">
        <v>120</v>
      </c>
      <c r="F122" t="s">
        <v>120</v>
      </c>
      <c r="G122" t="s">
        <v>120</v>
      </c>
      <c r="H122" t="s">
        <v>3</v>
      </c>
      <c r="I122" t="s">
        <v>120</v>
      </c>
      <c r="J122" t="s">
        <v>120</v>
      </c>
      <c r="K122" t="s">
        <v>3</v>
      </c>
      <c r="L122" t="s">
        <v>3</v>
      </c>
      <c r="M122" t="s">
        <v>3</v>
      </c>
      <c r="N122" t="s">
        <v>119</v>
      </c>
      <c r="O122" t="s">
        <v>120</v>
      </c>
      <c r="P122" t="s">
        <v>3</v>
      </c>
      <c r="Q122" t="s">
        <v>3</v>
      </c>
      <c r="R122" t="s">
        <v>3</v>
      </c>
      <c r="S122" t="s">
        <v>689</v>
      </c>
      <c r="T122" t="s">
        <v>690</v>
      </c>
      <c r="U122" t="s">
        <v>691</v>
      </c>
    </row>
    <row r="123" spans="1:21" x14ac:dyDescent="0.2">
      <c r="A123">
        <v>278</v>
      </c>
      <c r="B123">
        <v>1</v>
      </c>
      <c r="C123" t="s">
        <v>3</v>
      </c>
      <c r="D123" t="s">
        <v>119</v>
      </c>
      <c r="E123" t="s">
        <v>120</v>
      </c>
      <c r="F123" t="s">
        <v>120</v>
      </c>
      <c r="G123" t="s">
        <v>120</v>
      </c>
      <c r="H123" t="s">
        <v>3</v>
      </c>
      <c r="I123" t="s">
        <v>120</v>
      </c>
      <c r="J123" t="s">
        <v>120</v>
      </c>
      <c r="K123" t="s">
        <v>3</v>
      </c>
      <c r="L123" t="s">
        <v>3</v>
      </c>
      <c r="M123" t="s">
        <v>3</v>
      </c>
      <c r="N123" t="s">
        <v>119</v>
      </c>
      <c r="O123" t="s">
        <v>120</v>
      </c>
      <c r="P123" t="s">
        <v>3</v>
      </c>
      <c r="Q123" t="s">
        <v>3</v>
      </c>
      <c r="R123" t="s">
        <v>3</v>
      </c>
      <c r="S123" t="s">
        <v>689</v>
      </c>
      <c r="T123" t="s">
        <v>690</v>
      </c>
      <c r="U123" t="s">
        <v>691</v>
      </c>
    </row>
    <row r="124" spans="1:21" x14ac:dyDescent="0.2">
      <c r="A124">
        <v>279</v>
      </c>
      <c r="B124">
        <v>1</v>
      </c>
      <c r="C124" t="s">
        <v>3</v>
      </c>
      <c r="D124" t="s">
        <v>119</v>
      </c>
      <c r="E124" t="s">
        <v>120</v>
      </c>
      <c r="F124" t="s">
        <v>120</v>
      </c>
      <c r="G124" t="s">
        <v>120</v>
      </c>
      <c r="H124" t="s">
        <v>3</v>
      </c>
      <c r="I124" t="s">
        <v>120</v>
      </c>
      <c r="J124" t="s">
        <v>120</v>
      </c>
      <c r="K124" t="s">
        <v>3</v>
      </c>
      <c r="L124" t="s">
        <v>3</v>
      </c>
      <c r="M124" t="s">
        <v>3</v>
      </c>
      <c r="N124" t="s">
        <v>119</v>
      </c>
      <c r="O124" t="s">
        <v>120</v>
      </c>
      <c r="P124" t="s">
        <v>3</v>
      </c>
      <c r="Q124" t="s">
        <v>3</v>
      </c>
      <c r="R124" t="s">
        <v>3</v>
      </c>
      <c r="S124" t="s">
        <v>689</v>
      </c>
      <c r="T124" t="s">
        <v>690</v>
      </c>
      <c r="U124" t="s">
        <v>691</v>
      </c>
    </row>
    <row r="125" spans="1:21" x14ac:dyDescent="0.2">
      <c r="A125">
        <v>282</v>
      </c>
      <c r="B125">
        <v>1</v>
      </c>
      <c r="C125" t="s">
        <v>3</v>
      </c>
      <c r="D125" t="s">
        <v>119</v>
      </c>
      <c r="E125" t="s">
        <v>120</v>
      </c>
      <c r="F125" t="s">
        <v>120</v>
      </c>
      <c r="G125" t="s">
        <v>120</v>
      </c>
      <c r="H125" t="s">
        <v>3</v>
      </c>
      <c r="I125" t="s">
        <v>120</v>
      </c>
      <c r="J125" t="s">
        <v>120</v>
      </c>
      <c r="K125" t="s">
        <v>3</v>
      </c>
      <c r="L125" t="s">
        <v>3</v>
      </c>
      <c r="M125" t="s">
        <v>3</v>
      </c>
      <c r="N125" t="s">
        <v>119</v>
      </c>
      <c r="O125" t="s">
        <v>120</v>
      </c>
      <c r="P125" t="s">
        <v>3</v>
      </c>
      <c r="Q125" t="s">
        <v>3</v>
      </c>
      <c r="R125" t="s">
        <v>3</v>
      </c>
      <c r="S125" t="s">
        <v>689</v>
      </c>
      <c r="T125" t="s">
        <v>690</v>
      </c>
      <c r="U125" t="s">
        <v>691</v>
      </c>
    </row>
    <row r="126" spans="1:21" x14ac:dyDescent="0.2">
      <c r="A126">
        <v>283</v>
      </c>
      <c r="B126">
        <v>1</v>
      </c>
      <c r="C126" t="s">
        <v>3</v>
      </c>
      <c r="D126" t="s">
        <v>119</v>
      </c>
      <c r="E126" t="s">
        <v>120</v>
      </c>
      <c r="F126" t="s">
        <v>120</v>
      </c>
      <c r="G126" t="s">
        <v>120</v>
      </c>
      <c r="H126" t="s">
        <v>3</v>
      </c>
      <c r="I126" t="s">
        <v>120</v>
      </c>
      <c r="J126" t="s">
        <v>120</v>
      </c>
      <c r="K126" t="s">
        <v>3</v>
      </c>
      <c r="L126" t="s">
        <v>3</v>
      </c>
      <c r="M126" t="s">
        <v>3</v>
      </c>
      <c r="N126" t="s">
        <v>119</v>
      </c>
      <c r="O126" t="s">
        <v>120</v>
      </c>
      <c r="P126" t="s">
        <v>3</v>
      </c>
      <c r="Q126" t="s">
        <v>3</v>
      </c>
      <c r="R126" t="s">
        <v>3</v>
      </c>
      <c r="S126" t="s">
        <v>689</v>
      </c>
      <c r="T126" t="s">
        <v>690</v>
      </c>
      <c r="U126" t="s">
        <v>691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77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">
      <c r="F12" t="str">
        <f>Source!F12</f>
        <v>02-01-19</v>
      </c>
      <c r="G12" t="str">
        <f>Source!G12</f>
        <v>02-01-19 АУГП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  <row r="14" spans="1:103" x14ac:dyDescent="0.2">
      <c r="D14" t="s">
        <v>5</v>
      </c>
      <c r="E14" t="s">
        <v>20</v>
      </c>
      <c r="AD14">
        <v>3</v>
      </c>
    </row>
    <row r="15" spans="1:103" x14ac:dyDescent="0.2">
      <c r="B15" t="s">
        <v>705</v>
      </c>
      <c r="C15">
        <v>1</v>
      </c>
      <c r="D15" t="s">
        <v>190</v>
      </c>
      <c r="E15" t="s">
        <v>3</v>
      </c>
      <c r="F15" t="s">
        <v>706</v>
      </c>
      <c r="G15" t="s">
        <v>3</v>
      </c>
      <c r="H15">
        <v>7394</v>
      </c>
      <c r="I15">
        <v>7394</v>
      </c>
      <c r="J15">
        <v>0</v>
      </c>
      <c r="K15">
        <v>7394</v>
      </c>
      <c r="L15">
        <v>0</v>
      </c>
      <c r="M15">
        <v>0</v>
      </c>
      <c r="N15">
        <v>0</v>
      </c>
      <c r="O15" t="s">
        <v>707</v>
      </c>
      <c r="P15" t="s">
        <v>3</v>
      </c>
      <c r="Q15" t="s">
        <v>708</v>
      </c>
      <c r="R15" t="s">
        <v>3</v>
      </c>
      <c r="S15" t="s">
        <v>3</v>
      </c>
      <c r="T15" t="s">
        <v>3</v>
      </c>
      <c r="U15">
        <v>0</v>
      </c>
      <c r="V15">
        <v>0</v>
      </c>
      <c r="W15">
        <v>0</v>
      </c>
      <c r="X15">
        <v>0</v>
      </c>
      <c r="Y15" t="s">
        <v>3</v>
      </c>
      <c r="Z15" t="s">
        <v>3</v>
      </c>
      <c r="AA15">
        <v>0</v>
      </c>
      <c r="AB15" t="s">
        <v>3</v>
      </c>
      <c r="AC15">
        <v>7394</v>
      </c>
      <c r="AD15">
        <v>1</v>
      </c>
      <c r="AE15">
        <v>0</v>
      </c>
      <c r="AF15">
        <v>3</v>
      </c>
      <c r="AG15">
        <v>3</v>
      </c>
      <c r="AH15" t="s">
        <v>192</v>
      </c>
      <c r="AI15" t="s">
        <v>191</v>
      </c>
      <c r="AJ15">
        <v>46218.631678240738</v>
      </c>
      <c r="AK15">
        <v>57249139</v>
      </c>
      <c r="AL15">
        <v>0</v>
      </c>
      <c r="AM15">
        <v>0</v>
      </c>
      <c r="AN15">
        <v>0</v>
      </c>
      <c r="AO15">
        <v>46073</v>
      </c>
      <c r="AP15">
        <v>0</v>
      </c>
      <c r="AQ15">
        <v>1</v>
      </c>
      <c r="AR15">
        <v>0</v>
      </c>
      <c r="AS15" t="s">
        <v>709</v>
      </c>
      <c r="AT15">
        <v>1</v>
      </c>
      <c r="AU15">
        <v>8</v>
      </c>
    </row>
    <row r="16" spans="1:103" x14ac:dyDescent="0.2">
      <c r="B16" t="s">
        <v>710</v>
      </c>
      <c r="C16">
        <v>0</v>
      </c>
      <c r="D16" t="s">
        <v>190</v>
      </c>
      <c r="E16" t="s">
        <v>3</v>
      </c>
      <c r="F16" t="s">
        <v>706</v>
      </c>
      <c r="G16" t="s">
        <v>3</v>
      </c>
      <c r="H16">
        <v>7394</v>
      </c>
      <c r="I16">
        <v>7394</v>
      </c>
      <c r="J16">
        <v>0</v>
      </c>
      <c r="K16">
        <v>7394</v>
      </c>
      <c r="L16">
        <v>0</v>
      </c>
      <c r="M16">
        <v>0</v>
      </c>
      <c r="N16">
        <v>0</v>
      </c>
      <c r="O16" t="s">
        <v>711</v>
      </c>
      <c r="P16" t="s">
        <v>3</v>
      </c>
      <c r="Q16" t="s">
        <v>712</v>
      </c>
      <c r="R16" t="s">
        <v>3</v>
      </c>
      <c r="S16" t="s">
        <v>3</v>
      </c>
      <c r="T16" t="s">
        <v>3</v>
      </c>
      <c r="U16">
        <v>0</v>
      </c>
      <c r="V16">
        <v>0</v>
      </c>
      <c r="W16">
        <v>0</v>
      </c>
      <c r="X16">
        <v>0</v>
      </c>
      <c r="Y16" t="s">
        <v>3</v>
      </c>
      <c r="Z16" t="s">
        <v>3</v>
      </c>
      <c r="AA16">
        <v>0</v>
      </c>
      <c r="AB16" t="s">
        <v>3</v>
      </c>
      <c r="AC16">
        <v>7394</v>
      </c>
      <c r="AD16">
        <v>1</v>
      </c>
      <c r="AE16">
        <v>0</v>
      </c>
      <c r="AF16">
        <v>3</v>
      </c>
      <c r="AG16">
        <v>3</v>
      </c>
      <c r="AH16" t="s">
        <v>192</v>
      </c>
      <c r="AI16" t="s">
        <v>191</v>
      </c>
      <c r="AJ16">
        <v>46218.631678240738</v>
      </c>
      <c r="AK16">
        <v>57249139</v>
      </c>
      <c r="AL16">
        <v>0</v>
      </c>
      <c r="AM16">
        <v>0</v>
      </c>
      <c r="AN16">
        <v>0</v>
      </c>
      <c r="AO16">
        <v>46073</v>
      </c>
      <c r="AP16">
        <v>0</v>
      </c>
      <c r="AQ16">
        <v>1</v>
      </c>
      <c r="AR16">
        <v>0</v>
      </c>
      <c r="AS16" t="s">
        <v>3</v>
      </c>
      <c r="AT16">
        <v>1</v>
      </c>
      <c r="AU16">
        <v>8</v>
      </c>
    </row>
    <row r="17" spans="2:47" x14ac:dyDescent="0.2">
      <c r="B17" t="s">
        <v>713</v>
      </c>
      <c r="C17">
        <v>0</v>
      </c>
      <c r="D17" t="s">
        <v>190</v>
      </c>
      <c r="E17" t="s">
        <v>3</v>
      </c>
      <c r="F17" t="s">
        <v>706</v>
      </c>
      <c r="G17" t="s">
        <v>3</v>
      </c>
      <c r="H17">
        <v>7394</v>
      </c>
      <c r="I17">
        <v>7394</v>
      </c>
      <c r="J17">
        <v>0</v>
      </c>
      <c r="K17">
        <v>7394</v>
      </c>
      <c r="L17">
        <v>0</v>
      </c>
      <c r="M17">
        <v>0</v>
      </c>
      <c r="N17">
        <v>0</v>
      </c>
      <c r="O17" t="s">
        <v>714</v>
      </c>
      <c r="P17" t="s">
        <v>3</v>
      </c>
      <c r="Q17" t="s">
        <v>715</v>
      </c>
      <c r="R17" t="s">
        <v>3</v>
      </c>
      <c r="S17" t="s">
        <v>3</v>
      </c>
      <c r="T17" t="s">
        <v>3</v>
      </c>
      <c r="U17">
        <v>0</v>
      </c>
      <c r="V17">
        <v>0</v>
      </c>
      <c r="W17">
        <v>0</v>
      </c>
      <c r="X17">
        <v>0</v>
      </c>
      <c r="Y17" t="s">
        <v>3</v>
      </c>
      <c r="Z17" t="s">
        <v>3</v>
      </c>
      <c r="AA17">
        <v>0</v>
      </c>
      <c r="AB17" t="s">
        <v>3</v>
      </c>
      <c r="AC17">
        <v>7394</v>
      </c>
      <c r="AD17">
        <v>1</v>
      </c>
      <c r="AE17">
        <v>0</v>
      </c>
      <c r="AF17">
        <v>3</v>
      </c>
      <c r="AG17">
        <v>3</v>
      </c>
      <c r="AH17" t="s">
        <v>192</v>
      </c>
      <c r="AI17" t="s">
        <v>191</v>
      </c>
      <c r="AJ17">
        <v>46218.631678240738</v>
      </c>
      <c r="AK17">
        <v>57249139</v>
      </c>
      <c r="AL17">
        <v>0</v>
      </c>
      <c r="AM17">
        <v>0</v>
      </c>
      <c r="AN17">
        <v>0</v>
      </c>
      <c r="AO17">
        <v>46073</v>
      </c>
      <c r="AP17">
        <v>0</v>
      </c>
      <c r="AQ17">
        <v>1</v>
      </c>
      <c r="AR17">
        <v>0</v>
      </c>
      <c r="AS17" t="s">
        <v>3</v>
      </c>
      <c r="AT17">
        <v>1</v>
      </c>
      <c r="AU17">
        <v>8</v>
      </c>
    </row>
    <row r="18" spans="2:47" x14ac:dyDescent="0.2">
      <c r="B18" t="s">
        <v>716</v>
      </c>
      <c r="C18">
        <v>1</v>
      </c>
      <c r="D18" t="s">
        <v>202</v>
      </c>
      <c r="E18" t="s">
        <v>3</v>
      </c>
      <c r="F18" t="s">
        <v>706</v>
      </c>
      <c r="G18" t="s">
        <v>3</v>
      </c>
      <c r="H18">
        <v>42981</v>
      </c>
      <c r="I18">
        <v>42981</v>
      </c>
      <c r="J18">
        <v>0</v>
      </c>
      <c r="K18">
        <v>42981</v>
      </c>
      <c r="L18">
        <v>0</v>
      </c>
      <c r="M18">
        <v>0</v>
      </c>
      <c r="N18">
        <v>0</v>
      </c>
      <c r="O18" t="s">
        <v>707</v>
      </c>
      <c r="P18" t="s">
        <v>3</v>
      </c>
      <c r="Q18" t="s">
        <v>708</v>
      </c>
      <c r="R18" t="s">
        <v>3</v>
      </c>
      <c r="S18" t="s">
        <v>3</v>
      </c>
      <c r="T18" t="s">
        <v>3</v>
      </c>
      <c r="U18">
        <v>0</v>
      </c>
      <c r="V18">
        <v>0</v>
      </c>
      <c r="W18">
        <v>0</v>
      </c>
      <c r="X18">
        <v>0</v>
      </c>
      <c r="Y18" t="s">
        <v>3</v>
      </c>
      <c r="Z18" t="s">
        <v>3</v>
      </c>
      <c r="AA18">
        <v>0</v>
      </c>
      <c r="AB18" t="s">
        <v>3</v>
      </c>
      <c r="AC18">
        <v>42981</v>
      </c>
      <c r="AD18">
        <v>1</v>
      </c>
      <c r="AE18">
        <v>0</v>
      </c>
      <c r="AF18">
        <v>3</v>
      </c>
      <c r="AG18">
        <v>3</v>
      </c>
      <c r="AH18" t="s">
        <v>192</v>
      </c>
      <c r="AI18" t="s">
        <v>203</v>
      </c>
      <c r="AJ18">
        <v>46218.631678240738</v>
      </c>
      <c r="AK18">
        <v>57249150</v>
      </c>
      <c r="AL18">
        <v>0</v>
      </c>
      <c r="AM18">
        <v>0</v>
      </c>
      <c r="AN18">
        <v>0</v>
      </c>
      <c r="AO18">
        <v>46073</v>
      </c>
      <c r="AP18">
        <v>0</v>
      </c>
      <c r="AQ18">
        <v>1</v>
      </c>
      <c r="AR18">
        <v>0</v>
      </c>
      <c r="AS18" t="s">
        <v>709</v>
      </c>
      <c r="AT18">
        <v>1</v>
      </c>
      <c r="AU18">
        <v>1</v>
      </c>
    </row>
    <row r="19" spans="2:47" x14ac:dyDescent="0.2">
      <c r="B19" t="s">
        <v>717</v>
      </c>
      <c r="C19">
        <v>0</v>
      </c>
      <c r="D19" t="s">
        <v>202</v>
      </c>
      <c r="E19" t="s">
        <v>3</v>
      </c>
      <c r="F19" t="s">
        <v>706</v>
      </c>
      <c r="G19" t="s">
        <v>3</v>
      </c>
      <c r="H19">
        <v>42981</v>
      </c>
      <c r="I19">
        <v>42981</v>
      </c>
      <c r="J19">
        <v>0</v>
      </c>
      <c r="K19">
        <v>42981</v>
      </c>
      <c r="L19">
        <v>0</v>
      </c>
      <c r="M19">
        <v>0</v>
      </c>
      <c r="N19">
        <v>0</v>
      </c>
      <c r="O19" t="s">
        <v>718</v>
      </c>
      <c r="P19" t="s">
        <v>3</v>
      </c>
      <c r="Q19" t="s">
        <v>719</v>
      </c>
      <c r="R19" t="s">
        <v>3</v>
      </c>
      <c r="S19" t="s">
        <v>3</v>
      </c>
      <c r="T19" t="s">
        <v>3</v>
      </c>
      <c r="U19">
        <v>0</v>
      </c>
      <c r="V19">
        <v>0</v>
      </c>
      <c r="W19">
        <v>0</v>
      </c>
      <c r="X19">
        <v>0</v>
      </c>
      <c r="Y19" t="s">
        <v>3</v>
      </c>
      <c r="Z19" t="s">
        <v>3</v>
      </c>
      <c r="AA19">
        <v>0</v>
      </c>
      <c r="AB19" t="s">
        <v>3</v>
      </c>
      <c r="AC19">
        <v>42981</v>
      </c>
      <c r="AD19">
        <v>1</v>
      </c>
      <c r="AE19">
        <v>0</v>
      </c>
      <c r="AF19">
        <v>3</v>
      </c>
      <c r="AG19">
        <v>3</v>
      </c>
      <c r="AH19" t="s">
        <v>192</v>
      </c>
      <c r="AI19" t="s">
        <v>203</v>
      </c>
      <c r="AJ19">
        <v>46218.631678240738</v>
      </c>
      <c r="AK19">
        <v>57249150</v>
      </c>
      <c r="AL19">
        <v>0</v>
      </c>
      <c r="AM19">
        <v>0</v>
      </c>
      <c r="AN19">
        <v>0</v>
      </c>
      <c r="AO19">
        <v>46073</v>
      </c>
      <c r="AP19">
        <v>0</v>
      </c>
      <c r="AQ19">
        <v>1</v>
      </c>
      <c r="AR19">
        <v>0</v>
      </c>
      <c r="AS19" t="s">
        <v>3</v>
      </c>
      <c r="AT19">
        <v>1</v>
      </c>
      <c r="AU19">
        <v>1</v>
      </c>
    </row>
    <row r="20" spans="2:47" x14ac:dyDescent="0.2">
      <c r="B20" t="s">
        <v>720</v>
      </c>
      <c r="C20">
        <v>0</v>
      </c>
      <c r="D20" t="s">
        <v>202</v>
      </c>
      <c r="E20" t="s">
        <v>3</v>
      </c>
      <c r="F20" t="s">
        <v>706</v>
      </c>
      <c r="G20" t="s">
        <v>3</v>
      </c>
      <c r="H20">
        <v>42981</v>
      </c>
      <c r="I20">
        <v>42981</v>
      </c>
      <c r="J20">
        <v>0</v>
      </c>
      <c r="K20">
        <v>42981</v>
      </c>
      <c r="L20">
        <v>0</v>
      </c>
      <c r="M20">
        <v>0</v>
      </c>
      <c r="N20">
        <v>0</v>
      </c>
      <c r="O20" t="s">
        <v>721</v>
      </c>
      <c r="P20" t="s">
        <v>3</v>
      </c>
      <c r="Q20" t="s">
        <v>722</v>
      </c>
      <c r="R20" t="s">
        <v>3</v>
      </c>
      <c r="S20" t="s">
        <v>3</v>
      </c>
      <c r="T20" t="s">
        <v>3</v>
      </c>
      <c r="U20">
        <v>0</v>
      </c>
      <c r="V20">
        <v>0</v>
      </c>
      <c r="W20">
        <v>0</v>
      </c>
      <c r="X20">
        <v>0</v>
      </c>
      <c r="Y20" t="s">
        <v>3</v>
      </c>
      <c r="Z20" t="s">
        <v>3</v>
      </c>
      <c r="AA20">
        <v>0</v>
      </c>
      <c r="AB20" t="s">
        <v>3</v>
      </c>
      <c r="AC20">
        <v>42981</v>
      </c>
      <c r="AD20">
        <v>1</v>
      </c>
      <c r="AE20">
        <v>0</v>
      </c>
      <c r="AF20">
        <v>3</v>
      </c>
      <c r="AG20">
        <v>3</v>
      </c>
      <c r="AH20" t="s">
        <v>192</v>
      </c>
      <c r="AI20" t="s">
        <v>203</v>
      </c>
      <c r="AJ20">
        <v>46218.631678240738</v>
      </c>
      <c r="AK20">
        <v>57249150</v>
      </c>
      <c r="AL20">
        <v>0</v>
      </c>
      <c r="AM20">
        <v>0</v>
      </c>
      <c r="AN20">
        <v>0</v>
      </c>
      <c r="AO20">
        <v>46073</v>
      </c>
      <c r="AP20">
        <v>0</v>
      </c>
      <c r="AQ20">
        <v>1</v>
      </c>
      <c r="AR20">
        <v>0</v>
      </c>
      <c r="AS20" t="s">
        <v>3</v>
      </c>
      <c r="AT20">
        <v>1</v>
      </c>
      <c r="AU20">
        <v>1</v>
      </c>
    </row>
    <row r="21" spans="2:47" x14ac:dyDescent="0.2">
      <c r="B21" t="s">
        <v>723</v>
      </c>
      <c r="C21">
        <v>1</v>
      </c>
      <c r="D21" t="s">
        <v>208</v>
      </c>
      <c r="E21" t="s">
        <v>3</v>
      </c>
      <c r="F21" t="s">
        <v>706</v>
      </c>
      <c r="G21" t="s">
        <v>3</v>
      </c>
      <c r="H21">
        <v>21132</v>
      </c>
      <c r="I21">
        <v>21132</v>
      </c>
      <c r="J21">
        <v>0</v>
      </c>
      <c r="K21">
        <v>21132</v>
      </c>
      <c r="L21">
        <v>0</v>
      </c>
      <c r="M21">
        <v>0</v>
      </c>
      <c r="N21">
        <v>0</v>
      </c>
      <c r="O21" t="s">
        <v>707</v>
      </c>
      <c r="P21" t="s">
        <v>3</v>
      </c>
      <c r="Q21" t="s">
        <v>708</v>
      </c>
      <c r="R21" t="s">
        <v>3</v>
      </c>
      <c r="S21" t="s">
        <v>3</v>
      </c>
      <c r="T21" t="s">
        <v>3</v>
      </c>
      <c r="U21">
        <v>0</v>
      </c>
      <c r="V21">
        <v>0</v>
      </c>
      <c r="W21">
        <v>0</v>
      </c>
      <c r="X21">
        <v>0</v>
      </c>
      <c r="Y21" t="s">
        <v>3</v>
      </c>
      <c r="Z21" t="s">
        <v>3</v>
      </c>
      <c r="AA21">
        <v>0</v>
      </c>
      <c r="AB21" t="s">
        <v>3</v>
      </c>
      <c r="AC21">
        <v>21132</v>
      </c>
      <c r="AD21">
        <v>1</v>
      </c>
      <c r="AE21">
        <v>0</v>
      </c>
      <c r="AF21">
        <v>3</v>
      </c>
      <c r="AG21">
        <v>3</v>
      </c>
      <c r="AH21" t="s">
        <v>192</v>
      </c>
      <c r="AI21" t="s">
        <v>209</v>
      </c>
      <c r="AJ21">
        <v>46218.631678240738</v>
      </c>
      <c r="AK21">
        <v>57249182</v>
      </c>
      <c r="AL21">
        <v>0</v>
      </c>
      <c r="AM21">
        <v>0</v>
      </c>
      <c r="AN21">
        <v>0</v>
      </c>
      <c r="AO21">
        <v>46073</v>
      </c>
      <c r="AP21">
        <v>0</v>
      </c>
      <c r="AQ21">
        <v>1</v>
      </c>
      <c r="AR21">
        <v>0</v>
      </c>
      <c r="AS21" t="s">
        <v>709</v>
      </c>
      <c r="AT21">
        <v>1</v>
      </c>
      <c r="AU21">
        <v>1</v>
      </c>
    </row>
    <row r="22" spans="2:47" x14ac:dyDescent="0.2">
      <c r="B22" t="s">
        <v>724</v>
      </c>
      <c r="C22">
        <v>0</v>
      </c>
      <c r="D22" t="s">
        <v>208</v>
      </c>
      <c r="E22" t="s">
        <v>3</v>
      </c>
      <c r="F22" t="s">
        <v>706</v>
      </c>
      <c r="G22" t="s">
        <v>3</v>
      </c>
      <c r="H22">
        <v>21132</v>
      </c>
      <c r="I22">
        <v>21132</v>
      </c>
      <c r="J22">
        <v>0</v>
      </c>
      <c r="K22">
        <v>21132</v>
      </c>
      <c r="L22">
        <v>0</v>
      </c>
      <c r="M22">
        <v>0</v>
      </c>
      <c r="N22">
        <v>0</v>
      </c>
      <c r="O22" t="s">
        <v>714</v>
      </c>
      <c r="P22" t="s">
        <v>3</v>
      </c>
      <c r="Q22" t="s">
        <v>715</v>
      </c>
      <c r="R22" t="s">
        <v>3</v>
      </c>
      <c r="S22" t="s">
        <v>3</v>
      </c>
      <c r="T22" t="s">
        <v>3</v>
      </c>
      <c r="U22">
        <v>0</v>
      </c>
      <c r="V22">
        <v>0</v>
      </c>
      <c r="W22">
        <v>0</v>
      </c>
      <c r="X22">
        <v>0</v>
      </c>
      <c r="Y22" t="s">
        <v>3</v>
      </c>
      <c r="Z22" t="s">
        <v>3</v>
      </c>
      <c r="AA22">
        <v>0</v>
      </c>
      <c r="AB22" t="s">
        <v>3</v>
      </c>
      <c r="AC22">
        <v>21132</v>
      </c>
      <c r="AD22">
        <v>1</v>
      </c>
      <c r="AE22">
        <v>0</v>
      </c>
      <c r="AF22">
        <v>3</v>
      </c>
      <c r="AG22">
        <v>3</v>
      </c>
      <c r="AH22" t="s">
        <v>192</v>
      </c>
      <c r="AI22" t="s">
        <v>209</v>
      </c>
      <c r="AJ22">
        <v>46218.631678240738</v>
      </c>
      <c r="AK22">
        <v>57249182</v>
      </c>
      <c r="AL22">
        <v>0</v>
      </c>
      <c r="AM22">
        <v>0</v>
      </c>
      <c r="AN22">
        <v>0</v>
      </c>
      <c r="AO22">
        <v>46073</v>
      </c>
      <c r="AP22">
        <v>0</v>
      </c>
      <c r="AQ22">
        <v>1</v>
      </c>
      <c r="AR22">
        <v>0</v>
      </c>
      <c r="AS22" t="s">
        <v>3</v>
      </c>
      <c r="AT22">
        <v>1</v>
      </c>
      <c r="AU22">
        <v>1</v>
      </c>
    </row>
    <row r="23" spans="2:47" x14ac:dyDescent="0.2">
      <c r="B23" t="s">
        <v>725</v>
      </c>
      <c r="C23">
        <v>0</v>
      </c>
      <c r="D23" t="s">
        <v>208</v>
      </c>
      <c r="E23" t="s">
        <v>3</v>
      </c>
      <c r="F23" t="s">
        <v>706</v>
      </c>
      <c r="G23" t="s">
        <v>3</v>
      </c>
      <c r="H23">
        <v>21132</v>
      </c>
      <c r="I23">
        <v>21132</v>
      </c>
      <c r="J23">
        <v>0</v>
      </c>
      <c r="K23">
        <v>21132</v>
      </c>
      <c r="L23">
        <v>0</v>
      </c>
      <c r="M23">
        <v>0</v>
      </c>
      <c r="N23">
        <v>0</v>
      </c>
      <c r="O23" t="s">
        <v>721</v>
      </c>
      <c r="P23" t="s">
        <v>3</v>
      </c>
      <c r="Q23" t="s">
        <v>722</v>
      </c>
      <c r="R23" t="s">
        <v>3</v>
      </c>
      <c r="S23" t="s">
        <v>3</v>
      </c>
      <c r="T23" t="s">
        <v>3</v>
      </c>
      <c r="U23">
        <v>0</v>
      </c>
      <c r="V23">
        <v>0</v>
      </c>
      <c r="W23">
        <v>0</v>
      </c>
      <c r="X23">
        <v>0</v>
      </c>
      <c r="Y23" t="s">
        <v>3</v>
      </c>
      <c r="Z23" t="s">
        <v>3</v>
      </c>
      <c r="AA23">
        <v>0</v>
      </c>
      <c r="AB23" t="s">
        <v>3</v>
      </c>
      <c r="AC23">
        <v>21132</v>
      </c>
      <c r="AD23">
        <v>1</v>
      </c>
      <c r="AE23">
        <v>0</v>
      </c>
      <c r="AF23">
        <v>3</v>
      </c>
      <c r="AG23">
        <v>3</v>
      </c>
      <c r="AH23" t="s">
        <v>192</v>
      </c>
      <c r="AI23" t="s">
        <v>209</v>
      </c>
      <c r="AJ23">
        <v>46218.631678240738</v>
      </c>
      <c r="AK23">
        <v>57249182</v>
      </c>
      <c r="AL23">
        <v>0</v>
      </c>
      <c r="AM23">
        <v>0</v>
      </c>
      <c r="AN23">
        <v>0</v>
      </c>
      <c r="AO23">
        <v>46073</v>
      </c>
      <c r="AP23">
        <v>0</v>
      </c>
      <c r="AQ23">
        <v>1</v>
      </c>
      <c r="AR23">
        <v>0</v>
      </c>
      <c r="AS23" t="s">
        <v>3</v>
      </c>
      <c r="AT23">
        <v>1</v>
      </c>
      <c r="AU23">
        <v>1</v>
      </c>
    </row>
    <row r="24" spans="2:47" x14ac:dyDescent="0.2">
      <c r="B24" t="s">
        <v>726</v>
      </c>
      <c r="C24">
        <v>0</v>
      </c>
      <c r="D24" t="s">
        <v>214</v>
      </c>
      <c r="E24" t="s">
        <v>3</v>
      </c>
      <c r="F24" t="s">
        <v>706</v>
      </c>
      <c r="G24" t="s">
        <v>3</v>
      </c>
      <c r="H24">
        <v>6960</v>
      </c>
      <c r="I24">
        <v>6960</v>
      </c>
      <c r="J24">
        <v>0</v>
      </c>
      <c r="K24">
        <v>6960</v>
      </c>
      <c r="L24">
        <v>0</v>
      </c>
      <c r="M24">
        <v>0</v>
      </c>
      <c r="N24">
        <v>0</v>
      </c>
      <c r="O24" t="s">
        <v>727</v>
      </c>
      <c r="P24" t="s">
        <v>3</v>
      </c>
      <c r="Q24" t="s">
        <v>728</v>
      </c>
      <c r="R24" t="s">
        <v>3</v>
      </c>
      <c r="S24" t="s">
        <v>3</v>
      </c>
      <c r="T24" t="s">
        <v>3</v>
      </c>
      <c r="U24">
        <v>0</v>
      </c>
      <c r="V24">
        <v>0</v>
      </c>
      <c r="W24">
        <v>0</v>
      </c>
      <c r="X24">
        <v>0</v>
      </c>
      <c r="Y24" t="s">
        <v>3</v>
      </c>
      <c r="Z24" t="s">
        <v>3</v>
      </c>
      <c r="AA24">
        <v>0</v>
      </c>
      <c r="AB24" t="s">
        <v>3</v>
      </c>
      <c r="AC24">
        <v>6960</v>
      </c>
      <c r="AD24">
        <v>1</v>
      </c>
      <c r="AE24">
        <v>0</v>
      </c>
      <c r="AF24">
        <v>3</v>
      </c>
      <c r="AG24">
        <v>3</v>
      </c>
      <c r="AH24" t="s">
        <v>192</v>
      </c>
      <c r="AI24" t="s">
        <v>215</v>
      </c>
      <c r="AJ24">
        <v>46218.631689814814</v>
      </c>
      <c r="AK24">
        <v>57249202</v>
      </c>
      <c r="AL24">
        <v>0</v>
      </c>
      <c r="AM24">
        <v>0</v>
      </c>
      <c r="AN24">
        <v>0</v>
      </c>
      <c r="AO24">
        <v>46073</v>
      </c>
      <c r="AP24">
        <v>0</v>
      </c>
      <c r="AQ24">
        <v>1</v>
      </c>
      <c r="AR24">
        <v>0</v>
      </c>
      <c r="AS24" t="s">
        <v>709</v>
      </c>
      <c r="AT24">
        <v>1</v>
      </c>
      <c r="AU24">
        <v>4</v>
      </c>
    </row>
    <row r="25" spans="2:47" x14ac:dyDescent="0.2">
      <c r="B25" t="s">
        <v>729</v>
      </c>
      <c r="C25">
        <v>0</v>
      </c>
      <c r="D25" t="s">
        <v>214</v>
      </c>
      <c r="E25" t="s">
        <v>3</v>
      </c>
      <c r="F25" t="s">
        <v>706</v>
      </c>
      <c r="G25" t="s">
        <v>3</v>
      </c>
      <c r="H25">
        <v>7526</v>
      </c>
      <c r="I25">
        <v>7526</v>
      </c>
      <c r="J25">
        <v>0</v>
      </c>
      <c r="K25">
        <v>7526</v>
      </c>
      <c r="L25">
        <v>0</v>
      </c>
      <c r="M25">
        <v>0</v>
      </c>
      <c r="N25">
        <v>0</v>
      </c>
      <c r="O25" t="s">
        <v>730</v>
      </c>
      <c r="P25" t="s">
        <v>3</v>
      </c>
      <c r="Q25" t="s">
        <v>731</v>
      </c>
      <c r="R25" t="s">
        <v>3</v>
      </c>
      <c r="S25" t="s">
        <v>3</v>
      </c>
      <c r="T25" t="s">
        <v>3</v>
      </c>
      <c r="U25">
        <v>0</v>
      </c>
      <c r="V25">
        <v>0</v>
      </c>
      <c r="W25">
        <v>0</v>
      </c>
      <c r="X25">
        <v>0</v>
      </c>
      <c r="Y25" t="s">
        <v>3</v>
      </c>
      <c r="Z25" t="s">
        <v>3</v>
      </c>
      <c r="AA25">
        <v>0</v>
      </c>
      <c r="AB25" t="s">
        <v>3</v>
      </c>
      <c r="AC25">
        <v>7526</v>
      </c>
      <c r="AD25">
        <v>1</v>
      </c>
      <c r="AE25">
        <v>0</v>
      </c>
      <c r="AF25">
        <v>3</v>
      </c>
      <c r="AG25">
        <v>3</v>
      </c>
      <c r="AH25" t="s">
        <v>192</v>
      </c>
      <c r="AI25" t="s">
        <v>215</v>
      </c>
      <c r="AJ25">
        <v>46218.631689814814</v>
      </c>
      <c r="AK25">
        <v>57249202</v>
      </c>
      <c r="AL25">
        <v>0</v>
      </c>
      <c r="AM25">
        <v>0</v>
      </c>
      <c r="AN25">
        <v>0</v>
      </c>
      <c r="AO25">
        <v>46073</v>
      </c>
      <c r="AP25">
        <v>0</v>
      </c>
      <c r="AQ25">
        <v>1</v>
      </c>
      <c r="AR25">
        <v>0</v>
      </c>
      <c r="AS25" t="s">
        <v>3</v>
      </c>
      <c r="AT25">
        <v>1</v>
      </c>
      <c r="AU25">
        <v>4</v>
      </c>
    </row>
    <row r="26" spans="2:47" x14ac:dyDescent="0.2">
      <c r="B26" t="s">
        <v>732</v>
      </c>
      <c r="C26">
        <v>1</v>
      </c>
      <c r="D26" t="s">
        <v>214</v>
      </c>
      <c r="E26" t="s">
        <v>3</v>
      </c>
      <c r="F26" t="s">
        <v>706</v>
      </c>
      <c r="G26" t="s">
        <v>3</v>
      </c>
      <c r="H26">
        <v>6442</v>
      </c>
      <c r="I26">
        <v>6442</v>
      </c>
      <c r="J26">
        <v>0</v>
      </c>
      <c r="K26">
        <v>6442</v>
      </c>
      <c r="L26">
        <v>0</v>
      </c>
      <c r="M26">
        <v>0</v>
      </c>
      <c r="N26">
        <v>0</v>
      </c>
      <c r="O26" t="s">
        <v>733</v>
      </c>
      <c r="P26" t="s">
        <v>3</v>
      </c>
      <c r="Q26" t="s">
        <v>734</v>
      </c>
      <c r="R26" t="s">
        <v>3</v>
      </c>
      <c r="S26" t="s">
        <v>3</v>
      </c>
      <c r="T26" t="s">
        <v>3</v>
      </c>
      <c r="U26">
        <v>0</v>
      </c>
      <c r="V26">
        <v>0</v>
      </c>
      <c r="W26">
        <v>0</v>
      </c>
      <c r="X26">
        <v>0</v>
      </c>
      <c r="Y26" t="s">
        <v>3</v>
      </c>
      <c r="Z26" t="s">
        <v>3</v>
      </c>
      <c r="AA26">
        <v>0</v>
      </c>
      <c r="AB26" t="s">
        <v>3</v>
      </c>
      <c r="AC26">
        <v>6442</v>
      </c>
      <c r="AD26">
        <v>1</v>
      </c>
      <c r="AE26">
        <v>0</v>
      </c>
      <c r="AF26">
        <v>3</v>
      </c>
      <c r="AG26">
        <v>3</v>
      </c>
      <c r="AH26" t="s">
        <v>192</v>
      </c>
      <c r="AI26" t="s">
        <v>215</v>
      </c>
      <c r="AJ26">
        <v>46218.631689814814</v>
      </c>
      <c r="AK26">
        <v>57249202</v>
      </c>
      <c r="AL26">
        <v>0</v>
      </c>
      <c r="AM26">
        <v>0</v>
      </c>
      <c r="AN26">
        <v>0</v>
      </c>
      <c r="AO26">
        <v>46073</v>
      </c>
      <c r="AP26">
        <v>0</v>
      </c>
      <c r="AQ26">
        <v>1</v>
      </c>
      <c r="AR26">
        <v>0</v>
      </c>
      <c r="AS26" t="s">
        <v>3</v>
      </c>
      <c r="AT26">
        <v>1</v>
      </c>
      <c r="AU26">
        <v>4</v>
      </c>
    </row>
    <row r="27" spans="2:47" x14ac:dyDescent="0.2">
      <c r="B27" t="s">
        <v>735</v>
      </c>
      <c r="C27">
        <v>1</v>
      </c>
      <c r="D27" t="s">
        <v>218</v>
      </c>
      <c r="E27" t="s">
        <v>3</v>
      </c>
      <c r="F27" t="s">
        <v>706</v>
      </c>
      <c r="G27" t="s">
        <v>3</v>
      </c>
      <c r="H27">
        <v>7116</v>
      </c>
      <c r="I27">
        <v>7116</v>
      </c>
      <c r="J27">
        <v>0</v>
      </c>
      <c r="K27">
        <v>7116</v>
      </c>
      <c r="L27">
        <v>0</v>
      </c>
      <c r="M27">
        <v>0</v>
      </c>
      <c r="N27">
        <v>0</v>
      </c>
      <c r="O27" t="s">
        <v>707</v>
      </c>
      <c r="P27" t="s">
        <v>3</v>
      </c>
      <c r="Q27" t="s">
        <v>708</v>
      </c>
      <c r="R27" t="s">
        <v>3</v>
      </c>
      <c r="S27" t="s">
        <v>3</v>
      </c>
      <c r="T27" t="s">
        <v>3</v>
      </c>
      <c r="U27">
        <v>0</v>
      </c>
      <c r="V27">
        <v>0</v>
      </c>
      <c r="W27">
        <v>0</v>
      </c>
      <c r="X27">
        <v>0</v>
      </c>
      <c r="Y27" t="s">
        <v>3</v>
      </c>
      <c r="Z27" t="s">
        <v>3</v>
      </c>
      <c r="AA27">
        <v>0</v>
      </c>
      <c r="AB27" t="s">
        <v>3</v>
      </c>
      <c r="AC27">
        <v>7116</v>
      </c>
      <c r="AD27">
        <v>1</v>
      </c>
      <c r="AE27">
        <v>0</v>
      </c>
      <c r="AF27">
        <v>3</v>
      </c>
      <c r="AG27">
        <v>3</v>
      </c>
      <c r="AH27" t="s">
        <v>192</v>
      </c>
      <c r="AI27" t="s">
        <v>219</v>
      </c>
      <c r="AJ27">
        <v>46218.631689814814</v>
      </c>
      <c r="AK27">
        <v>57249208</v>
      </c>
      <c r="AL27">
        <v>0</v>
      </c>
      <c r="AM27">
        <v>0</v>
      </c>
      <c r="AN27">
        <v>0</v>
      </c>
      <c r="AO27">
        <v>46073</v>
      </c>
      <c r="AP27">
        <v>0</v>
      </c>
      <c r="AQ27">
        <v>1</v>
      </c>
      <c r="AR27">
        <v>0</v>
      </c>
      <c r="AS27" t="s">
        <v>709</v>
      </c>
      <c r="AT27">
        <v>1</v>
      </c>
      <c r="AU27">
        <v>1</v>
      </c>
    </row>
    <row r="28" spans="2:47" x14ac:dyDescent="0.2">
      <c r="B28" t="s">
        <v>736</v>
      </c>
      <c r="C28">
        <v>0</v>
      </c>
      <c r="D28" t="s">
        <v>218</v>
      </c>
      <c r="E28" t="s">
        <v>3</v>
      </c>
      <c r="F28" t="s">
        <v>706</v>
      </c>
      <c r="G28" t="s">
        <v>3</v>
      </c>
      <c r="H28">
        <v>7759</v>
      </c>
      <c r="I28">
        <v>7759</v>
      </c>
      <c r="J28">
        <v>0</v>
      </c>
      <c r="K28">
        <v>7759</v>
      </c>
      <c r="L28">
        <v>0</v>
      </c>
      <c r="M28">
        <v>0</v>
      </c>
      <c r="N28">
        <v>0</v>
      </c>
      <c r="O28" t="s">
        <v>737</v>
      </c>
      <c r="P28" t="s">
        <v>3</v>
      </c>
      <c r="Q28" t="s">
        <v>738</v>
      </c>
      <c r="R28" t="s">
        <v>3</v>
      </c>
      <c r="S28" t="s">
        <v>3</v>
      </c>
      <c r="T28" t="s">
        <v>3</v>
      </c>
      <c r="U28">
        <v>0</v>
      </c>
      <c r="V28">
        <v>0</v>
      </c>
      <c r="W28">
        <v>0</v>
      </c>
      <c r="X28">
        <v>0</v>
      </c>
      <c r="Y28" t="s">
        <v>3</v>
      </c>
      <c r="Z28" t="s">
        <v>3</v>
      </c>
      <c r="AA28">
        <v>0</v>
      </c>
      <c r="AB28" t="s">
        <v>3</v>
      </c>
      <c r="AC28">
        <v>7759</v>
      </c>
      <c r="AD28">
        <v>1</v>
      </c>
      <c r="AE28">
        <v>0</v>
      </c>
      <c r="AF28">
        <v>3</v>
      </c>
      <c r="AG28">
        <v>3</v>
      </c>
      <c r="AH28" t="s">
        <v>192</v>
      </c>
      <c r="AI28" t="s">
        <v>219</v>
      </c>
      <c r="AJ28">
        <v>46218.631689814814</v>
      </c>
      <c r="AK28">
        <v>57249208</v>
      </c>
      <c r="AL28">
        <v>0</v>
      </c>
      <c r="AM28">
        <v>0</v>
      </c>
      <c r="AN28">
        <v>0</v>
      </c>
      <c r="AO28">
        <v>46073</v>
      </c>
      <c r="AP28">
        <v>0</v>
      </c>
      <c r="AQ28">
        <v>1</v>
      </c>
      <c r="AR28">
        <v>0</v>
      </c>
      <c r="AS28" t="s">
        <v>3</v>
      </c>
      <c r="AT28">
        <v>1</v>
      </c>
      <c r="AU28">
        <v>1</v>
      </c>
    </row>
    <row r="29" spans="2:47" x14ac:dyDescent="0.2">
      <c r="B29" t="s">
        <v>739</v>
      </c>
      <c r="C29">
        <v>0</v>
      </c>
      <c r="D29" t="s">
        <v>218</v>
      </c>
      <c r="E29" t="s">
        <v>3</v>
      </c>
      <c r="F29" t="s">
        <v>706</v>
      </c>
      <c r="G29" t="s">
        <v>3</v>
      </c>
      <c r="H29">
        <v>10614</v>
      </c>
      <c r="I29">
        <v>10614</v>
      </c>
      <c r="J29">
        <v>0</v>
      </c>
      <c r="K29">
        <v>10614</v>
      </c>
      <c r="L29">
        <v>0</v>
      </c>
      <c r="M29">
        <v>0</v>
      </c>
      <c r="N29">
        <v>0</v>
      </c>
      <c r="O29" t="s">
        <v>718</v>
      </c>
      <c r="P29" t="s">
        <v>3</v>
      </c>
      <c r="Q29" t="s">
        <v>719</v>
      </c>
      <c r="R29" t="s">
        <v>3</v>
      </c>
      <c r="S29" t="s">
        <v>3</v>
      </c>
      <c r="T29" t="s">
        <v>3</v>
      </c>
      <c r="U29">
        <v>0</v>
      </c>
      <c r="V29">
        <v>0</v>
      </c>
      <c r="W29">
        <v>0</v>
      </c>
      <c r="X29">
        <v>0</v>
      </c>
      <c r="Y29" t="s">
        <v>3</v>
      </c>
      <c r="Z29" t="s">
        <v>3</v>
      </c>
      <c r="AA29">
        <v>0</v>
      </c>
      <c r="AB29" t="s">
        <v>3</v>
      </c>
      <c r="AC29">
        <v>10614</v>
      </c>
      <c r="AD29">
        <v>1</v>
      </c>
      <c r="AE29">
        <v>0</v>
      </c>
      <c r="AF29">
        <v>3</v>
      </c>
      <c r="AG29">
        <v>3</v>
      </c>
      <c r="AH29" t="s">
        <v>192</v>
      </c>
      <c r="AI29" t="s">
        <v>219</v>
      </c>
      <c r="AJ29">
        <v>46218.631689814814</v>
      </c>
      <c r="AK29">
        <v>57249208</v>
      </c>
      <c r="AL29">
        <v>0</v>
      </c>
      <c r="AM29">
        <v>0</v>
      </c>
      <c r="AN29">
        <v>0</v>
      </c>
      <c r="AO29">
        <v>46073</v>
      </c>
      <c r="AP29">
        <v>0</v>
      </c>
      <c r="AQ29">
        <v>1</v>
      </c>
      <c r="AR29">
        <v>0</v>
      </c>
      <c r="AS29" t="s">
        <v>3</v>
      </c>
      <c r="AT29">
        <v>1</v>
      </c>
      <c r="AU29">
        <v>1</v>
      </c>
    </row>
    <row r="30" spans="2:47" x14ac:dyDescent="0.2">
      <c r="B30" t="s">
        <v>740</v>
      </c>
      <c r="C30">
        <v>0</v>
      </c>
      <c r="D30" t="s">
        <v>222</v>
      </c>
      <c r="E30" t="s">
        <v>3</v>
      </c>
      <c r="F30" t="s">
        <v>706</v>
      </c>
      <c r="G30" t="s">
        <v>3</v>
      </c>
      <c r="H30">
        <v>9286</v>
      </c>
      <c r="I30">
        <v>9286</v>
      </c>
      <c r="J30">
        <v>0</v>
      </c>
      <c r="K30">
        <v>9286</v>
      </c>
      <c r="L30">
        <v>0</v>
      </c>
      <c r="M30">
        <v>0</v>
      </c>
      <c r="N30">
        <v>0</v>
      </c>
      <c r="O30" t="s">
        <v>741</v>
      </c>
      <c r="P30" t="s">
        <v>3</v>
      </c>
      <c r="Q30" t="s">
        <v>742</v>
      </c>
      <c r="R30" t="s">
        <v>3</v>
      </c>
      <c r="S30" t="s">
        <v>3</v>
      </c>
      <c r="T30" t="s">
        <v>3</v>
      </c>
      <c r="U30">
        <v>0</v>
      </c>
      <c r="V30">
        <v>0</v>
      </c>
      <c r="W30">
        <v>0</v>
      </c>
      <c r="X30">
        <v>0</v>
      </c>
      <c r="Y30" t="s">
        <v>3</v>
      </c>
      <c r="Z30" t="s">
        <v>3</v>
      </c>
      <c r="AA30">
        <v>0</v>
      </c>
      <c r="AB30" t="s">
        <v>3</v>
      </c>
      <c r="AC30">
        <v>9286</v>
      </c>
      <c r="AD30">
        <v>1</v>
      </c>
      <c r="AE30">
        <v>0</v>
      </c>
      <c r="AF30">
        <v>3</v>
      </c>
      <c r="AG30">
        <v>3</v>
      </c>
      <c r="AH30" t="s">
        <v>192</v>
      </c>
      <c r="AI30" t="s">
        <v>223</v>
      </c>
      <c r="AJ30">
        <v>46218.631689814814</v>
      </c>
      <c r="AK30">
        <v>57249214</v>
      </c>
      <c r="AL30">
        <v>0</v>
      </c>
      <c r="AM30">
        <v>0</v>
      </c>
      <c r="AN30">
        <v>0</v>
      </c>
      <c r="AO30">
        <v>46073</v>
      </c>
      <c r="AP30">
        <v>0</v>
      </c>
      <c r="AQ30">
        <v>1</v>
      </c>
      <c r="AR30">
        <v>0</v>
      </c>
      <c r="AS30" t="s">
        <v>709</v>
      </c>
      <c r="AT30">
        <v>1</v>
      </c>
      <c r="AU30">
        <v>1</v>
      </c>
    </row>
    <row r="31" spans="2:47" x14ac:dyDescent="0.2">
      <c r="B31" t="s">
        <v>743</v>
      </c>
      <c r="C31">
        <v>1</v>
      </c>
      <c r="D31" t="s">
        <v>222</v>
      </c>
      <c r="E31" t="s">
        <v>3</v>
      </c>
      <c r="F31" t="s">
        <v>706</v>
      </c>
      <c r="G31" t="s">
        <v>3</v>
      </c>
      <c r="H31">
        <v>8306</v>
      </c>
      <c r="I31">
        <v>8306</v>
      </c>
      <c r="J31">
        <v>0</v>
      </c>
      <c r="K31">
        <v>8306</v>
      </c>
      <c r="L31">
        <v>0</v>
      </c>
      <c r="M31">
        <v>0</v>
      </c>
      <c r="N31">
        <v>0</v>
      </c>
      <c r="O31" t="s">
        <v>721</v>
      </c>
      <c r="P31" t="s">
        <v>3</v>
      </c>
      <c r="Q31" t="s">
        <v>722</v>
      </c>
      <c r="R31" t="s">
        <v>3</v>
      </c>
      <c r="S31" t="s">
        <v>3</v>
      </c>
      <c r="T31" t="s">
        <v>3</v>
      </c>
      <c r="U31">
        <v>0</v>
      </c>
      <c r="V31">
        <v>0</v>
      </c>
      <c r="W31">
        <v>0</v>
      </c>
      <c r="X31">
        <v>0</v>
      </c>
      <c r="Y31" t="s">
        <v>3</v>
      </c>
      <c r="Z31" t="s">
        <v>3</v>
      </c>
      <c r="AA31">
        <v>0</v>
      </c>
      <c r="AB31" t="s">
        <v>3</v>
      </c>
      <c r="AC31">
        <v>8306</v>
      </c>
      <c r="AD31">
        <v>1</v>
      </c>
      <c r="AE31">
        <v>0</v>
      </c>
      <c r="AF31">
        <v>3</v>
      </c>
      <c r="AG31">
        <v>3</v>
      </c>
      <c r="AH31" t="s">
        <v>192</v>
      </c>
      <c r="AI31" t="s">
        <v>223</v>
      </c>
      <c r="AJ31">
        <v>46218.631689814814</v>
      </c>
      <c r="AK31">
        <v>57249214</v>
      </c>
      <c r="AL31">
        <v>0</v>
      </c>
      <c r="AM31">
        <v>0</v>
      </c>
      <c r="AN31">
        <v>0</v>
      </c>
      <c r="AO31">
        <v>46073</v>
      </c>
      <c r="AP31">
        <v>0</v>
      </c>
      <c r="AQ31">
        <v>1</v>
      </c>
      <c r="AR31">
        <v>0</v>
      </c>
      <c r="AS31" t="s">
        <v>3</v>
      </c>
      <c r="AT31">
        <v>1</v>
      </c>
      <c r="AU31">
        <v>1</v>
      </c>
    </row>
    <row r="32" spans="2:47" x14ac:dyDescent="0.2">
      <c r="B32" t="s">
        <v>744</v>
      </c>
      <c r="C32">
        <v>0</v>
      </c>
      <c r="D32" t="s">
        <v>222</v>
      </c>
      <c r="E32" t="s">
        <v>3</v>
      </c>
      <c r="F32" t="s">
        <v>706</v>
      </c>
      <c r="G32" t="s">
        <v>3</v>
      </c>
      <c r="H32">
        <v>8306.3700000000008</v>
      </c>
      <c r="I32">
        <v>8306.3700000000008</v>
      </c>
      <c r="J32">
        <v>0</v>
      </c>
      <c r="K32">
        <v>8306.3700000000008</v>
      </c>
      <c r="L32">
        <v>0</v>
      </c>
      <c r="M32">
        <v>0</v>
      </c>
      <c r="N32">
        <v>0</v>
      </c>
      <c r="O32" t="s">
        <v>718</v>
      </c>
      <c r="P32" t="s">
        <v>3</v>
      </c>
      <c r="Q32" t="s">
        <v>719</v>
      </c>
      <c r="R32" t="s">
        <v>3</v>
      </c>
      <c r="S32" t="s">
        <v>3</v>
      </c>
      <c r="T32" t="s">
        <v>3</v>
      </c>
      <c r="U32">
        <v>0</v>
      </c>
      <c r="V32">
        <v>0</v>
      </c>
      <c r="W32">
        <v>0</v>
      </c>
      <c r="X32">
        <v>0</v>
      </c>
      <c r="Y32" t="s">
        <v>3</v>
      </c>
      <c r="Z32" t="s">
        <v>3</v>
      </c>
      <c r="AA32">
        <v>0</v>
      </c>
      <c r="AB32" t="s">
        <v>3</v>
      </c>
      <c r="AC32">
        <v>8306.3700000000008</v>
      </c>
      <c r="AD32">
        <v>1</v>
      </c>
      <c r="AE32">
        <v>0</v>
      </c>
      <c r="AF32">
        <v>3</v>
      </c>
      <c r="AG32">
        <v>3</v>
      </c>
      <c r="AH32" t="s">
        <v>192</v>
      </c>
      <c r="AI32" t="s">
        <v>223</v>
      </c>
      <c r="AJ32">
        <v>46218.631689814814</v>
      </c>
      <c r="AK32">
        <v>57249214</v>
      </c>
      <c r="AL32">
        <v>0</v>
      </c>
      <c r="AM32">
        <v>0</v>
      </c>
      <c r="AN32">
        <v>0</v>
      </c>
      <c r="AO32">
        <v>46073</v>
      </c>
      <c r="AP32">
        <v>0</v>
      </c>
      <c r="AQ32">
        <v>1</v>
      </c>
      <c r="AR32">
        <v>0</v>
      </c>
      <c r="AS32" t="s">
        <v>3</v>
      </c>
      <c r="AT32">
        <v>1</v>
      </c>
      <c r="AU32">
        <v>1</v>
      </c>
    </row>
    <row r="33" spans="2:47" x14ac:dyDescent="0.2">
      <c r="B33" t="s">
        <v>745</v>
      </c>
      <c r="C33">
        <v>1</v>
      </c>
      <c r="D33" t="s">
        <v>240</v>
      </c>
      <c r="E33" t="s">
        <v>3</v>
      </c>
      <c r="F33" t="s">
        <v>706</v>
      </c>
      <c r="G33" t="s">
        <v>3</v>
      </c>
      <c r="H33">
        <v>1552</v>
      </c>
      <c r="I33">
        <v>1552</v>
      </c>
      <c r="J33">
        <v>0</v>
      </c>
      <c r="K33">
        <v>1552</v>
      </c>
      <c r="L33">
        <v>0</v>
      </c>
      <c r="M33">
        <v>0</v>
      </c>
      <c r="N33">
        <v>0</v>
      </c>
      <c r="O33" t="s">
        <v>707</v>
      </c>
      <c r="P33" t="s">
        <v>3</v>
      </c>
      <c r="Q33" t="s">
        <v>708</v>
      </c>
      <c r="R33" t="s">
        <v>3</v>
      </c>
      <c r="S33" t="s">
        <v>3</v>
      </c>
      <c r="T33" t="s">
        <v>3</v>
      </c>
      <c r="U33">
        <v>0</v>
      </c>
      <c r="V33">
        <v>0</v>
      </c>
      <c r="W33">
        <v>0</v>
      </c>
      <c r="X33">
        <v>0</v>
      </c>
      <c r="Y33" t="s">
        <v>3</v>
      </c>
      <c r="Z33" t="s">
        <v>3</v>
      </c>
      <c r="AA33">
        <v>0</v>
      </c>
      <c r="AB33" t="s">
        <v>3</v>
      </c>
      <c r="AC33">
        <v>1552</v>
      </c>
      <c r="AD33">
        <v>1</v>
      </c>
      <c r="AE33">
        <v>0</v>
      </c>
      <c r="AF33">
        <v>3</v>
      </c>
      <c r="AG33">
        <v>3</v>
      </c>
      <c r="AH33" t="s">
        <v>192</v>
      </c>
      <c r="AI33" t="s">
        <v>241</v>
      </c>
      <c r="AJ33">
        <v>46218.631689814814</v>
      </c>
      <c r="AK33">
        <v>57249226</v>
      </c>
      <c r="AL33">
        <v>0</v>
      </c>
      <c r="AM33">
        <v>0</v>
      </c>
      <c r="AN33">
        <v>0</v>
      </c>
      <c r="AO33">
        <v>46073</v>
      </c>
      <c r="AP33">
        <v>0</v>
      </c>
      <c r="AQ33">
        <v>1</v>
      </c>
      <c r="AR33">
        <v>0</v>
      </c>
      <c r="AS33" t="s">
        <v>709</v>
      </c>
      <c r="AT33">
        <v>1</v>
      </c>
      <c r="AU33">
        <v>8</v>
      </c>
    </row>
    <row r="34" spans="2:47" x14ac:dyDescent="0.2">
      <c r="B34" t="s">
        <v>746</v>
      </c>
      <c r="C34">
        <v>0</v>
      </c>
      <c r="D34" t="s">
        <v>240</v>
      </c>
      <c r="E34" t="s">
        <v>3</v>
      </c>
      <c r="F34" t="s">
        <v>706</v>
      </c>
      <c r="G34" t="s">
        <v>3</v>
      </c>
      <c r="H34">
        <v>1552</v>
      </c>
      <c r="I34">
        <v>1552</v>
      </c>
      <c r="J34">
        <v>0</v>
      </c>
      <c r="K34">
        <v>1552</v>
      </c>
      <c r="L34">
        <v>0</v>
      </c>
      <c r="M34">
        <v>0</v>
      </c>
      <c r="N34">
        <v>0</v>
      </c>
      <c r="O34" t="s">
        <v>714</v>
      </c>
      <c r="P34" t="s">
        <v>3</v>
      </c>
      <c r="Q34" t="s">
        <v>715</v>
      </c>
      <c r="R34" t="s">
        <v>3</v>
      </c>
      <c r="S34" t="s">
        <v>3</v>
      </c>
      <c r="T34" t="s">
        <v>3</v>
      </c>
      <c r="U34">
        <v>0</v>
      </c>
      <c r="V34">
        <v>0</v>
      </c>
      <c r="W34">
        <v>0</v>
      </c>
      <c r="X34">
        <v>0</v>
      </c>
      <c r="Y34" t="s">
        <v>3</v>
      </c>
      <c r="Z34" t="s">
        <v>3</v>
      </c>
      <c r="AA34">
        <v>0</v>
      </c>
      <c r="AB34" t="s">
        <v>3</v>
      </c>
      <c r="AC34">
        <v>1552</v>
      </c>
      <c r="AD34">
        <v>1</v>
      </c>
      <c r="AE34">
        <v>0</v>
      </c>
      <c r="AF34">
        <v>3</v>
      </c>
      <c r="AG34">
        <v>3</v>
      </c>
      <c r="AH34" t="s">
        <v>192</v>
      </c>
      <c r="AI34" t="s">
        <v>241</v>
      </c>
      <c r="AJ34">
        <v>46218.631689814814</v>
      </c>
      <c r="AK34">
        <v>57249226</v>
      </c>
      <c r="AL34">
        <v>0</v>
      </c>
      <c r="AM34">
        <v>0</v>
      </c>
      <c r="AN34">
        <v>0</v>
      </c>
      <c r="AO34">
        <v>46073</v>
      </c>
      <c r="AP34">
        <v>0</v>
      </c>
      <c r="AQ34">
        <v>1</v>
      </c>
      <c r="AR34">
        <v>0</v>
      </c>
      <c r="AS34" t="s">
        <v>3</v>
      </c>
      <c r="AT34">
        <v>1</v>
      </c>
      <c r="AU34">
        <v>8</v>
      </c>
    </row>
    <row r="35" spans="2:47" x14ac:dyDescent="0.2">
      <c r="B35" t="s">
        <v>747</v>
      </c>
      <c r="C35">
        <v>0</v>
      </c>
      <c r="D35" t="s">
        <v>240</v>
      </c>
      <c r="E35" t="s">
        <v>3</v>
      </c>
      <c r="F35" t="s">
        <v>706</v>
      </c>
      <c r="G35" t="s">
        <v>3</v>
      </c>
      <c r="H35">
        <v>1552</v>
      </c>
      <c r="I35">
        <v>1552</v>
      </c>
      <c r="J35">
        <v>0</v>
      </c>
      <c r="K35">
        <v>1552</v>
      </c>
      <c r="L35">
        <v>0</v>
      </c>
      <c r="M35">
        <v>0</v>
      </c>
      <c r="N35">
        <v>0</v>
      </c>
      <c r="O35" t="s">
        <v>721</v>
      </c>
      <c r="P35" t="s">
        <v>3</v>
      </c>
      <c r="Q35" t="s">
        <v>722</v>
      </c>
      <c r="R35" t="s">
        <v>3</v>
      </c>
      <c r="S35" t="s">
        <v>3</v>
      </c>
      <c r="T35" t="s">
        <v>3</v>
      </c>
      <c r="U35">
        <v>0</v>
      </c>
      <c r="V35">
        <v>0</v>
      </c>
      <c r="W35">
        <v>0</v>
      </c>
      <c r="X35">
        <v>0</v>
      </c>
      <c r="Y35" t="s">
        <v>3</v>
      </c>
      <c r="Z35" t="s">
        <v>3</v>
      </c>
      <c r="AA35">
        <v>0</v>
      </c>
      <c r="AB35" t="s">
        <v>3</v>
      </c>
      <c r="AC35">
        <v>1552</v>
      </c>
      <c r="AD35">
        <v>1</v>
      </c>
      <c r="AE35">
        <v>0</v>
      </c>
      <c r="AF35">
        <v>3</v>
      </c>
      <c r="AG35">
        <v>3</v>
      </c>
      <c r="AH35" t="s">
        <v>192</v>
      </c>
      <c r="AI35" t="s">
        <v>241</v>
      </c>
      <c r="AJ35">
        <v>46218.631689814814</v>
      </c>
      <c r="AK35">
        <v>57249226</v>
      </c>
      <c r="AL35">
        <v>0</v>
      </c>
      <c r="AM35">
        <v>0</v>
      </c>
      <c r="AN35">
        <v>0</v>
      </c>
      <c r="AO35">
        <v>46073</v>
      </c>
      <c r="AP35">
        <v>0</v>
      </c>
      <c r="AQ35">
        <v>1</v>
      </c>
      <c r="AR35">
        <v>0</v>
      </c>
      <c r="AS35" t="s">
        <v>3</v>
      </c>
      <c r="AT35">
        <v>1</v>
      </c>
      <c r="AU35">
        <v>8</v>
      </c>
    </row>
    <row r="36" spans="2:47" x14ac:dyDescent="0.2">
      <c r="B36" t="s">
        <v>748</v>
      </c>
      <c r="C36">
        <v>1</v>
      </c>
      <c r="D36" t="s">
        <v>245</v>
      </c>
      <c r="E36" t="s">
        <v>3</v>
      </c>
      <c r="F36" t="s">
        <v>706</v>
      </c>
      <c r="G36" t="s">
        <v>3</v>
      </c>
      <c r="H36">
        <v>1296</v>
      </c>
      <c r="I36">
        <v>1296</v>
      </c>
      <c r="J36">
        <v>0</v>
      </c>
      <c r="K36">
        <v>1296</v>
      </c>
      <c r="L36">
        <v>0</v>
      </c>
      <c r="M36">
        <v>0</v>
      </c>
      <c r="N36">
        <v>0</v>
      </c>
      <c r="O36" t="s">
        <v>707</v>
      </c>
      <c r="P36" t="s">
        <v>3</v>
      </c>
      <c r="Q36" t="s">
        <v>708</v>
      </c>
      <c r="R36" t="s">
        <v>3</v>
      </c>
      <c r="S36" t="s">
        <v>3</v>
      </c>
      <c r="T36" t="s">
        <v>3</v>
      </c>
      <c r="U36">
        <v>0</v>
      </c>
      <c r="V36">
        <v>0</v>
      </c>
      <c r="W36">
        <v>0</v>
      </c>
      <c r="X36">
        <v>0</v>
      </c>
      <c r="Y36" t="s">
        <v>3</v>
      </c>
      <c r="Z36" t="s">
        <v>3</v>
      </c>
      <c r="AA36">
        <v>0</v>
      </c>
      <c r="AB36" t="s">
        <v>3</v>
      </c>
      <c r="AC36">
        <v>1296</v>
      </c>
      <c r="AD36">
        <v>1</v>
      </c>
      <c r="AE36">
        <v>0</v>
      </c>
      <c r="AF36">
        <v>3</v>
      </c>
      <c r="AG36">
        <v>3</v>
      </c>
      <c r="AH36" t="s">
        <v>192</v>
      </c>
      <c r="AI36" t="s">
        <v>246</v>
      </c>
      <c r="AJ36">
        <v>46218.631689814814</v>
      </c>
      <c r="AK36">
        <v>57249240</v>
      </c>
      <c r="AL36">
        <v>0</v>
      </c>
      <c r="AM36">
        <v>0</v>
      </c>
      <c r="AN36">
        <v>0</v>
      </c>
      <c r="AO36">
        <v>46073</v>
      </c>
      <c r="AP36">
        <v>0</v>
      </c>
      <c r="AQ36">
        <v>1</v>
      </c>
      <c r="AR36">
        <v>0</v>
      </c>
      <c r="AS36" t="s">
        <v>709</v>
      </c>
      <c r="AT36">
        <v>1</v>
      </c>
      <c r="AU36">
        <v>4</v>
      </c>
    </row>
    <row r="37" spans="2:47" x14ac:dyDescent="0.2">
      <c r="B37" t="s">
        <v>749</v>
      </c>
      <c r="C37">
        <v>0</v>
      </c>
      <c r="D37" t="s">
        <v>245</v>
      </c>
      <c r="E37" t="s">
        <v>3</v>
      </c>
      <c r="F37" t="s">
        <v>706</v>
      </c>
      <c r="G37" t="s">
        <v>3</v>
      </c>
      <c r="H37">
        <v>1296</v>
      </c>
      <c r="I37">
        <v>1296</v>
      </c>
      <c r="J37">
        <v>0</v>
      </c>
      <c r="K37">
        <v>1296</v>
      </c>
      <c r="L37">
        <v>0</v>
      </c>
      <c r="M37">
        <v>0</v>
      </c>
      <c r="N37">
        <v>0</v>
      </c>
      <c r="O37" t="s">
        <v>737</v>
      </c>
      <c r="P37" t="s">
        <v>3</v>
      </c>
      <c r="Q37" t="s">
        <v>738</v>
      </c>
      <c r="R37" t="s">
        <v>3</v>
      </c>
      <c r="S37" t="s">
        <v>3</v>
      </c>
      <c r="T37" t="s">
        <v>3</v>
      </c>
      <c r="U37">
        <v>0</v>
      </c>
      <c r="V37">
        <v>0</v>
      </c>
      <c r="W37">
        <v>0</v>
      </c>
      <c r="X37">
        <v>0</v>
      </c>
      <c r="Y37" t="s">
        <v>3</v>
      </c>
      <c r="Z37" t="s">
        <v>3</v>
      </c>
      <c r="AA37">
        <v>0</v>
      </c>
      <c r="AB37" t="s">
        <v>3</v>
      </c>
      <c r="AC37">
        <v>1296</v>
      </c>
      <c r="AD37">
        <v>1</v>
      </c>
      <c r="AE37">
        <v>0</v>
      </c>
      <c r="AF37">
        <v>3</v>
      </c>
      <c r="AG37">
        <v>3</v>
      </c>
      <c r="AH37" t="s">
        <v>192</v>
      </c>
      <c r="AI37" t="s">
        <v>246</v>
      </c>
      <c r="AJ37">
        <v>46218.631689814814</v>
      </c>
      <c r="AK37">
        <v>57249240</v>
      </c>
      <c r="AL37">
        <v>0</v>
      </c>
      <c r="AM37">
        <v>0</v>
      </c>
      <c r="AN37">
        <v>0</v>
      </c>
      <c r="AO37">
        <v>46073</v>
      </c>
      <c r="AP37">
        <v>0</v>
      </c>
      <c r="AQ37">
        <v>1</v>
      </c>
      <c r="AR37">
        <v>0</v>
      </c>
      <c r="AS37" t="s">
        <v>3</v>
      </c>
      <c r="AT37">
        <v>1</v>
      </c>
      <c r="AU37">
        <v>4</v>
      </c>
    </row>
    <row r="38" spans="2:47" x14ac:dyDescent="0.2">
      <c r="B38" t="s">
        <v>750</v>
      </c>
      <c r="C38">
        <v>0</v>
      </c>
      <c r="D38" t="s">
        <v>245</v>
      </c>
      <c r="E38" t="s">
        <v>3</v>
      </c>
      <c r="F38" t="s">
        <v>706</v>
      </c>
      <c r="G38" t="s">
        <v>3</v>
      </c>
      <c r="H38">
        <v>1296</v>
      </c>
      <c r="I38">
        <v>1296</v>
      </c>
      <c r="J38">
        <v>0</v>
      </c>
      <c r="K38">
        <v>1296</v>
      </c>
      <c r="L38">
        <v>0</v>
      </c>
      <c r="M38">
        <v>0</v>
      </c>
      <c r="N38">
        <v>0</v>
      </c>
      <c r="O38" t="s">
        <v>721</v>
      </c>
      <c r="P38" t="s">
        <v>3</v>
      </c>
      <c r="Q38" t="s">
        <v>722</v>
      </c>
      <c r="R38" t="s">
        <v>3</v>
      </c>
      <c r="S38" t="s">
        <v>3</v>
      </c>
      <c r="T38" t="s">
        <v>3</v>
      </c>
      <c r="U38">
        <v>0</v>
      </c>
      <c r="V38">
        <v>0</v>
      </c>
      <c r="W38">
        <v>0</v>
      </c>
      <c r="X38">
        <v>0</v>
      </c>
      <c r="Y38" t="s">
        <v>3</v>
      </c>
      <c r="Z38" t="s">
        <v>3</v>
      </c>
      <c r="AA38">
        <v>0</v>
      </c>
      <c r="AB38" t="s">
        <v>3</v>
      </c>
      <c r="AC38">
        <v>1296</v>
      </c>
      <c r="AD38">
        <v>1</v>
      </c>
      <c r="AE38">
        <v>0</v>
      </c>
      <c r="AF38">
        <v>3</v>
      </c>
      <c r="AG38">
        <v>3</v>
      </c>
      <c r="AH38" t="s">
        <v>192</v>
      </c>
      <c r="AI38" t="s">
        <v>246</v>
      </c>
      <c r="AJ38">
        <v>46218.631689814814</v>
      </c>
      <c r="AK38">
        <v>57249240</v>
      </c>
      <c r="AL38">
        <v>0</v>
      </c>
      <c r="AM38">
        <v>0</v>
      </c>
      <c r="AN38">
        <v>0</v>
      </c>
      <c r="AO38">
        <v>46073</v>
      </c>
      <c r="AP38">
        <v>0</v>
      </c>
      <c r="AQ38">
        <v>1</v>
      </c>
      <c r="AR38">
        <v>0</v>
      </c>
      <c r="AS38" t="s">
        <v>3</v>
      </c>
      <c r="AT38">
        <v>1</v>
      </c>
      <c r="AU38">
        <v>4</v>
      </c>
    </row>
    <row r="39" spans="2:47" x14ac:dyDescent="0.2">
      <c r="B39" t="s">
        <v>751</v>
      </c>
      <c r="C39">
        <v>1</v>
      </c>
      <c r="D39" t="s">
        <v>260</v>
      </c>
      <c r="E39" t="s">
        <v>3</v>
      </c>
      <c r="F39" t="s">
        <v>706</v>
      </c>
      <c r="G39" t="s">
        <v>3</v>
      </c>
      <c r="H39">
        <v>818</v>
      </c>
      <c r="I39">
        <v>818</v>
      </c>
      <c r="J39">
        <v>0</v>
      </c>
      <c r="K39">
        <v>818</v>
      </c>
      <c r="L39">
        <v>0</v>
      </c>
      <c r="M39">
        <v>0</v>
      </c>
      <c r="N39">
        <v>0</v>
      </c>
      <c r="O39" t="s">
        <v>707</v>
      </c>
      <c r="P39" t="s">
        <v>3</v>
      </c>
      <c r="Q39" t="s">
        <v>708</v>
      </c>
      <c r="R39" t="s">
        <v>3</v>
      </c>
      <c r="S39" t="s">
        <v>3</v>
      </c>
      <c r="T39" t="s">
        <v>3</v>
      </c>
      <c r="U39">
        <v>0</v>
      </c>
      <c r="V39">
        <v>0</v>
      </c>
      <c r="W39">
        <v>0</v>
      </c>
      <c r="X39">
        <v>0</v>
      </c>
      <c r="Y39" t="s">
        <v>3</v>
      </c>
      <c r="Z39" t="s">
        <v>3</v>
      </c>
      <c r="AA39">
        <v>0</v>
      </c>
      <c r="AB39" t="s">
        <v>3</v>
      </c>
      <c r="AC39">
        <v>818</v>
      </c>
      <c r="AD39">
        <v>1</v>
      </c>
      <c r="AE39">
        <v>0</v>
      </c>
      <c r="AF39">
        <v>3</v>
      </c>
      <c r="AG39">
        <v>3</v>
      </c>
      <c r="AH39" t="s">
        <v>192</v>
      </c>
      <c r="AI39" t="s">
        <v>261</v>
      </c>
      <c r="AJ39">
        <v>46218.631689814814</v>
      </c>
      <c r="AK39">
        <v>57249269</v>
      </c>
      <c r="AL39">
        <v>0</v>
      </c>
      <c r="AM39">
        <v>0</v>
      </c>
      <c r="AN39">
        <v>0</v>
      </c>
      <c r="AO39">
        <v>46073</v>
      </c>
      <c r="AP39">
        <v>0</v>
      </c>
      <c r="AQ39">
        <v>1</v>
      </c>
      <c r="AR39">
        <v>0</v>
      </c>
      <c r="AS39" t="s">
        <v>709</v>
      </c>
      <c r="AT39">
        <v>1</v>
      </c>
      <c r="AU39">
        <v>4</v>
      </c>
    </row>
    <row r="40" spans="2:47" x14ac:dyDescent="0.2">
      <c r="B40" t="s">
        <v>752</v>
      </c>
      <c r="C40">
        <v>0</v>
      </c>
      <c r="D40" t="s">
        <v>260</v>
      </c>
      <c r="E40" t="s">
        <v>3</v>
      </c>
      <c r="F40" t="s">
        <v>706</v>
      </c>
      <c r="G40" t="s">
        <v>3</v>
      </c>
      <c r="H40">
        <v>818</v>
      </c>
      <c r="I40">
        <v>818</v>
      </c>
      <c r="J40">
        <v>0</v>
      </c>
      <c r="K40">
        <v>818</v>
      </c>
      <c r="L40">
        <v>0</v>
      </c>
      <c r="M40">
        <v>0</v>
      </c>
      <c r="N40">
        <v>0</v>
      </c>
      <c r="O40" t="s">
        <v>730</v>
      </c>
      <c r="P40" t="s">
        <v>3</v>
      </c>
      <c r="Q40" t="s">
        <v>731</v>
      </c>
      <c r="R40" t="s">
        <v>3</v>
      </c>
      <c r="S40" t="s">
        <v>3</v>
      </c>
      <c r="T40" t="s">
        <v>3</v>
      </c>
      <c r="U40">
        <v>0</v>
      </c>
      <c r="V40">
        <v>0</v>
      </c>
      <c r="W40">
        <v>0</v>
      </c>
      <c r="X40">
        <v>0</v>
      </c>
      <c r="Y40" t="s">
        <v>3</v>
      </c>
      <c r="Z40" t="s">
        <v>3</v>
      </c>
      <c r="AA40">
        <v>0</v>
      </c>
      <c r="AB40" t="s">
        <v>3</v>
      </c>
      <c r="AC40">
        <v>818</v>
      </c>
      <c r="AD40">
        <v>1</v>
      </c>
      <c r="AE40">
        <v>0</v>
      </c>
      <c r="AF40">
        <v>3</v>
      </c>
      <c r="AG40">
        <v>3</v>
      </c>
      <c r="AH40" t="s">
        <v>192</v>
      </c>
      <c r="AI40" t="s">
        <v>261</v>
      </c>
      <c r="AJ40">
        <v>46218.631689814814</v>
      </c>
      <c r="AK40">
        <v>57249269</v>
      </c>
      <c r="AL40">
        <v>0</v>
      </c>
      <c r="AM40">
        <v>0</v>
      </c>
      <c r="AN40">
        <v>0</v>
      </c>
      <c r="AO40">
        <v>46073</v>
      </c>
      <c r="AP40">
        <v>0</v>
      </c>
      <c r="AQ40">
        <v>1</v>
      </c>
      <c r="AR40">
        <v>0</v>
      </c>
      <c r="AS40" t="s">
        <v>3</v>
      </c>
      <c r="AT40">
        <v>1</v>
      </c>
      <c r="AU40">
        <v>4</v>
      </c>
    </row>
    <row r="41" spans="2:47" x14ac:dyDescent="0.2">
      <c r="B41" t="s">
        <v>753</v>
      </c>
      <c r="C41">
        <v>0</v>
      </c>
      <c r="D41" t="s">
        <v>260</v>
      </c>
      <c r="E41" t="s">
        <v>3</v>
      </c>
      <c r="F41" t="s">
        <v>706</v>
      </c>
      <c r="G41" t="s">
        <v>3</v>
      </c>
      <c r="H41">
        <v>818</v>
      </c>
      <c r="I41">
        <v>818</v>
      </c>
      <c r="J41">
        <v>0</v>
      </c>
      <c r="K41">
        <v>818</v>
      </c>
      <c r="L41">
        <v>0</v>
      </c>
      <c r="M41">
        <v>0</v>
      </c>
      <c r="N41">
        <v>0</v>
      </c>
      <c r="O41" t="s">
        <v>721</v>
      </c>
      <c r="P41" t="s">
        <v>3</v>
      </c>
      <c r="Q41" t="s">
        <v>722</v>
      </c>
      <c r="R41" t="s">
        <v>3</v>
      </c>
      <c r="S41" t="s">
        <v>3</v>
      </c>
      <c r="T41" t="s">
        <v>3</v>
      </c>
      <c r="U41">
        <v>0</v>
      </c>
      <c r="V41">
        <v>0</v>
      </c>
      <c r="W41">
        <v>0</v>
      </c>
      <c r="X41">
        <v>0</v>
      </c>
      <c r="Y41" t="s">
        <v>3</v>
      </c>
      <c r="Z41" t="s">
        <v>3</v>
      </c>
      <c r="AA41">
        <v>0</v>
      </c>
      <c r="AB41" t="s">
        <v>3</v>
      </c>
      <c r="AC41">
        <v>818</v>
      </c>
      <c r="AD41">
        <v>1</v>
      </c>
      <c r="AE41">
        <v>0</v>
      </c>
      <c r="AF41">
        <v>3</v>
      </c>
      <c r="AG41">
        <v>3</v>
      </c>
      <c r="AH41" t="s">
        <v>192</v>
      </c>
      <c r="AI41" t="s">
        <v>261</v>
      </c>
      <c r="AJ41">
        <v>46218.631689814814</v>
      </c>
      <c r="AK41">
        <v>57249269</v>
      </c>
      <c r="AL41">
        <v>0</v>
      </c>
      <c r="AM41">
        <v>0</v>
      </c>
      <c r="AN41">
        <v>0</v>
      </c>
      <c r="AO41">
        <v>46073</v>
      </c>
      <c r="AP41">
        <v>0</v>
      </c>
      <c r="AQ41">
        <v>1</v>
      </c>
      <c r="AR41">
        <v>0</v>
      </c>
      <c r="AS41" t="s">
        <v>3</v>
      </c>
      <c r="AT41">
        <v>1</v>
      </c>
      <c r="AU41">
        <v>4</v>
      </c>
    </row>
    <row r="42" spans="2:47" x14ac:dyDescent="0.2">
      <c r="B42" t="s">
        <v>754</v>
      </c>
      <c r="C42">
        <v>0</v>
      </c>
      <c r="D42" t="s">
        <v>266</v>
      </c>
      <c r="E42" t="s">
        <v>3</v>
      </c>
      <c r="F42" t="s">
        <v>706</v>
      </c>
      <c r="G42" t="s">
        <v>3</v>
      </c>
      <c r="H42">
        <v>226187.34</v>
      </c>
      <c r="I42">
        <v>226187.34</v>
      </c>
      <c r="J42">
        <v>0</v>
      </c>
      <c r="K42">
        <v>226187.34</v>
      </c>
      <c r="L42">
        <v>0</v>
      </c>
      <c r="M42">
        <v>0</v>
      </c>
      <c r="N42">
        <v>0</v>
      </c>
      <c r="O42" t="s">
        <v>755</v>
      </c>
      <c r="P42" t="s">
        <v>3</v>
      </c>
      <c r="Q42" t="s">
        <v>756</v>
      </c>
      <c r="R42" t="s">
        <v>3</v>
      </c>
      <c r="S42" t="s">
        <v>3</v>
      </c>
      <c r="T42" t="s">
        <v>3</v>
      </c>
      <c r="U42">
        <v>0</v>
      </c>
      <c r="V42">
        <v>0</v>
      </c>
      <c r="W42">
        <v>0</v>
      </c>
      <c r="X42">
        <v>0</v>
      </c>
      <c r="Y42" t="s">
        <v>3</v>
      </c>
      <c r="Z42" t="s">
        <v>3</v>
      </c>
      <c r="AA42">
        <v>0</v>
      </c>
      <c r="AB42" t="s">
        <v>3</v>
      </c>
      <c r="AC42">
        <v>226187.34</v>
      </c>
      <c r="AD42">
        <v>1</v>
      </c>
      <c r="AE42">
        <v>0</v>
      </c>
      <c r="AF42">
        <v>3</v>
      </c>
      <c r="AG42">
        <v>3</v>
      </c>
      <c r="AH42" t="s">
        <v>192</v>
      </c>
      <c r="AI42" t="s">
        <v>267</v>
      </c>
      <c r="AJ42">
        <v>46218.631689814814</v>
      </c>
      <c r="AK42">
        <v>57249286</v>
      </c>
      <c r="AL42">
        <v>0</v>
      </c>
      <c r="AM42">
        <v>0</v>
      </c>
      <c r="AN42">
        <v>0</v>
      </c>
      <c r="AO42">
        <v>46073</v>
      </c>
      <c r="AP42">
        <v>195723</v>
      </c>
      <c r="AQ42">
        <v>1</v>
      </c>
      <c r="AR42">
        <v>0</v>
      </c>
      <c r="AS42" t="s">
        <v>709</v>
      </c>
      <c r="AT42">
        <v>2</v>
      </c>
      <c r="AU42">
        <v>6</v>
      </c>
    </row>
    <row r="43" spans="2:47" x14ac:dyDescent="0.2">
      <c r="B43" t="s">
        <v>757</v>
      </c>
      <c r="C43">
        <v>0</v>
      </c>
      <c r="D43" t="s">
        <v>266</v>
      </c>
      <c r="E43" t="s">
        <v>3</v>
      </c>
      <c r="F43" t="s">
        <v>706</v>
      </c>
      <c r="G43" t="s">
        <v>3</v>
      </c>
      <c r="H43">
        <v>208852.58</v>
      </c>
      <c r="I43">
        <v>208852.58</v>
      </c>
      <c r="J43">
        <v>0</v>
      </c>
      <c r="K43">
        <v>208852.58</v>
      </c>
      <c r="L43">
        <v>0</v>
      </c>
      <c r="M43">
        <v>0</v>
      </c>
      <c r="N43">
        <v>0</v>
      </c>
      <c r="O43" t="s">
        <v>758</v>
      </c>
      <c r="P43" t="s">
        <v>3</v>
      </c>
      <c r="Q43" t="s">
        <v>759</v>
      </c>
      <c r="R43" t="s">
        <v>3</v>
      </c>
      <c r="S43" t="s">
        <v>3</v>
      </c>
      <c r="T43" t="s">
        <v>3</v>
      </c>
      <c r="U43">
        <v>0</v>
      </c>
      <c r="V43">
        <v>0</v>
      </c>
      <c r="W43">
        <v>0</v>
      </c>
      <c r="X43">
        <v>0</v>
      </c>
      <c r="Y43" t="s">
        <v>3</v>
      </c>
      <c r="Z43" t="s">
        <v>3</v>
      </c>
      <c r="AA43">
        <v>0</v>
      </c>
      <c r="AB43" t="s">
        <v>3</v>
      </c>
      <c r="AC43">
        <v>208852.58</v>
      </c>
      <c r="AD43">
        <v>1</v>
      </c>
      <c r="AE43">
        <v>0</v>
      </c>
      <c r="AF43">
        <v>3</v>
      </c>
      <c r="AG43">
        <v>3</v>
      </c>
      <c r="AH43" t="s">
        <v>192</v>
      </c>
      <c r="AI43" t="s">
        <v>267</v>
      </c>
      <c r="AJ43">
        <v>46218.631689814814</v>
      </c>
      <c r="AK43">
        <v>57249286</v>
      </c>
      <c r="AL43">
        <v>0</v>
      </c>
      <c r="AM43">
        <v>0</v>
      </c>
      <c r="AN43">
        <v>0</v>
      </c>
      <c r="AO43">
        <v>46073</v>
      </c>
      <c r="AP43">
        <v>195723</v>
      </c>
      <c r="AQ43">
        <v>1</v>
      </c>
      <c r="AR43">
        <v>0</v>
      </c>
      <c r="AS43" t="s">
        <v>3</v>
      </c>
      <c r="AT43">
        <v>2</v>
      </c>
      <c r="AU43">
        <v>6</v>
      </c>
    </row>
    <row r="44" spans="2:47" x14ac:dyDescent="0.2">
      <c r="B44" t="s">
        <v>760</v>
      </c>
      <c r="C44">
        <v>0</v>
      </c>
      <c r="D44" t="s">
        <v>266</v>
      </c>
      <c r="E44" t="s">
        <v>3</v>
      </c>
      <c r="F44" t="s">
        <v>706</v>
      </c>
      <c r="G44" t="s">
        <v>3</v>
      </c>
      <c r="H44">
        <v>239261.52</v>
      </c>
      <c r="I44">
        <v>239261.52</v>
      </c>
      <c r="J44">
        <v>0</v>
      </c>
      <c r="K44">
        <v>239261.52</v>
      </c>
      <c r="L44">
        <v>0</v>
      </c>
      <c r="M44">
        <v>0</v>
      </c>
      <c r="N44">
        <v>0</v>
      </c>
      <c r="O44" t="s">
        <v>761</v>
      </c>
      <c r="P44" t="s">
        <v>3</v>
      </c>
      <c r="Q44" t="s">
        <v>762</v>
      </c>
      <c r="R44" t="s">
        <v>3</v>
      </c>
      <c r="S44" t="s">
        <v>3</v>
      </c>
      <c r="T44" t="s">
        <v>3</v>
      </c>
      <c r="U44">
        <v>0</v>
      </c>
      <c r="V44">
        <v>0</v>
      </c>
      <c r="W44">
        <v>0</v>
      </c>
      <c r="X44">
        <v>0</v>
      </c>
      <c r="Y44" t="s">
        <v>3</v>
      </c>
      <c r="Z44" t="s">
        <v>3</v>
      </c>
      <c r="AA44">
        <v>0</v>
      </c>
      <c r="AB44" t="s">
        <v>3</v>
      </c>
      <c r="AC44">
        <v>239261.52</v>
      </c>
      <c r="AD44">
        <v>1</v>
      </c>
      <c r="AE44">
        <v>0</v>
      </c>
      <c r="AF44">
        <v>3</v>
      </c>
      <c r="AG44">
        <v>3</v>
      </c>
      <c r="AH44" t="s">
        <v>192</v>
      </c>
      <c r="AI44" t="s">
        <v>267</v>
      </c>
      <c r="AJ44">
        <v>46218.631689814814</v>
      </c>
      <c r="AK44">
        <v>57249286</v>
      </c>
      <c r="AL44">
        <v>0</v>
      </c>
      <c r="AM44">
        <v>0</v>
      </c>
      <c r="AN44">
        <v>0</v>
      </c>
      <c r="AO44">
        <v>46073</v>
      </c>
      <c r="AP44">
        <v>195723</v>
      </c>
      <c r="AQ44">
        <v>1</v>
      </c>
      <c r="AR44">
        <v>0</v>
      </c>
      <c r="AS44" t="s">
        <v>3</v>
      </c>
      <c r="AT44">
        <v>2</v>
      </c>
      <c r="AU44">
        <v>6</v>
      </c>
    </row>
    <row r="45" spans="2:47" x14ac:dyDescent="0.2">
      <c r="B45" t="s">
        <v>763</v>
      </c>
      <c r="C45">
        <v>0</v>
      </c>
      <c r="D45" t="s">
        <v>270</v>
      </c>
      <c r="E45" t="s">
        <v>3</v>
      </c>
      <c r="F45" t="s">
        <v>706</v>
      </c>
      <c r="G45" t="s">
        <v>3</v>
      </c>
      <c r="H45">
        <v>192756.21</v>
      </c>
      <c r="I45">
        <v>192756.21</v>
      </c>
      <c r="J45">
        <v>0</v>
      </c>
      <c r="K45">
        <v>192756.21</v>
      </c>
      <c r="L45">
        <v>0</v>
      </c>
      <c r="M45">
        <v>0</v>
      </c>
      <c r="N45">
        <v>0</v>
      </c>
      <c r="O45" t="s">
        <v>755</v>
      </c>
      <c r="P45" t="s">
        <v>3</v>
      </c>
      <c r="Q45" t="s">
        <v>756</v>
      </c>
      <c r="R45" t="s">
        <v>3</v>
      </c>
      <c r="S45" t="s">
        <v>3</v>
      </c>
      <c r="T45" t="s">
        <v>3</v>
      </c>
      <c r="U45">
        <v>0</v>
      </c>
      <c r="V45">
        <v>0</v>
      </c>
      <c r="W45">
        <v>0</v>
      </c>
      <c r="X45">
        <v>0</v>
      </c>
      <c r="Y45" t="s">
        <v>3</v>
      </c>
      <c r="Z45" t="s">
        <v>3</v>
      </c>
      <c r="AA45">
        <v>0</v>
      </c>
      <c r="AB45" t="s">
        <v>3</v>
      </c>
      <c r="AC45">
        <v>192756.21</v>
      </c>
      <c r="AD45">
        <v>1</v>
      </c>
      <c r="AE45">
        <v>0</v>
      </c>
      <c r="AF45">
        <v>3</v>
      </c>
      <c r="AG45">
        <v>3</v>
      </c>
      <c r="AH45" t="s">
        <v>192</v>
      </c>
      <c r="AI45" t="s">
        <v>271</v>
      </c>
      <c r="AJ45">
        <v>46218.631689814814</v>
      </c>
      <c r="AK45">
        <v>57249294</v>
      </c>
      <c r="AL45">
        <v>0</v>
      </c>
      <c r="AM45">
        <v>0</v>
      </c>
      <c r="AN45">
        <v>0</v>
      </c>
      <c r="AO45">
        <v>46073</v>
      </c>
      <c r="AP45">
        <v>0</v>
      </c>
      <c r="AQ45">
        <v>1</v>
      </c>
      <c r="AR45">
        <v>0</v>
      </c>
      <c r="AS45" t="s">
        <v>709</v>
      </c>
      <c r="AT45">
        <v>1</v>
      </c>
      <c r="AU45">
        <v>2</v>
      </c>
    </row>
    <row r="46" spans="2:47" x14ac:dyDescent="0.2">
      <c r="B46" t="s">
        <v>764</v>
      </c>
      <c r="C46">
        <v>1</v>
      </c>
      <c r="D46" t="s">
        <v>270</v>
      </c>
      <c r="E46" t="s">
        <v>3</v>
      </c>
      <c r="F46" t="s">
        <v>706</v>
      </c>
      <c r="G46" t="s">
        <v>3</v>
      </c>
      <c r="H46">
        <v>177983.57</v>
      </c>
      <c r="I46">
        <v>177983.57</v>
      </c>
      <c r="J46">
        <v>0</v>
      </c>
      <c r="K46">
        <v>177983.57</v>
      </c>
      <c r="L46">
        <v>0</v>
      </c>
      <c r="M46">
        <v>0</v>
      </c>
      <c r="N46">
        <v>0</v>
      </c>
      <c r="O46" t="s">
        <v>758</v>
      </c>
      <c r="P46" t="s">
        <v>3</v>
      </c>
      <c r="Q46" t="s">
        <v>759</v>
      </c>
      <c r="R46" t="s">
        <v>3</v>
      </c>
      <c r="S46" t="s">
        <v>3</v>
      </c>
      <c r="T46" t="s">
        <v>3</v>
      </c>
      <c r="U46">
        <v>0</v>
      </c>
      <c r="V46">
        <v>0</v>
      </c>
      <c r="W46">
        <v>0</v>
      </c>
      <c r="X46">
        <v>0</v>
      </c>
      <c r="Y46" t="s">
        <v>3</v>
      </c>
      <c r="Z46" t="s">
        <v>3</v>
      </c>
      <c r="AA46">
        <v>0</v>
      </c>
      <c r="AB46" t="s">
        <v>3</v>
      </c>
      <c r="AC46">
        <v>177983.57</v>
      </c>
      <c r="AD46">
        <v>1</v>
      </c>
      <c r="AE46">
        <v>0</v>
      </c>
      <c r="AF46">
        <v>3</v>
      </c>
      <c r="AG46">
        <v>3</v>
      </c>
      <c r="AH46" t="s">
        <v>192</v>
      </c>
      <c r="AI46" t="s">
        <v>271</v>
      </c>
      <c r="AJ46">
        <v>46218.631689814814</v>
      </c>
      <c r="AK46">
        <v>57249294</v>
      </c>
      <c r="AL46">
        <v>0</v>
      </c>
      <c r="AM46">
        <v>0</v>
      </c>
      <c r="AN46">
        <v>0</v>
      </c>
      <c r="AO46">
        <v>46073</v>
      </c>
      <c r="AP46">
        <v>0</v>
      </c>
      <c r="AQ46">
        <v>1</v>
      </c>
      <c r="AR46">
        <v>0</v>
      </c>
      <c r="AS46" t="s">
        <v>3</v>
      </c>
      <c r="AT46">
        <v>1</v>
      </c>
      <c r="AU46">
        <v>2</v>
      </c>
    </row>
    <row r="47" spans="2:47" x14ac:dyDescent="0.2">
      <c r="B47" t="s">
        <v>765</v>
      </c>
      <c r="C47">
        <v>0</v>
      </c>
      <c r="D47" t="s">
        <v>270</v>
      </c>
      <c r="E47" t="s">
        <v>3</v>
      </c>
      <c r="F47" t="s">
        <v>706</v>
      </c>
      <c r="G47" t="s">
        <v>3</v>
      </c>
      <c r="H47">
        <v>203897.98</v>
      </c>
      <c r="I47">
        <v>203897.98</v>
      </c>
      <c r="J47">
        <v>0</v>
      </c>
      <c r="K47">
        <v>203897.98</v>
      </c>
      <c r="L47">
        <v>0</v>
      </c>
      <c r="M47">
        <v>0</v>
      </c>
      <c r="N47">
        <v>0</v>
      </c>
      <c r="O47" t="s">
        <v>761</v>
      </c>
      <c r="P47" t="s">
        <v>3</v>
      </c>
      <c r="Q47" t="s">
        <v>762</v>
      </c>
      <c r="R47" t="s">
        <v>3</v>
      </c>
      <c r="S47" t="s">
        <v>3</v>
      </c>
      <c r="T47" t="s">
        <v>3</v>
      </c>
      <c r="U47">
        <v>0</v>
      </c>
      <c r="V47">
        <v>0</v>
      </c>
      <c r="W47">
        <v>0</v>
      </c>
      <c r="X47">
        <v>0</v>
      </c>
      <c r="Y47" t="s">
        <v>3</v>
      </c>
      <c r="Z47" t="s">
        <v>3</v>
      </c>
      <c r="AA47">
        <v>0</v>
      </c>
      <c r="AB47" t="s">
        <v>3</v>
      </c>
      <c r="AC47">
        <v>203897.98</v>
      </c>
      <c r="AD47">
        <v>1</v>
      </c>
      <c r="AE47">
        <v>0</v>
      </c>
      <c r="AF47">
        <v>3</v>
      </c>
      <c r="AG47">
        <v>3</v>
      </c>
      <c r="AH47" t="s">
        <v>192</v>
      </c>
      <c r="AI47" t="s">
        <v>271</v>
      </c>
      <c r="AJ47">
        <v>46218.631689814814</v>
      </c>
      <c r="AK47">
        <v>57249294</v>
      </c>
      <c r="AL47">
        <v>0</v>
      </c>
      <c r="AM47">
        <v>0</v>
      </c>
      <c r="AN47">
        <v>0</v>
      </c>
      <c r="AO47">
        <v>46073</v>
      </c>
      <c r="AP47">
        <v>0</v>
      </c>
      <c r="AQ47">
        <v>1</v>
      </c>
      <c r="AR47">
        <v>0</v>
      </c>
      <c r="AS47" t="s">
        <v>3</v>
      </c>
      <c r="AT47">
        <v>1</v>
      </c>
      <c r="AU47">
        <v>2</v>
      </c>
    </row>
    <row r="48" spans="2:47" x14ac:dyDescent="0.2">
      <c r="B48" t="s">
        <v>766</v>
      </c>
      <c r="C48">
        <v>0</v>
      </c>
      <c r="D48" t="s">
        <v>274</v>
      </c>
      <c r="E48" t="s">
        <v>3</v>
      </c>
      <c r="F48" t="s">
        <v>706</v>
      </c>
      <c r="G48" t="s">
        <v>3</v>
      </c>
      <c r="H48">
        <v>239108.69</v>
      </c>
      <c r="I48">
        <v>239108.69</v>
      </c>
      <c r="J48">
        <v>0</v>
      </c>
      <c r="K48">
        <v>239108.69</v>
      </c>
      <c r="L48">
        <v>0</v>
      </c>
      <c r="M48">
        <v>0</v>
      </c>
      <c r="N48">
        <v>0</v>
      </c>
      <c r="O48" t="s">
        <v>755</v>
      </c>
      <c r="P48" t="s">
        <v>3</v>
      </c>
      <c r="Q48" t="s">
        <v>756</v>
      </c>
      <c r="R48" t="s">
        <v>3</v>
      </c>
      <c r="S48" t="s">
        <v>3</v>
      </c>
      <c r="T48" t="s">
        <v>3</v>
      </c>
      <c r="U48">
        <v>0</v>
      </c>
      <c r="V48">
        <v>0</v>
      </c>
      <c r="W48">
        <v>0</v>
      </c>
      <c r="X48">
        <v>0</v>
      </c>
      <c r="Y48" t="s">
        <v>3</v>
      </c>
      <c r="Z48" t="s">
        <v>3</v>
      </c>
      <c r="AA48">
        <v>0</v>
      </c>
      <c r="AB48" t="s">
        <v>3</v>
      </c>
      <c r="AC48">
        <v>239108.69</v>
      </c>
      <c r="AD48">
        <v>1</v>
      </c>
      <c r="AE48">
        <v>0</v>
      </c>
      <c r="AF48">
        <v>3</v>
      </c>
      <c r="AG48">
        <v>3</v>
      </c>
      <c r="AH48" t="s">
        <v>192</v>
      </c>
      <c r="AI48" t="s">
        <v>275</v>
      </c>
      <c r="AJ48">
        <v>46218.631689814814</v>
      </c>
      <c r="AK48">
        <v>57249300</v>
      </c>
      <c r="AL48">
        <v>0</v>
      </c>
      <c r="AM48">
        <v>0</v>
      </c>
      <c r="AN48">
        <v>0</v>
      </c>
      <c r="AO48">
        <v>46073</v>
      </c>
      <c r="AP48">
        <v>0</v>
      </c>
      <c r="AQ48">
        <v>1</v>
      </c>
      <c r="AR48">
        <v>0</v>
      </c>
      <c r="AS48" t="s">
        <v>709</v>
      </c>
      <c r="AT48">
        <v>1</v>
      </c>
      <c r="AU48">
        <v>2</v>
      </c>
    </row>
    <row r="49" spans="2:47" x14ac:dyDescent="0.2">
      <c r="B49" t="s">
        <v>767</v>
      </c>
      <c r="C49">
        <v>1</v>
      </c>
      <c r="D49" t="s">
        <v>274</v>
      </c>
      <c r="E49" t="s">
        <v>3</v>
      </c>
      <c r="F49" t="s">
        <v>706</v>
      </c>
      <c r="G49" t="s">
        <v>3</v>
      </c>
      <c r="H49">
        <v>220783.55</v>
      </c>
      <c r="I49">
        <v>220783.55</v>
      </c>
      <c r="J49">
        <v>0</v>
      </c>
      <c r="K49">
        <v>220783.55</v>
      </c>
      <c r="L49">
        <v>0</v>
      </c>
      <c r="M49">
        <v>0</v>
      </c>
      <c r="N49">
        <v>0</v>
      </c>
      <c r="O49" t="s">
        <v>758</v>
      </c>
      <c r="P49" t="s">
        <v>3</v>
      </c>
      <c r="Q49" t="s">
        <v>759</v>
      </c>
      <c r="R49" t="s">
        <v>3</v>
      </c>
      <c r="S49" t="s">
        <v>3</v>
      </c>
      <c r="T49" t="s">
        <v>3</v>
      </c>
      <c r="U49">
        <v>0</v>
      </c>
      <c r="V49">
        <v>0</v>
      </c>
      <c r="W49">
        <v>0</v>
      </c>
      <c r="X49">
        <v>0</v>
      </c>
      <c r="Y49" t="s">
        <v>3</v>
      </c>
      <c r="Z49" t="s">
        <v>3</v>
      </c>
      <c r="AA49">
        <v>0</v>
      </c>
      <c r="AB49" t="s">
        <v>3</v>
      </c>
      <c r="AC49">
        <v>220783.55</v>
      </c>
      <c r="AD49">
        <v>1</v>
      </c>
      <c r="AE49">
        <v>0</v>
      </c>
      <c r="AF49">
        <v>3</v>
      </c>
      <c r="AG49">
        <v>3</v>
      </c>
      <c r="AH49" t="s">
        <v>192</v>
      </c>
      <c r="AI49" t="s">
        <v>275</v>
      </c>
      <c r="AJ49">
        <v>46218.631689814814</v>
      </c>
      <c r="AK49">
        <v>57249300</v>
      </c>
      <c r="AL49">
        <v>0</v>
      </c>
      <c r="AM49">
        <v>0</v>
      </c>
      <c r="AN49">
        <v>0</v>
      </c>
      <c r="AO49">
        <v>46073</v>
      </c>
      <c r="AP49">
        <v>0</v>
      </c>
      <c r="AQ49">
        <v>1</v>
      </c>
      <c r="AR49">
        <v>0</v>
      </c>
      <c r="AS49" t="s">
        <v>3</v>
      </c>
      <c r="AT49">
        <v>1</v>
      </c>
      <c r="AU49">
        <v>2</v>
      </c>
    </row>
    <row r="50" spans="2:47" x14ac:dyDescent="0.2">
      <c r="B50" t="s">
        <v>768</v>
      </c>
      <c r="C50">
        <v>0</v>
      </c>
      <c r="D50" t="s">
        <v>274</v>
      </c>
      <c r="E50" t="s">
        <v>3</v>
      </c>
      <c r="F50" t="s">
        <v>706</v>
      </c>
      <c r="G50" t="s">
        <v>3</v>
      </c>
      <c r="H50">
        <v>252929.75</v>
      </c>
      <c r="I50">
        <v>252929.75</v>
      </c>
      <c r="J50">
        <v>0</v>
      </c>
      <c r="K50">
        <v>252929.75</v>
      </c>
      <c r="L50">
        <v>0</v>
      </c>
      <c r="M50">
        <v>0</v>
      </c>
      <c r="N50">
        <v>0</v>
      </c>
      <c r="O50" t="s">
        <v>761</v>
      </c>
      <c r="P50" t="s">
        <v>3</v>
      </c>
      <c r="Q50" t="s">
        <v>762</v>
      </c>
      <c r="R50" t="s">
        <v>3</v>
      </c>
      <c r="S50" t="s">
        <v>3</v>
      </c>
      <c r="T50" t="s">
        <v>3</v>
      </c>
      <c r="U50">
        <v>0</v>
      </c>
      <c r="V50">
        <v>0</v>
      </c>
      <c r="W50">
        <v>0</v>
      </c>
      <c r="X50">
        <v>0</v>
      </c>
      <c r="Y50" t="s">
        <v>3</v>
      </c>
      <c r="Z50" t="s">
        <v>3</v>
      </c>
      <c r="AA50">
        <v>0</v>
      </c>
      <c r="AB50" t="s">
        <v>3</v>
      </c>
      <c r="AC50">
        <v>252929.75</v>
      </c>
      <c r="AD50">
        <v>1</v>
      </c>
      <c r="AE50">
        <v>0</v>
      </c>
      <c r="AF50">
        <v>3</v>
      </c>
      <c r="AG50">
        <v>3</v>
      </c>
      <c r="AH50" t="s">
        <v>192</v>
      </c>
      <c r="AI50" t="s">
        <v>275</v>
      </c>
      <c r="AJ50">
        <v>46218.631689814814</v>
      </c>
      <c r="AK50">
        <v>57249300</v>
      </c>
      <c r="AL50">
        <v>0</v>
      </c>
      <c r="AM50">
        <v>0</v>
      </c>
      <c r="AN50">
        <v>0</v>
      </c>
      <c r="AO50">
        <v>46073</v>
      </c>
      <c r="AP50">
        <v>0</v>
      </c>
      <c r="AQ50">
        <v>1</v>
      </c>
      <c r="AR50">
        <v>0</v>
      </c>
      <c r="AS50" t="s">
        <v>3</v>
      </c>
      <c r="AT50">
        <v>1</v>
      </c>
      <c r="AU50">
        <v>2</v>
      </c>
    </row>
    <row r="51" spans="2:47" x14ac:dyDescent="0.2">
      <c r="B51" t="s">
        <v>769</v>
      </c>
      <c r="C51">
        <v>0</v>
      </c>
      <c r="D51" t="s">
        <v>278</v>
      </c>
      <c r="E51" t="s">
        <v>3</v>
      </c>
      <c r="F51" t="s">
        <v>706</v>
      </c>
      <c r="G51" t="s">
        <v>3</v>
      </c>
      <c r="H51">
        <v>231704.34</v>
      </c>
      <c r="I51">
        <v>231704.34</v>
      </c>
      <c r="J51">
        <v>0</v>
      </c>
      <c r="K51">
        <v>231704.34</v>
      </c>
      <c r="L51">
        <v>0</v>
      </c>
      <c r="M51">
        <v>0</v>
      </c>
      <c r="N51">
        <v>0</v>
      </c>
      <c r="O51" t="s">
        <v>755</v>
      </c>
      <c r="P51" t="s">
        <v>3</v>
      </c>
      <c r="Q51" t="s">
        <v>756</v>
      </c>
      <c r="R51" t="s">
        <v>3</v>
      </c>
      <c r="S51" t="s">
        <v>3</v>
      </c>
      <c r="T51" t="s">
        <v>3</v>
      </c>
      <c r="U51">
        <v>0</v>
      </c>
      <c r="V51">
        <v>0</v>
      </c>
      <c r="W51">
        <v>0</v>
      </c>
      <c r="X51">
        <v>0</v>
      </c>
      <c r="Y51" t="s">
        <v>3</v>
      </c>
      <c r="Z51" t="s">
        <v>3</v>
      </c>
      <c r="AA51">
        <v>0</v>
      </c>
      <c r="AB51" t="s">
        <v>3</v>
      </c>
      <c r="AC51">
        <v>231704.34</v>
      </c>
      <c r="AD51">
        <v>1</v>
      </c>
      <c r="AE51">
        <v>0</v>
      </c>
      <c r="AF51">
        <v>3</v>
      </c>
      <c r="AG51">
        <v>3</v>
      </c>
      <c r="AH51" t="s">
        <v>192</v>
      </c>
      <c r="AI51" t="s">
        <v>279</v>
      </c>
      <c r="AJ51">
        <v>46218.631689814814</v>
      </c>
      <c r="AK51">
        <v>57249306</v>
      </c>
      <c r="AL51">
        <v>0</v>
      </c>
      <c r="AM51">
        <v>0</v>
      </c>
      <c r="AN51">
        <v>0</v>
      </c>
      <c r="AO51">
        <v>46073</v>
      </c>
      <c r="AP51">
        <v>0</v>
      </c>
      <c r="AQ51">
        <v>1</v>
      </c>
      <c r="AR51">
        <v>0</v>
      </c>
      <c r="AS51" t="s">
        <v>709</v>
      </c>
      <c r="AT51">
        <v>1</v>
      </c>
      <c r="AU51">
        <v>2</v>
      </c>
    </row>
    <row r="52" spans="2:47" x14ac:dyDescent="0.2">
      <c r="B52" t="s">
        <v>770</v>
      </c>
      <c r="C52">
        <v>1</v>
      </c>
      <c r="D52" t="s">
        <v>278</v>
      </c>
      <c r="E52" t="s">
        <v>3</v>
      </c>
      <c r="F52" t="s">
        <v>706</v>
      </c>
      <c r="G52" t="s">
        <v>3</v>
      </c>
      <c r="H52">
        <v>213946.76</v>
      </c>
      <c r="I52">
        <v>213946.76</v>
      </c>
      <c r="J52">
        <v>0</v>
      </c>
      <c r="K52">
        <v>213946.76</v>
      </c>
      <c r="L52">
        <v>0</v>
      </c>
      <c r="M52">
        <v>0</v>
      </c>
      <c r="N52">
        <v>0</v>
      </c>
      <c r="O52" t="s">
        <v>758</v>
      </c>
      <c r="P52" t="s">
        <v>3</v>
      </c>
      <c r="Q52" t="s">
        <v>759</v>
      </c>
      <c r="R52" t="s">
        <v>3</v>
      </c>
      <c r="S52" t="s">
        <v>3</v>
      </c>
      <c r="T52" t="s">
        <v>3</v>
      </c>
      <c r="U52">
        <v>0</v>
      </c>
      <c r="V52">
        <v>0</v>
      </c>
      <c r="W52">
        <v>0</v>
      </c>
      <c r="X52">
        <v>0</v>
      </c>
      <c r="Y52" t="s">
        <v>3</v>
      </c>
      <c r="Z52" t="s">
        <v>3</v>
      </c>
      <c r="AA52">
        <v>0</v>
      </c>
      <c r="AB52" t="s">
        <v>3</v>
      </c>
      <c r="AC52">
        <v>213946.76</v>
      </c>
      <c r="AD52">
        <v>1</v>
      </c>
      <c r="AE52">
        <v>0</v>
      </c>
      <c r="AF52">
        <v>3</v>
      </c>
      <c r="AG52">
        <v>3</v>
      </c>
      <c r="AH52" t="s">
        <v>192</v>
      </c>
      <c r="AI52" t="s">
        <v>279</v>
      </c>
      <c r="AJ52">
        <v>46218.631689814814</v>
      </c>
      <c r="AK52">
        <v>57249306</v>
      </c>
      <c r="AL52">
        <v>0</v>
      </c>
      <c r="AM52">
        <v>0</v>
      </c>
      <c r="AN52">
        <v>0</v>
      </c>
      <c r="AO52">
        <v>46073</v>
      </c>
      <c r="AP52">
        <v>0</v>
      </c>
      <c r="AQ52">
        <v>1</v>
      </c>
      <c r="AR52">
        <v>0</v>
      </c>
      <c r="AS52" t="s">
        <v>3</v>
      </c>
      <c r="AT52">
        <v>1</v>
      </c>
      <c r="AU52">
        <v>2</v>
      </c>
    </row>
    <row r="53" spans="2:47" x14ac:dyDescent="0.2">
      <c r="B53" t="s">
        <v>771</v>
      </c>
      <c r="C53">
        <v>0</v>
      </c>
      <c r="D53" t="s">
        <v>278</v>
      </c>
      <c r="E53" t="s">
        <v>3</v>
      </c>
      <c r="F53" t="s">
        <v>706</v>
      </c>
      <c r="G53" t="s">
        <v>3</v>
      </c>
      <c r="H53">
        <v>245097.41</v>
      </c>
      <c r="I53">
        <v>245097.41</v>
      </c>
      <c r="J53">
        <v>0</v>
      </c>
      <c r="K53">
        <v>245097.41</v>
      </c>
      <c r="L53">
        <v>0</v>
      </c>
      <c r="M53">
        <v>0</v>
      </c>
      <c r="N53">
        <v>0</v>
      </c>
      <c r="O53" t="s">
        <v>761</v>
      </c>
      <c r="P53" t="s">
        <v>3</v>
      </c>
      <c r="Q53" t="s">
        <v>762</v>
      </c>
      <c r="R53" t="s">
        <v>3</v>
      </c>
      <c r="S53" t="s">
        <v>3</v>
      </c>
      <c r="T53" t="s">
        <v>3</v>
      </c>
      <c r="U53">
        <v>0</v>
      </c>
      <c r="V53">
        <v>0</v>
      </c>
      <c r="W53">
        <v>0</v>
      </c>
      <c r="X53">
        <v>0</v>
      </c>
      <c r="Y53" t="s">
        <v>3</v>
      </c>
      <c r="Z53" t="s">
        <v>3</v>
      </c>
      <c r="AA53">
        <v>0</v>
      </c>
      <c r="AB53" t="s">
        <v>3</v>
      </c>
      <c r="AC53">
        <v>245097.41</v>
      </c>
      <c r="AD53">
        <v>1</v>
      </c>
      <c r="AE53">
        <v>0</v>
      </c>
      <c r="AF53">
        <v>3</v>
      </c>
      <c r="AG53">
        <v>3</v>
      </c>
      <c r="AH53" t="s">
        <v>192</v>
      </c>
      <c r="AI53" t="s">
        <v>279</v>
      </c>
      <c r="AJ53">
        <v>46218.631689814814</v>
      </c>
      <c r="AK53">
        <v>57249306</v>
      </c>
      <c r="AL53">
        <v>0</v>
      </c>
      <c r="AM53">
        <v>0</v>
      </c>
      <c r="AN53">
        <v>0</v>
      </c>
      <c r="AO53">
        <v>46073</v>
      </c>
      <c r="AP53">
        <v>0</v>
      </c>
      <c r="AQ53">
        <v>1</v>
      </c>
      <c r="AR53">
        <v>0</v>
      </c>
      <c r="AS53" t="s">
        <v>3</v>
      </c>
      <c r="AT53">
        <v>1</v>
      </c>
      <c r="AU53">
        <v>2</v>
      </c>
    </row>
    <row r="54" spans="2:47" x14ac:dyDescent="0.2">
      <c r="B54" t="s">
        <v>772</v>
      </c>
      <c r="C54">
        <v>1</v>
      </c>
      <c r="D54" t="s">
        <v>286</v>
      </c>
      <c r="E54" t="s">
        <v>3</v>
      </c>
      <c r="F54" t="s">
        <v>706</v>
      </c>
      <c r="G54" t="s">
        <v>3</v>
      </c>
      <c r="H54">
        <v>2530</v>
      </c>
      <c r="I54">
        <v>2530</v>
      </c>
      <c r="J54">
        <v>0</v>
      </c>
      <c r="K54">
        <v>2530</v>
      </c>
      <c r="L54">
        <v>0</v>
      </c>
      <c r="M54">
        <v>0</v>
      </c>
      <c r="N54">
        <v>0</v>
      </c>
      <c r="O54" t="s">
        <v>773</v>
      </c>
      <c r="P54" t="s">
        <v>3</v>
      </c>
      <c r="Q54" t="s">
        <v>774</v>
      </c>
      <c r="R54" t="s">
        <v>3</v>
      </c>
      <c r="S54" t="s">
        <v>3</v>
      </c>
      <c r="T54" t="s">
        <v>3</v>
      </c>
      <c r="U54">
        <v>0</v>
      </c>
      <c r="V54">
        <v>0</v>
      </c>
      <c r="W54">
        <v>0</v>
      </c>
      <c r="X54">
        <v>0</v>
      </c>
      <c r="Y54" t="s">
        <v>3</v>
      </c>
      <c r="Z54" t="s">
        <v>3</v>
      </c>
      <c r="AA54">
        <v>0</v>
      </c>
      <c r="AB54" t="s">
        <v>3</v>
      </c>
      <c r="AC54">
        <v>2530</v>
      </c>
      <c r="AD54">
        <v>1</v>
      </c>
      <c r="AE54">
        <v>0</v>
      </c>
      <c r="AF54">
        <v>3</v>
      </c>
      <c r="AG54">
        <v>3</v>
      </c>
      <c r="AH54" t="s">
        <v>192</v>
      </c>
      <c r="AI54" t="s">
        <v>287</v>
      </c>
      <c r="AJ54">
        <v>46218.631689814814</v>
      </c>
      <c r="AK54">
        <v>57249313</v>
      </c>
      <c r="AL54">
        <v>0</v>
      </c>
      <c r="AM54">
        <v>0</v>
      </c>
      <c r="AN54">
        <v>0</v>
      </c>
      <c r="AO54">
        <v>46073</v>
      </c>
      <c r="AP54">
        <v>0</v>
      </c>
      <c r="AQ54">
        <v>1</v>
      </c>
      <c r="AR54">
        <v>0</v>
      </c>
      <c r="AS54" t="s">
        <v>709</v>
      </c>
      <c r="AT54">
        <v>1</v>
      </c>
      <c r="AU54">
        <v>1</v>
      </c>
    </row>
    <row r="55" spans="2:47" x14ac:dyDescent="0.2">
      <c r="B55" t="s">
        <v>775</v>
      </c>
      <c r="C55">
        <v>0</v>
      </c>
      <c r="D55" t="s">
        <v>286</v>
      </c>
      <c r="E55" t="s">
        <v>3</v>
      </c>
      <c r="F55" t="s">
        <v>706</v>
      </c>
      <c r="G55" t="s">
        <v>3</v>
      </c>
      <c r="H55">
        <v>3450</v>
      </c>
      <c r="I55">
        <v>3450</v>
      </c>
      <c r="J55">
        <v>0</v>
      </c>
      <c r="K55">
        <v>3450</v>
      </c>
      <c r="L55">
        <v>0</v>
      </c>
      <c r="M55">
        <v>0</v>
      </c>
      <c r="N55">
        <v>0</v>
      </c>
      <c r="O55" t="s">
        <v>776</v>
      </c>
      <c r="P55" t="s">
        <v>3</v>
      </c>
      <c r="Q55" t="s">
        <v>777</v>
      </c>
      <c r="R55" t="s">
        <v>3</v>
      </c>
      <c r="S55" t="s">
        <v>3</v>
      </c>
      <c r="T55" t="s">
        <v>3</v>
      </c>
      <c r="U55">
        <v>0</v>
      </c>
      <c r="V55">
        <v>0</v>
      </c>
      <c r="W55">
        <v>0</v>
      </c>
      <c r="X55">
        <v>0</v>
      </c>
      <c r="Y55" t="s">
        <v>3</v>
      </c>
      <c r="Z55" t="s">
        <v>3</v>
      </c>
      <c r="AA55">
        <v>0</v>
      </c>
      <c r="AB55" t="s">
        <v>3</v>
      </c>
      <c r="AC55">
        <v>3450</v>
      </c>
      <c r="AD55">
        <v>1</v>
      </c>
      <c r="AE55">
        <v>0</v>
      </c>
      <c r="AF55">
        <v>3</v>
      </c>
      <c r="AG55">
        <v>3</v>
      </c>
      <c r="AH55" t="s">
        <v>192</v>
      </c>
      <c r="AI55" t="s">
        <v>287</v>
      </c>
      <c r="AJ55">
        <v>46218.631689814814</v>
      </c>
      <c r="AK55">
        <v>57249313</v>
      </c>
      <c r="AL55">
        <v>0</v>
      </c>
      <c r="AM55">
        <v>0</v>
      </c>
      <c r="AN55">
        <v>0</v>
      </c>
      <c r="AO55">
        <v>46073</v>
      </c>
      <c r="AP55">
        <v>0</v>
      </c>
      <c r="AQ55">
        <v>1</v>
      </c>
      <c r="AR55">
        <v>0</v>
      </c>
      <c r="AS55" t="s">
        <v>3</v>
      </c>
      <c r="AT55">
        <v>1</v>
      </c>
      <c r="AU55">
        <v>1</v>
      </c>
    </row>
    <row r="56" spans="2:47" x14ac:dyDescent="0.2">
      <c r="B56" t="s">
        <v>778</v>
      </c>
      <c r="C56">
        <v>0</v>
      </c>
      <c r="D56" t="s">
        <v>286</v>
      </c>
      <c r="E56" t="s">
        <v>3</v>
      </c>
      <c r="F56" t="s">
        <v>706</v>
      </c>
      <c r="G56" t="s">
        <v>3</v>
      </c>
      <c r="H56">
        <v>2601</v>
      </c>
      <c r="I56">
        <v>2601</v>
      </c>
      <c r="J56">
        <v>0</v>
      </c>
      <c r="K56">
        <v>2601</v>
      </c>
      <c r="L56">
        <v>0</v>
      </c>
      <c r="M56">
        <v>0</v>
      </c>
      <c r="N56">
        <v>0</v>
      </c>
      <c r="O56" t="s">
        <v>779</v>
      </c>
      <c r="P56" t="s">
        <v>3</v>
      </c>
      <c r="Q56" t="s">
        <v>780</v>
      </c>
      <c r="R56" t="s">
        <v>3</v>
      </c>
      <c r="S56" t="s">
        <v>3</v>
      </c>
      <c r="T56" t="s">
        <v>3</v>
      </c>
      <c r="U56">
        <v>0</v>
      </c>
      <c r="V56">
        <v>0</v>
      </c>
      <c r="W56">
        <v>0</v>
      </c>
      <c r="X56">
        <v>0</v>
      </c>
      <c r="Y56" t="s">
        <v>3</v>
      </c>
      <c r="Z56" t="s">
        <v>3</v>
      </c>
      <c r="AA56">
        <v>0</v>
      </c>
      <c r="AB56" t="s">
        <v>3</v>
      </c>
      <c r="AC56">
        <v>2601</v>
      </c>
      <c r="AD56">
        <v>1</v>
      </c>
      <c r="AE56">
        <v>0</v>
      </c>
      <c r="AF56">
        <v>3</v>
      </c>
      <c r="AG56">
        <v>3</v>
      </c>
      <c r="AH56" t="s">
        <v>192</v>
      </c>
      <c r="AI56" t="s">
        <v>287</v>
      </c>
      <c r="AJ56">
        <v>46218.631689814814</v>
      </c>
      <c r="AK56">
        <v>57249313</v>
      </c>
      <c r="AL56">
        <v>0</v>
      </c>
      <c r="AM56">
        <v>0</v>
      </c>
      <c r="AN56">
        <v>0</v>
      </c>
      <c r="AO56">
        <v>46073</v>
      </c>
      <c r="AP56">
        <v>0</v>
      </c>
      <c r="AQ56">
        <v>1</v>
      </c>
      <c r="AR56">
        <v>0</v>
      </c>
      <c r="AS56" t="s">
        <v>3</v>
      </c>
      <c r="AT56">
        <v>1</v>
      </c>
      <c r="AU56">
        <v>1</v>
      </c>
    </row>
    <row r="57" spans="2:47" x14ac:dyDescent="0.2">
      <c r="B57" t="s">
        <v>781</v>
      </c>
      <c r="C57">
        <v>0</v>
      </c>
      <c r="D57" t="s">
        <v>323</v>
      </c>
      <c r="E57" t="s">
        <v>3</v>
      </c>
      <c r="F57" t="s">
        <v>706</v>
      </c>
      <c r="G57" t="s">
        <v>3</v>
      </c>
      <c r="H57">
        <v>22200.35</v>
      </c>
      <c r="I57">
        <v>22200.35</v>
      </c>
      <c r="J57">
        <v>0</v>
      </c>
      <c r="K57">
        <v>22200.35</v>
      </c>
      <c r="L57">
        <v>0</v>
      </c>
      <c r="M57">
        <v>0</v>
      </c>
      <c r="N57">
        <v>0</v>
      </c>
      <c r="O57" t="s">
        <v>755</v>
      </c>
      <c r="P57" t="s">
        <v>3</v>
      </c>
      <c r="Q57" t="s">
        <v>756</v>
      </c>
      <c r="R57" t="s">
        <v>3</v>
      </c>
      <c r="S57" t="s">
        <v>3</v>
      </c>
      <c r="T57" t="s">
        <v>3</v>
      </c>
      <c r="U57">
        <v>0</v>
      </c>
      <c r="V57">
        <v>0</v>
      </c>
      <c r="W57">
        <v>0</v>
      </c>
      <c r="X57">
        <v>0</v>
      </c>
      <c r="Y57" t="s">
        <v>3</v>
      </c>
      <c r="Z57" t="s">
        <v>3</v>
      </c>
      <c r="AA57">
        <v>0</v>
      </c>
      <c r="AB57" t="s">
        <v>3</v>
      </c>
      <c r="AC57">
        <v>22200.35</v>
      </c>
      <c r="AD57">
        <v>1</v>
      </c>
      <c r="AE57">
        <v>0</v>
      </c>
      <c r="AF57">
        <v>3</v>
      </c>
      <c r="AG57">
        <v>3</v>
      </c>
      <c r="AH57" t="s">
        <v>192</v>
      </c>
      <c r="AI57" t="s">
        <v>324</v>
      </c>
      <c r="AJ57">
        <v>46218.631689814814</v>
      </c>
      <c r="AK57">
        <v>57249377</v>
      </c>
      <c r="AL57">
        <v>0</v>
      </c>
      <c r="AM57">
        <v>0</v>
      </c>
      <c r="AN57">
        <v>0</v>
      </c>
      <c r="AO57">
        <v>46073</v>
      </c>
      <c r="AP57">
        <v>15800</v>
      </c>
      <c r="AQ57">
        <v>1</v>
      </c>
      <c r="AR57">
        <v>0</v>
      </c>
      <c r="AS57" t="s">
        <v>709</v>
      </c>
      <c r="AT57">
        <v>1</v>
      </c>
      <c r="AU57">
        <v>4</v>
      </c>
    </row>
    <row r="58" spans="2:47" x14ac:dyDescent="0.2">
      <c r="B58" t="s">
        <v>782</v>
      </c>
      <c r="C58">
        <v>0</v>
      </c>
      <c r="D58" t="s">
        <v>323</v>
      </c>
      <c r="E58" t="s">
        <v>3</v>
      </c>
      <c r="F58" t="s">
        <v>706</v>
      </c>
      <c r="G58" t="s">
        <v>3</v>
      </c>
      <c r="H58">
        <v>20498.939999999999</v>
      </c>
      <c r="I58">
        <v>20498.939999999999</v>
      </c>
      <c r="J58">
        <v>0</v>
      </c>
      <c r="K58">
        <v>20498.939999999999</v>
      </c>
      <c r="L58">
        <v>0</v>
      </c>
      <c r="M58">
        <v>0</v>
      </c>
      <c r="N58">
        <v>0</v>
      </c>
      <c r="O58" t="s">
        <v>758</v>
      </c>
      <c r="P58" t="s">
        <v>3</v>
      </c>
      <c r="Q58" t="s">
        <v>759</v>
      </c>
      <c r="R58" t="s">
        <v>3</v>
      </c>
      <c r="S58" t="s">
        <v>3</v>
      </c>
      <c r="T58" t="s">
        <v>3</v>
      </c>
      <c r="U58">
        <v>0</v>
      </c>
      <c r="V58">
        <v>0</v>
      </c>
      <c r="W58">
        <v>0</v>
      </c>
      <c r="X58">
        <v>0</v>
      </c>
      <c r="Y58" t="s">
        <v>3</v>
      </c>
      <c r="Z58" t="s">
        <v>3</v>
      </c>
      <c r="AA58">
        <v>0</v>
      </c>
      <c r="AB58" t="s">
        <v>3</v>
      </c>
      <c r="AC58">
        <v>20498.939999999999</v>
      </c>
      <c r="AD58">
        <v>1</v>
      </c>
      <c r="AE58">
        <v>0</v>
      </c>
      <c r="AF58">
        <v>3</v>
      </c>
      <c r="AG58">
        <v>3</v>
      </c>
      <c r="AH58" t="s">
        <v>192</v>
      </c>
      <c r="AI58" t="s">
        <v>324</v>
      </c>
      <c r="AJ58">
        <v>46218.631689814814</v>
      </c>
      <c r="AK58">
        <v>57249377</v>
      </c>
      <c r="AL58">
        <v>0</v>
      </c>
      <c r="AM58">
        <v>0</v>
      </c>
      <c r="AN58">
        <v>0</v>
      </c>
      <c r="AO58">
        <v>46073</v>
      </c>
      <c r="AP58">
        <v>15800</v>
      </c>
      <c r="AQ58">
        <v>1</v>
      </c>
      <c r="AR58">
        <v>0</v>
      </c>
      <c r="AS58" t="s">
        <v>3</v>
      </c>
      <c r="AT58">
        <v>1</v>
      </c>
      <c r="AU58">
        <v>4</v>
      </c>
    </row>
    <row r="59" spans="2:47" x14ac:dyDescent="0.2">
      <c r="B59" t="s">
        <v>783</v>
      </c>
      <c r="C59">
        <v>0</v>
      </c>
      <c r="D59" t="s">
        <v>323</v>
      </c>
      <c r="E59" t="s">
        <v>3</v>
      </c>
      <c r="F59" t="s">
        <v>706</v>
      </c>
      <c r="G59" t="s">
        <v>3</v>
      </c>
      <c r="H59">
        <v>23483.59</v>
      </c>
      <c r="I59">
        <v>23483.59</v>
      </c>
      <c r="J59">
        <v>0</v>
      </c>
      <c r="K59">
        <v>23483.59</v>
      </c>
      <c r="L59">
        <v>0</v>
      </c>
      <c r="M59">
        <v>0</v>
      </c>
      <c r="N59">
        <v>0</v>
      </c>
      <c r="O59" t="s">
        <v>761</v>
      </c>
      <c r="P59" t="s">
        <v>3</v>
      </c>
      <c r="Q59" t="s">
        <v>762</v>
      </c>
      <c r="R59" t="s">
        <v>3</v>
      </c>
      <c r="S59" t="s">
        <v>3</v>
      </c>
      <c r="T59" t="s">
        <v>3</v>
      </c>
      <c r="U59">
        <v>0</v>
      </c>
      <c r="V59">
        <v>0</v>
      </c>
      <c r="W59">
        <v>0</v>
      </c>
      <c r="X59">
        <v>0</v>
      </c>
      <c r="Y59" t="s">
        <v>3</v>
      </c>
      <c r="Z59" t="s">
        <v>3</v>
      </c>
      <c r="AA59">
        <v>0</v>
      </c>
      <c r="AB59" t="s">
        <v>3</v>
      </c>
      <c r="AC59">
        <v>23483.59</v>
      </c>
      <c r="AD59">
        <v>1</v>
      </c>
      <c r="AE59">
        <v>0</v>
      </c>
      <c r="AF59">
        <v>3</v>
      </c>
      <c r="AG59">
        <v>3</v>
      </c>
      <c r="AH59" t="s">
        <v>192</v>
      </c>
      <c r="AI59" t="s">
        <v>324</v>
      </c>
      <c r="AJ59">
        <v>46218.631689814814</v>
      </c>
      <c r="AK59">
        <v>57249377</v>
      </c>
      <c r="AL59">
        <v>0</v>
      </c>
      <c r="AM59">
        <v>0</v>
      </c>
      <c r="AN59">
        <v>0</v>
      </c>
      <c r="AO59">
        <v>46073</v>
      </c>
      <c r="AP59">
        <v>15800</v>
      </c>
      <c r="AQ59">
        <v>1</v>
      </c>
      <c r="AR59">
        <v>0</v>
      </c>
      <c r="AS59" t="s">
        <v>3</v>
      </c>
      <c r="AT59">
        <v>1</v>
      </c>
      <c r="AU59">
        <v>4</v>
      </c>
    </row>
    <row r="60" spans="2:47" x14ac:dyDescent="0.2">
      <c r="B60" t="s">
        <v>784</v>
      </c>
      <c r="C60">
        <v>1</v>
      </c>
      <c r="D60" t="s">
        <v>329</v>
      </c>
      <c r="E60" t="s">
        <v>3</v>
      </c>
      <c r="F60" t="s">
        <v>706</v>
      </c>
      <c r="G60" t="s">
        <v>3</v>
      </c>
      <c r="H60">
        <v>3000</v>
      </c>
      <c r="I60">
        <v>3000</v>
      </c>
      <c r="J60">
        <v>0</v>
      </c>
      <c r="K60">
        <v>3000</v>
      </c>
      <c r="L60">
        <v>0</v>
      </c>
      <c r="M60">
        <v>0</v>
      </c>
      <c r="N60">
        <v>0</v>
      </c>
      <c r="O60" t="s">
        <v>785</v>
      </c>
      <c r="P60" t="s">
        <v>3</v>
      </c>
      <c r="Q60" t="s">
        <v>786</v>
      </c>
      <c r="R60" t="s">
        <v>3</v>
      </c>
      <c r="S60" t="s">
        <v>3</v>
      </c>
      <c r="T60" t="s">
        <v>3</v>
      </c>
      <c r="U60">
        <v>0</v>
      </c>
      <c r="V60">
        <v>0</v>
      </c>
      <c r="W60">
        <v>0</v>
      </c>
      <c r="X60">
        <v>0</v>
      </c>
      <c r="Y60" t="s">
        <v>3</v>
      </c>
      <c r="Z60" t="s">
        <v>3</v>
      </c>
      <c r="AA60">
        <v>0</v>
      </c>
      <c r="AB60" t="s">
        <v>3</v>
      </c>
      <c r="AC60">
        <v>3000</v>
      </c>
      <c r="AD60">
        <v>1</v>
      </c>
      <c r="AE60">
        <v>0</v>
      </c>
      <c r="AF60">
        <v>1</v>
      </c>
      <c r="AG60">
        <v>3</v>
      </c>
      <c r="AH60" t="s">
        <v>192</v>
      </c>
      <c r="AI60" t="s">
        <v>330</v>
      </c>
      <c r="AJ60">
        <v>46218.631689814814</v>
      </c>
      <c r="AK60">
        <v>57249397</v>
      </c>
      <c r="AL60">
        <v>0</v>
      </c>
      <c r="AM60">
        <v>0</v>
      </c>
      <c r="AN60">
        <v>0</v>
      </c>
      <c r="AO60">
        <v>46073</v>
      </c>
      <c r="AP60">
        <v>0</v>
      </c>
      <c r="AQ60">
        <v>1</v>
      </c>
      <c r="AR60">
        <v>0</v>
      </c>
      <c r="AS60" t="s">
        <v>709</v>
      </c>
      <c r="AT60">
        <v>1</v>
      </c>
      <c r="AU60">
        <v>4</v>
      </c>
    </row>
    <row r="61" spans="2:47" x14ac:dyDescent="0.2">
      <c r="B61" t="s">
        <v>787</v>
      </c>
      <c r="C61">
        <v>0</v>
      </c>
      <c r="D61" t="s">
        <v>329</v>
      </c>
      <c r="E61" t="s">
        <v>3</v>
      </c>
      <c r="F61" t="s">
        <v>706</v>
      </c>
      <c r="G61" t="s">
        <v>3</v>
      </c>
      <c r="H61">
        <v>3000</v>
      </c>
      <c r="I61">
        <v>3000</v>
      </c>
      <c r="J61">
        <v>0</v>
      </c>
      <c r="K61">
        <v>3000</v>
      </c>
      <c r="L61">
        <v>0</v>
      </c>
      <c r="M61">
        <v>0</v>
      </c>
      <c r="N61">
        <v>0</v>
      </c>
      <c r="O61" t="s">
        <v>707</v>
      </c>
      <c r="P61" t="s">
        <v>3</v>
      </c>
      <c r="Q61" t="s">
        <v>708</v>
      </c>
      <c r="R61" t="s">
        <v>3</v>
      </c>
      <c r="S61" t="s">
        <v>3</v>
      </c>
      <c r="T61" t="s">
        <v>3</v>
      </c>
      <c r="U61">
        <v>0</v>
      </c>
      <c r="V61">
        <v>0</v>
      </c>
      <c r="W61">
        <v>0</v>
      </c>
      <c r="X61">
        <v>0</v>
      </c>
      <c r="Y61" t="s">
        <v>3</v>
      </c>
      <c r="Z61" t="s">
        <v>3</v>
      </c>
      <c r="AA61">
        <v>0</v>
      </c>
      <c r="AB61" t="s">
        <v>3</v>
      </c>
      <c r="AC61">
        <v>3000</v>
      </c>
      <c r="AD61">
        <v>1</v>
      </c>
      <c r="AE61">
        <v>0</v>
      </c>
      <c r="AF61">
        <v>1</v>
      </c>
      <c r="AG61">
        <v>3</v>
      </c>
      <c r="AH61" t="s">
        <v>192</v>
      </c>
      <c r="AI61" t="s">
        <v>330</v>
      </c>
      <c r="AJ61">
        <v>46218.631689814814</v>
      </c>
      <c r="AK61">
        <v>57249397</v>
      </c>
      <c r="AL61">
        <v>0</v>
      </c>
      <c r="AM61">
        <v>0</v>
      </c>
      <c r="AN61">
        <v>0</v>
      </c>
      <c r="AO61">
        <v>46073</v>
      </c>
      <c r="AP61">
        <v>0</v>
      </c>
      <c r="AQ61">
        <v>1</v>
      </c>
      <c r="AR61">
        <v>0</v>
      </c>
      <c r="AS61" t="s">
        <v>3</v>
      </c>
      <c r="AT61">
        <v>1</v>
      </c>
      <c r="AU61">
        <v>4</v>
      </c>
    </row>
    <row r="62" spans="2:47" x14ac:dyDescent="0.2">
      <c r="B62" t="s">
        <v>788</v>
      </c>
      <c r="C62">
        <v>0</v>
      </c>
      <c r="D62" t="s">
        <v>329</v>
      </c>
      <c r="E62" t="s">
        <v>3</v>
      </c>
      <c r="F62" t="s">
        <v>706</v>
      </c>
      <c r="G62" t="s">
        <v>3</v>
      </c>
      <c r="H62">
        <v>3099.6</v>
      </c>
      <c r="I62">
        <v>3099.6</v>
      </c>
      <c r="J62">
        <v>0</v>
      </c>
      <c r="K62">
        <v>3099.6</v>
      </c>
      <c r="L62">
        <v>0</v>
      </c>
      <c r="M62">
        <v>0</v>
      </c>
      <c r="N62">
        <v>0</v>
      </c>
      <c r="O62" t="s">
        <v>789</v>
      </c>
      <c r="P62" t="s">
        <v>3</v>
      </c>
      <c r="Q62" t="s">
        <v>790</v>
      </c>
      <c r="R62" t="s">
        <v>3</v>
      </c>
      <c r="S62" t="s">
        <v>3</v>
      </c>
      <c r="T62" t="s">
        <v>3</v>
      </c>
      <c r="U62">
        <v>0</v>
      </c>
      <c r="V62">
        <v>0</v>
      </c>
      <c r="W62">
        <v>0</v>
      </c>
      <c r="X62">
        <v>0</v>
      </c>
      <c r="Y62" t="s">
        <v>3</v>
      </c>
      <c r="Z62" t="s">
        <v>3</v>
      </c>
      <c r="AA62">
        <v>0</v>
      </c>
      <c r="AB62" t="s">
        <v>3</v>
      </c>
      <c r="AC62">
        <v>3099.6</v>
      </c>
      <c r="AD62">
        <v>1</v>
      </c>
      <c r="AE62">
        <v>0</v>
      </c>
      <c r="AF62">
        <v>1</v>
      </c>
      <c r="AG62">
        <v>3</v>
      </c>
      <c r="AH62" t="s">
        <v>192</v>
      </c>
      <c r="AI62" t="s">
        <v>330</v>
      </c>
      <c r="AJ62">
        <v>46218.631689814814</v>
      </c>
      <c r="AK62">
        <v>57249397</v>
      </c>
      <c r="AL62">
        <v>0</v>
      </c>
      <c r="AM62">
        <v>0</v>
      </c>
      <c r="AN62">
        <v>0</v>
      </c>
      <c r="AO62">
        <v>46073</v>
      </c>
      <c r="AP62">
        <v>0</v>
      </c>
      <c r="AQ62">
        <v>1</v>
      </c>
      <c r="AR62">
        <v>0</v>
      </c>
      <c r="AS62" t="s">
        <v>3</v>
      </c>
      <c r="AT62">
        <v>1</v>
      </c>
      <c r="AU62">
        <v>4</v>
      </c>
    </row>
    <row r="63" spans="2:47" x14ac:dyDescent="0.2">
      <c r="B63" t="s">
        <v>791</v>
      </c>
      <c r="C63">
        <v>1</v>
      </c>
      <c r="D63" t="s">
        <v>343</v>
      </c>
      <c r="E63" t="s">
        <v>3</v>
      </c>
      <c r="F63" t="s">
        <v>706</v>
      </c>
      <c r="G63" t="s">
        <v>3</v>
      </c>
      <c r="H63">
        <v>2462.1</v>
      </c>
      <c r="I63">
        <v>2462.1</v>
      </c>
      <c r="J63">
        <v>0</v>
      </c>
      <c r="K63">
        <v>2462.1</v>
      </c>
      <c r="L63">
        <v>0</v>
      </c>
      <c r="M63">
        <v>0</v>
      </c>
      <c r="N63">
        <v>0</v>
      </c>
      <c r="O63" t="s">
        <v>707</v>
      </c>
      <c r="P63" t="s">
        <v>3</v>
      </c>
      <c r="Q63" t="s">
        <v>708</v>
      </c>
      <c r="R63" t="s">
        <v>3</v>
      </c>
      <c r="S63" t="s">
        <v>3</v>
      </c>
      <c r="T63" t="s">
        <v>3</v>
      </c>
      <c r="U63">
        <v>0</v>
      </c>
      <c r="V63">
        <v>0</v>
      </c>
      <c r="W63">
        <v>0</v>
      </c>
      <c r="X63">
        <v>0</v>
      </c>
      <c r="Y63" t="s">
        <v>3</v>
      </c>
      <c r="Z63" t="s">
        <v>3</v>
      </c>
      <c r="AA63">
        <v>0</v>
      </c>
      <c r="AB63" t="s">
        <v>3</v>
      </c>
      <c r="AC63">
        <v>2462.1</v>
      </c>
      <c r="AD63">
        <v>1</v>
      </c>
      <c r="AE63">
        <v>0</v>
      </c>
      <c r="AF63">
        <v>2</v>
      </c>
      <c r="AG63">
        <v>3</v>
      </c>
      <c r="AH63" t="s">
        <v>192</v>
      </c>
      <c r="AI63" t="s">
        <v>344</v>
      </c>
      <c r="AJ63">
        <v>46218.631701388891</v>
      </c>
      <c r="AK63">
        <v>57249440</v>
      </c>
      <c r="AL63">
        <v>0</v>
      </c>
      <c r="AM63">
        <v>0</v>
      </c>
      <c r="AN63">
        <v>0</v>
      </c>
      <c r="AO63">
        <v>46073</v>
      </c>
      <c r="AP63">
        <v>0</v>
      </c>
      <c r="AQ63">
        <v>1</v>
      </c>
      <c r="AR63">
        <v>0</v>
      </c>
      <c r="AS63" t="s">
        <v>709</v>
      </c>
      <c r="AT63">
        <v>2</v>
      </c>
      <c r="AU63">
        <v>66</v>
      </c>
    </row>
    <row r="64" spans="2:47" x14ac:dyDescent="0.2">
      <c r="B64" t="s">
        <v>792</v>
      </c>
      <c r="C64">
        <v>0</v>
      </c>
      <c r="D64" t="s">
        <v>343</v>
      </c>
      <c r="E64" t="s">
        <v>3</v>
      </c>
      <c r="F64" t="s">
        <v>706</v>
      </c>
      <c r="G64" t="s">
        <v>3</v>
      </c>
      <c r="H64">
        <v>2462.1</v>
      </c>
      <c r="I64">
        <v>2462.1</v>
      </c>
      <c r="J64">
        <v>0</v>
      </c>
      <c r="K64">
        <v>2462.1</v>
      </c>
      <c r="L64">
        <v>0</v>
      </c>
      <c r="M64">
        <v>0</v>
      </c>
      <c r="N64">
        <v>0</v>
      </c>
      <c r="O64" t="s">
        <v>737</v>
      </c>
      <c r="P64" t="s">
        <v>3</v>
      </c>
      <c r="Q64" t="s">
        <v>738</v>
      </c>
      <c r="R64" t="s">
        <v>3</v>
      </c>
      <c r="S64" t="s">
        <v>3</v>
      </c>
      <c r="T64" t="s">
        <v>3</v>
      </c>
      <c r="U64">
        <v>0</v>
      </c>
      <c r="V64">
        <v>0</v>
      </c>
      <c r="W64">
        <v>0</v>
      </c>
      <c r="X64">
        <v>0</v>
      </c>
      <c r="Y64" t="s">
        <v>3</v>
      </c>
      <c r="Z64" t="s">
        <v>3</v>
      </c>
      <c r="AA64">
        <v>0</v>
      </c>
      <c r="AB64" t="s">
        <v>3</v>
      </c>
      <c r="AC64">
        <v>2462.1</v>
      </c>
      <c r="AD64">
        <v>1</v>
      </c>
      <c r="AE64">
        <v>0</v>
      </c>
      <c r="AF64">
        <v>2</v>
      </c>
      <c r="AG64">
        <v>3</v>
      </c>
      <c r="AH64" t="s">
        <v>192</v>
      </c>
      <c r="AI64" t="s">
        <v>344</v>
      </c>
      <c r="AJ64">
        <v>46218.631701388891</v>
      </c>
      <c r="AK64">
        <v>57249440</v>
      </c>
      <c r="AL64">
        <v>0</v>
      </c>
      <c r="AM64">
        <v>0</v>
      </c>
      <c r="AN64">
        <v>0</v>
      </c>
      <c r="AO64">
        <v>46073</v>
      </c>
      <c r="AP64">
        <v>0</v>
      </c>
      <c r="AQ64">
        <v>1</v>
      </c>
      <c r="AR64">
        <v>0</v>
      </c>
      <c r="AS64" t="s">
        <v>3</v>
      </c>
      <c r="AT64">
        <v>2</v>
      </c>
      <c r="AU64">
        <v>66</v>
      </c>
    </row>
    <row r="65" spans="2:47" x14ac:dyDescent="0.2">
      <c r="B65" t="s">
        <v>793</v>
      </c>
      <c r="C65">
        <v>0</v>
      </c>
      <c r="D65" t="s">
        <v>343</v>
      </c>
      <c r="E65" t="s">
        <v>3</v>
      </c>
      <c r="F65" t="s">
        <v>706</v>
      </c>
      <c r="G65" t="s">
        <v>3</v>
      </c>
      <c r="H65">
        <v>2516.56</v>
      </c>
      <c r="I65">
        <v>2516.56</v>
      </c>
      <c r="J65">
        <v>0</v>
      </c>
      <c r="K65">
        <v>2516.56</v>
      </c>
      <c r="L65">
        <v>0</v>
      </c>
      <c r="M65">
        <v>0</v>
      </c>
      <c r="N65">
        <v>0</v>
      </c>
      <c r="O65" t="s">
        <v>794</v>
      </c>
      <c r="P65" t="s">
        <v>3</v>
      </c>
      <c r="Q65" t="s">
        <v>795</v>
      </c>
      <c r="R65" t="s">
        <v>3</v>
      </c>
      <c r="S65" t="s">
        <v>3</v>
      </c>
      <c r="T65" t="s">
        <v>3</v>
      </c>
      <c r="U65">
        <v>0</v>
      </c>
      <c r="V65">
        <v>0</v>
      </c>
      <c r="W65">
        <v>0</v>
      </c>
      <c r="X65">
        <v>0</v>
      </c>
      <c r="Y65" t="s">
        <v>3</v>
      </c>
      <c r="Z65" t="s">
        <v>3</v>
      </c>
      <c r="AA65">
        <v>0</v>
      </c>
      <c r="AB65" t="s">
        <v>3</v>
      </c>
      <c r="AC65">
        <v>2516.56</v>
      </c>
      <c r="AD65">
        <v>1</v>
      </c>
      <c r="AE65">
        <v>0</v>
      </c>
      <c r="AF65">
        <v>2</v>
      </c>
      <c r="AG65">
        <v>3</v>
      </c>
      <c r="AH65" t="s">
        <v>192</v>
      </c>
      <c r="AI65" t="s">
        <v>344</v>
      </c>
      <c r="AJ65">
        <v>46218.631701388891</v>
      </c>
      <c r="AK65">
        <v>57249440</v>
      </c>
      <c r="AL65">
        <v>0</v>
      </c>
      <c r="AM65">
        <v>0</v>
      </c>
      <c r="AN65">
        <v>0</v>
      </c>
      <c r="AO65">
        <v>46073</v>
      </c>
      <c r="AP65">
        <v>0</v>
      </c>
      <c r="AQ65">
        <v>1</v>
      </c>
      <c r="AR65">
        <v>0</v>
      </c>
      <c r="AS65" t="s">
        <v>3</v>
      </c>
      <c r="AT65">
        <v>2</v>
      </c>
      <c r="AU65">
        <v>66</v>
      </c>
    </row>
    <row r="66" spans="2:47" x14ac:dyDescent="0.2">
      <c r="B66" t="s">
        <v>796</v>
      </c>
      <c r="C66">
        <v>1</v>
      </c>
      <c r="D66" t="s">
        <v>366</v>
      </c>
      <c r="E66" t="s">
        <v>3</v>
      </c>
      <c r="F66" t="s">
        <v>706</v>
      </c>
      <c r="G66" t="s">
        <v>3</v>
      </c>
      <c r="H66">
        <v>41.83</v>
      </c>
      <c r="I66">
        <v>41.83</v>
      </c>
      <c r="J66">
        <v>0</v>
      </c>
      <c r="K66">
        <v>41.83</v>
      </c>
      <c r="L66">
        <v>0</v>
      </c>
      <c r="M66">
        <v>0</v>
      </c>
      <c r="N66">
        <v>0</v>
      </c>
      <c r="O66" t="s">
        <v>797</v>
      </c>
      <c r="P66" t="s">
        <v>3</v>
      </c>
      <c r="Q66" t="s">
        <v>798</v>
      </c>
      <c r="R66" t="s">
        <v>3</v>
      </c>
      <c r="S66" t="s">
        <v>3</v>
      </c>
      <c r="T66" t="s">
        <v>3</v>
      </c>
      <c r="U66">
        <v>0</v>
      </c>
      <c r="V66">
        <v>0</v>
      </c>
      <c r="W66">
        <v>0</v>
      </c>
      <c r="X66">
        <v>0</v>
      </c>
      <c r="Y66" t="s">
        <v>3</v>
      </c>
      <c r="Z66" t="s">
        <v>3</v>
      </c>
      <c r="AA66">
        <v>0</v>
      </c>
      <c r="AB66" t="s">
        <v>3</v>
      </c>
      <c r="AC66">
        <v>41.83</v>
      </c>
      <c r="AD66">
        <v>1</v>
      </c>
      <c r="AE66">
        <v>0</v>
      </c>
      <c r="AF66">
        <v>2</v>
      </c>
      <c r="AG66">
        <v>3</v>
      </c>
      <c r="AH66" t="s">
        <v>341</v>
      </c>
      <c r="AI66" t="s">
        <v>367</v>
      </c>
      <c r="AJ66">
        <v>46218.631701388891</v>
      </c>
      <c r="AK66">
        <v>57249510</v>
      </c>
      <c r="AL66">
        <v>0</v>
      </c>
      <c r="AM66">
        <v>0</v>
      </c>
      <c r="AN66">
        <v>0</v>
      </c>
      <c r="AO66">
        <v>46073</v>
      </c>
      <c r="AP66">
        <v>0</v>
      </c>
      <c r="AQ66">
        <v>1</v>
      </c>
      <c r="AR66">
        <v>0</v>
      </c>
      <c r="AS66" t="s">
        <v>709</v>
      </c>
      <c r="AT66">
        <v>1</v>
      </c>
      <c r="AU66">
        <v>654.84</v>
      </c>
    </row>
    <row r="67" spans="2:47" x14ac:dyDescent="0.2">
      <c r="B67" t="s">
        <v>799</v>
      </c>
      <c r="C67">
        <v>0</v>
      </c>
      <c r="D67" t="s">
        <v>366</v>
      </c>
      <c r="E67" t="s">
        <v>3</v>
      </c>
      <c r="F67" t="s">
        <v>706</v>
      </c>
      <c r="G67" t="s">
        <v>3</v>
      </c>
      <c r="H67">
        <v>43.81</v>
      </c>
      <c r="I67">
        <v>43.81</v>
      </c>
      <c r="J67">
        <v>0</v>
      </c>
      <c r="K67">
        <v>43.81</v>
      </c>
      <c r="L67">
        <v>0</v>
      </c>
      <c r="M67">
        <v>0</v>
      </c>
      <c r="N67">
        <v>0</v>
      </c>
      <c r="O67" t="s">
        <v>730</v>
      </c>
      <c r="P67" t="s">
        <v>3</v>
      </c>
      <c r="Q67" t="s">
        <v>731</v>
      </c>
      <c r="R67" t="s">
        <v>3</v>
      </c>
      <c r="S67" t="s">
        <v>3</v>
      </c>
      <c r="T67" t="s">
        <v>3</v>
      </c>
      <c r="U67">
        <v>0</v>
      </c>
      <c r="V67">
        <v>0</v>
      </c>
      <c r="W67">
        <v>0</v>
      </c>
      <c r="X67">
        <v>0</v>
      </c>
      <c r="Y67" t="s">
        <v>3</v>
      </c>
      <c r="Z67" t="s">
        <v>3</v>
      </c>
      <c r="AA67">
        <v>0</v>
      </c>
      <c r="AB67" t="s">
        <v>3</v>
      </c>
      <c r="AC67">
        <v>43.81</v>
      </c>
      <c r="AD67">
        <v>1</v>
      </c>
      <c r="AE67">
        <v>0</v>
      </c>
      <c r="AF67">
        <v>2</v>
      </c>
      <c r="AG67">
        <v>3</v>
      </c>
      <c r="AH67" t="s">
        <v>341</v>
      </c>
      <c r="AI67" t="s">
        <v>367</v>
      </c>
      <c r="AJ67">
        <v>46218.631701388891</v>
      </c>
      <c r="AK67">
        <v>57249510</v>
      </c>
      <c r="AL67">
        <v>0</v>
      </c>
      <c r="AM67">
        <v>0</v>
      </c>
      <c r="AN67">
        <v>0</v>
      </c>
      <c r="AO67">
        <v>46073</v>
      </c>
      <c r="AP67">
        <v>0</v>
      </c>
      <c r="AQ67">
        <v>1</v>
      </c>
      <c r="AR67">
        <v>0</v>
      </c>
      <c r="AS67" t="s">
        <v>3</v>
      </c>
      <c r="AT67">
        <v>1</v>
      </c>
      <c r="AU67">
        <v>654.84</v>
      </c>
    </row>
    <row r="68" spans="2:47" x14ac:dyDescent="0.2">
      <c r="B68" t="s">
        <v>800</v>
      </c>
      <c r="C68">
        <v>0</v>
      </c>
      <c r="D68" t="s">
        <v>366</v>
      </c>
      <c r="E68" t="s">
        <v>3</v>
      </c>
      <c r="F68" t="s">
        <v>706</v>
      </c>
      <c r="G68" t="s">
        <v>3</v>
      </c>
      <c r="H68">
        <v>44.66</v>
      </c>
      <c r="I68">
        <v>44.66</v>
      </c>
      <c r="J68">
        <v>0</v>
      </c>
      <c r="K68">
        <v>44.66</v>
      </c>
      <c r="L68">
        <v>0</v>
      </c>
      <c r="M68">
        <v>0</v>
      </c>
      <c r="N68">
        <v>0</v>
      </c>
      <c r="O68" t="s">
        <v>721</v>
      </c>
      <c r="P68" t="s">
        <v>3</v>
      </c>
      <c r="Q68" t="s">
        <v>722</v>
      </c>
      <c r="R68" t="s">
        <v>3</v>
      </c>
      <c r="S68" t="s">
        <v>3</v>
      </c>
      <c r="T68" t="s">
        <v>3</v>
      </c>
      <c r="U68">
        <v>0</v>
      </c>
      <c r="V68">
        <v>0</v>
      </c>
      <c r="W68">
        <v>0</v>
      </c>
      <c r="X68">
        <v>0</v>
      </c>
      <c r="Y68" t="s">
        <v>3</v>
      </c>
      <c r="Z68" t="s">
        <v>3</v>
      </c>
      <c r="AA68">
        <v>0</v>
      </c>
      <c r="AB68" t="s">
        <v>3</v>
      </c>
      <c r="AC68">
        <v>44.66</v>
      </c>
      <c r="AD68">
        <v>1</v>
      </c>
      <c r="AE68">
        <v>0</v>
      </c>
      <c r="AF68">
        <v>2</v>
      </c>
      <c r="AG68">
        <v>3</v>
      </c>
      <c r="AH68" t="s">
        <v>341</v>
      </c>
      <c r="AI68" t="s">
        <v>367</v>
      </c>
      <c r="AJ68">
        <v>46218.631701388891</v>
      </c>
      <c r="AK68">
        <v>57249510</v>
      </c>
      <c r="AL68">
        <v>0</v>
      </c>
      <c r="AM68">
        <v>0</v>
      </c>
      <c r="AN68">
        <v>0</v>
      </c>
      <c r="AO68">
        <v>46073</v>
      </c>
      <c r="AP68">
        <v>0</v>
      </c>
      <c r="AQ68">
        <v>1</v>
      </c>
      <c r="AR68">
        <v>0</v>
      </c>
      <c r="AS68" t="s">
        <v>3</v>
      </c>
      <c r="AT68">
        <v>1</v>
      </c>
      <c r="AU68">
        <v>654.84</v>
      </c>
    </row>
    <row r="69" spans="2:47" x14ac:dyDescent="0.2">
      <c r="B69" t="s">
        <v>801</v>
      </c>
      <c r="C69">
        <v>1</v>
      </c>
      <c r="D69" t="s">
        <v>397</v>
      </c>
      <c r="E69" t="s">
        <v>3</v>
      </c>
      <c r="F69" t="s">
        <v>706</v>
      </c>
      <c r="G69" t="s">
        <v>3</v>
      </c>
      <c r="H69">
        <v>136.97</v>
      </c>
      <c r="I69">
        <v>136.97</v>
      </c>
      <c r="J69">
        <v>0</v>
      </c>
      <c r="K69">
        <v>136.97</v>
      </c>
      <c r="L69">
        <v>0</v>
      </c>
      <c r="M69">
        <v>0</v>
      </c>
      <c r="N69">
        <v>0</v>
      </c>
      <c r="O69" t="s">
        <v>802</v>
      </c>
      <c r="P69" t="s">
        <v>3</v>
      </c>
      <c r="Q69" t="s">
        <v>803</v>
      </c>
      <c r="R69" t="s">
        <v>3</v>
      </c>
      <c r="S69" t="s">
        <v>3</v>
      </c>
      <c r="T69" t="s">
        <v>3</v>
      </c>
      <c r="U69">
        <v>0</v>
      </c>
      <c r="V69">
        <v>0</v>
      </c>
      <c r="W69">
        <v>0</v>
      </c>
      <c r="X69">
        <v>0</v>
      </c>
      <c r="Y69" t="s">
        <v>3</v>
      </c>
      <c r="Z69" t="s">
        <v>3</v>
      </c>
      <c r="AA69">
        <v>0</v>
      </c>
      <c r="AB69" t="s">
        <v>3</v>
      </c>
      <c r="AC69">
        <v>136.97</v>
      </c>
      <c r="AD69">
        <v>1</v>
      </c>
      <c r="AE69">
        <v>0</v>
      </c>
      <c r="AF69">
        <v>2</v>
      </c>
      <c r="AG69">
        <v>3</v>
      </c>
      <c r="AH69" t="s">
        <v>341</v>
      </c>
      <c r="AI69" t="s">
        <v>398</v>
      </c>
      <c r="AJ69">
        <v>46218.631701388891</v>
      </c>
      <c r="AK69">
        <v>57249517</v>
      </c>
      <c r="AL69">
        <v>0</v>
      </c>
      <c r="AM69">
        <v>0</v>
      </c>
      <c r="AN69">
        <v>0</v>
      </c>
      <c r="AO69">
        <v>46073</v>
      </c>
      <c r="AP69">
        <v>0</v>
      </c>
      <c r="AQ69">
        <v>1</v>
      </c>
      <c r="AR69">
        <v>0</v>
      </c>
      <c r="AS69" t="s">
        <v>709</v>
      </c>
      <c r="AT69">
        <v>1</v>
      </c>
      <c r="AU69">
        <v>4.08</v>
      </c>
    </row>
    <row r="70" spans="2:47" x14ac:dyDescent="0.2">
      <c r="B70" t="s">
        <v>804</v>
      </c>
      <c r="C70">
        <v>0</v>
      </c>
      <c r="D70" t="s">
        <v>397</v>
      </c>
      <c r="E70" t="s">
        <v>3</v>
      </c>
      <c r="F70" t="s">
        <v>706</v>
      </c>
      <c r="G70" t="s">
        <v>3</v>
      </c>
      <c r="H70">
        <v>147.29</v>
      </c>
      <c r="I70">
        <v>147.29</v>
      </c>
      <c r="J70">
        <v>0</v>
      </c>
      <c r="K70">
        <v>147.29</v>
      </c>
      <c r="L70">
        <v>0</v>
      </c>
      <c r="M70">
        <v>0</v>
      </c>
      <c r="N70">
        <v>0</v>
      </c>
      <c r="O70" t="s">
        <v>805</v>
      </c>
      <c r="P70" t="s">
        <v>3</v>
      </c>
      <c r="Q70" t="s">
        <v>806</v>
      </c>
      <c r="R70" t="s">
        <v>3</v>
      </c>
      <c r="S70" t="s">
        <v>3</v>
      </c>
      <c r="T70" t="s">
        <v>3</v>
      </c>
      <c r="U70">
        <v>0</v>
      </c>
      <c r="V70">
        <v>0</v>
      </c>
      <c r="W70">
        <v>0</v>
      </c>
      <c r="X70">
        <v>0</v>
      </c>
      <c r="Y70" t="s">
        <v>3</v>
      </c>
      <c r="Z70" t="s">
        <v>3</v>
      </c>
      <c r="AA70">
        <v>0</v>
      </c>
      <c r="AB70" t="s">
        <v>3</v>
      </c>
      <c r="AC70">
        <v>147.29</v>
      </c>
      <c r="AD70">
        <v>1</v>
      </c>
      <c r="AE70">
        <v>0</v>
      </c>
      <c r="AF70">
        <v>2</v>
      </c>
      <c r="AG70">
        <v>3</v>
      </c>
      <c r="AH70" t="s">
        <v>341</v>
      </c>
      <c r="AI70" t="s">
        <v>398</v>
      </c>
      <c r="AJ70">
        <v>46218.631701388891</v>
      </c>
      <c r="AK70">
        <v>57249517</v>
      </c>
      <c r="AL70">
        <v>0</v>
      </c>
      <c r="AM70">
        <v>0</v>
      </c>
      <c r="AN70">
        <v>0</v>
      </c>
      <c r="AO70">
        <v>46073</v>
      </c>
      <c r="AP70">
        <v>0</v>
      </c>
      <c r="AQ70">
        <v>1</v>
      </c>
      <c r="AR70">
        <v>0</v>
      </c>
      <c r="AS70" t="s">
        <v>3</v>
      </c>
      <c r="AT70">
        <v>1</v>
      </c>
      <c r="AU70">
        <v>4.08</v>
      </c>
    </row>
    <row r="71" spans="2:47" x14ac:dyDescent="0.2">
      <c r="B71" t="s">
        <v>807</v>
      </c>
      <c r="C71">
        <v>0</v>
      </c>
      <c r="D71" t="s">
        <v>397</v>
      </c>
      <c r="E71" t="s">
        <v>3</v>
      </c>
      <c r="F71" t="s">
        <v>706</v>
      </c>
      <c r="G71" t="s">
        <v>3</v>
      </c>
      <c r="H71">
        <v>160.84</v>
      </c>
      <c r="I71">
        <v>160.84</v>
      </c>
      <c r="J71">
        <v>0</v>
      </c>
      <c r="K71">
        <v>160.84</v>
      </c>
      <c r="L71">
        <v>0</v>
      </c>
      <c r="M71">
        <v>0</v>
      </c>
      <c r="N71">
        <v>0</v>
      </c>
      <c r="O71" t="s">
        <v>808</v>
      </c>
      <c r="P71" t="s">
        <v>3</v>
      </c>
      <c r="Q71" t="s">
        <v>809</v>
      </c>
      <c r="R71" t="s">
        <v>3</v>
      </c>
      <c r="S71" t="s">
        <v>3</v>
      </c>
      <c r="T71" t="s">
        <v>3</v>
      </c>
      <c r="U71">
        <v>0</v>
      </c>
      <c r="V71">
        <v>0</v>
      </c>
      <c r="W71">
        <v>0</v>
      </c>
      <c r="X71">
        <v>0</v>
      </c>
      <c r="Y71" t="s">
        <v>3</v>
      </c>
      <c r="Z71" t="s">
        <v>3</v>
      </c>
      <c r="AA71">
        <v>0</v>
      </c>
      <c r="AB71" t="s">
        <v>3</v>
      </c>
      <c r="AC71">
        <v>160.84</v>
      </c>
      <c r="AD71">
        <v>1</v>
      </c>
      <c r="AE71">
        <v>0</v>
      </c>
      <c r="AF71">
        <v>2</v>
      </c>
      <c r="AG71">
        <v>3</v>
      </c>
      <c r="AH71" t="s">
        <v>341</v>
      </c>
      <c r="AI71" t="s">
        <v>398</v>
      </c>
      <c r="AJ71">
        <v>46218.631701388891</v>
      </c>
      <c r="AK71">
        <v>57249517</v>
      </c>
      <c r="AL71">
        <v>0</v>
      </c>
      <c r="AM71">
        <v>0</v>
      </c>
      <c r="AN71">
        <v>0</v>
      </c>
      <c r="AO71">
        <v>46073</v>
      </c>
      <c r="AP71">
        <v>0</v>
      </c>
      <c r="AQ71">
        <v>1</v>
      </c>
      <c r="AR71">
        <v>0</v>
      </c>
      <c r="AS71" t="s">
        <v>3</v>
      </c>
      <c r="AT71">
        <v>1</v>
      </c>
      <c r="AU71">
        <v>4.08</v>
      </c>
    </row>
    <row r="72" spans="2:47" x14ac:dyDescent="0.2">
      <c r="B72" t="s">
        <v>810</v>
      </c>
      <c r="C72">
        <v>1</v>
      </c>
      <c r="D72" t="s">
        <v>434</v>
      </c>
      <c r="E72" t="s">
        <v>3</v>
      </c>
      <c r="F72" t="s">
        <v>706</v>
      </c>
      <c r="G72" t="s">
        <v>3</v>
      </c>
      <c r="H72">
        <v>1239.8399999999999</v>
      </c>
      <c r="I72">
        <v>1239.8399999999999</v>
      </c>
      <c r="J72">
        <v>0</v>
      </c>
      <c r="K72">
        <v>1239.8399999999999</v>
      </c>
      <c r="L72">
        <v>0</v>
      </c>
      <c r="M72">
        <v>0</v>
      </c>
      <c r="N72">
        <v>0</v>
      </c>
      <c r="O72" t="s">
        <v>789</v>
      </c>
      <c r="P72" t="s">
        <v>3</v>
      </c>
      <c r="Q72" t="s">
        <v>790</v>
      </c>
      <c r="R72" t="s">
        <v>3</v>
      </c>
      <c r="S72" t="s">
        <v>3</v>
      </c>
      <c r="T72" t="s">
        <v>3</v>
      </c>
      <c r="U72">
        <v>0</v>
      </c>
      <c r="V72">
        <v>0</v>
      </c>
      <c r="W72">
        <v>0</v>
      </c>
      <c r="X72">
        <v>0</v>
      </c>
      <c r="Y72" t="s">
        <v>3</v>
      </c>
      <c r="Z72" t="s">
        <v>3</v>
      </c>
      <c r="AA72">
        <v>0</v>
      </c>
      <c r="AB72" t="s">
        <v>3</v>
      </c>
      <c r="AC72">
        <v>1239.8399999999999</v>
      </c>
      <c r="AD72">
        <v>1</v>
      </c>
      <c r="AE72">
        <v>0</v>
      </c>
      <c r="AF72">
        <v>2</v>
      </c>
      <c r="AG72">
        <v>3</v>
      </c>
      <c r="AH72" t="s">
        <v>192</v>
      </c>
      <c r="AI72" t="s">
        <v>435</v>
      </c>
      <c r="AJ72">
        <v>46218.631701388891</v>
      </c>
      <c r="AK72">
        <v>57249568</v>
      </c>
      <c r="AL72">
        <v>0</v>
      </c>
      <c r="AM72">
        <v>0</v>
      </c>
      <c r="AN72">
        <v>0</v>
      </c>
      <c r="AO72">
        <v>46073</v>
      </c>
      <c r="AP72">
        <v>0</v>
      </c>
      <c r="AQ72">
        <v>1</v>
      </c>
      <c r="AR72">
        <v>0</v>
      </c>
      <c r="AS72" t="s">
        <v>709</v>
      </c>
      <c r="AT72">
        <v>1</v>
      </c>
      <c r="AU72">
        <v>1</v>
      </c>
    </row>
    <row r="73" spans="2:47" x14ac:dyDescent="0.2">
      <c r="B73" t="s">
        <v>811</v>
      </c>
      <c r="C73">
        <v>0</v>
      </c>
      <c r="D73" t="s">
        <v>434</v>
      </c>
      <c r="E73" t="s">
        <v>3</v>
      </c>
      <c r="F73" t="s">
        <v>706</v>
      </c>
      <c r="G73" t="s">
        <v>3</v>
      </c>
      <c r="H73">
        <v>1430</v>
      </c>
      <c r="I73">
        <v>1430</v>
      </c>
      <c r="J73">
        <v>0</v>
      </c>
      <c r="K73">
        <v>1430</v>
      </c>
      <c r="L73">
        <v>0</v>
      </c>
      <c r="M73">
        <v>0</v>
      </c>
      <c r="N73">
        <v>0</v>
      </c>
      <c r="O73" t="s">
        <v>727</v>
      </c>
      <c r="P73" t="s">
        <v>3</v>
      </c>
      <c r="Q73" t="s">
        <v>728</v>
      </c>
      <c r="R73" t="s">
        <v>3</v>
      </c>
      <c r="S73" t="s">
        <v>3</v>
      </c>
      <c r="T73" t="s">
        <v>3</v>
      </c>
      <c r="U73">
        <v>0</v>
      </c>
      <c r="V73">
        <v>0</v>
      </c>
      <c r="W73">
        <v>0</v>
      </c>
      <c r="X73">
        <v>0</v>
      </c>
      <c r="Y73" t="s">
        <v>3</v>
      </c>
      <c r="Z73" t="s">
        <v>3</v>
      </c>
      <c r="AA73">
        <v>0</v>
      </c>
      <c r="AB73" t="s">
        <v>3</v>
      </c>
      <c r="AC73">
        <v>1430</v>
      </c>
      <c r="AD73">
        <v>1</v>
      </c>
      <c r="AE73">
        <v>0</v>
      </c>
      <c r="AF73">
        <v>2</v>
      </c>
      <c r="AG73">
        <v>3</v>
      </c>
      <c r="AH73" t="s">
        <v>192</v>
      </c>
      <c r="AI73" t="s">
        <v>435</v>
      </c>
      <c r="AJ73">
        <v>46218.631701388891</v>
      </c>
      <c r="AK73">
        <v>57249568</v>
      </c>
      <c r="AL73">
        <v>0</v>
      </c>
      <c r="AM73">
        <v>0</v>
      </c>
      <c r="AN73">
        <v>0</v>
      </c>
      <c r="AO73">
        <v>46073</v>
      </c>
      <c r="AP73">
        <v>0</v>
      </c>
      <c r="AQ73">
        <v>1</v>
      </c>
      <c r="AR73">
        <v>0</v>
      </c>
      <c r="AS73" t="s">
        <v>3</v>
      </c>
      <c r="AT73">
        <v>1</v>
      </c>
      <c r="AU73">
        <v>1</v>
      </c>
    </row>
    <row r="74" spans="2:47" x14ac:dyDescent="0.2">
      <c r="B74" t="s">
        <v>812</v>
      </c>
      <c r="C74">
        <v>0</v>
      </c>
      <c r="D74" t="s">
        <v>434</v>
      </c>
      <c r="E74" t="s">
        <v>3</v>
      </c>
      <c r="F74" t="s">
        <v>706</v>
      </c>
      <c r="G74" t="s">
        <v>3</v>
      </c>
      <c r="H74">
        <v>1512.56</v>
      </c>
      <c r="I74">
        <v>1512.56</v>
      </c>
      <c r="J74">
        <v>0</v>
      </c>
      <c r="K74">
        <v>1512.56</v>
      </c>
      <c r="L74">
        <v>0</v>
      </c>
      <c r="M74">
        <v>0</v>
      </c>
      <c r="N74">
        <v>0</v>
      </c>
      <c r="O74" t="s">
        <v>737</v>
      </c>
      <c r="P74" t="s">
        <v>3</v>
      </c>
      <c r="Q74" t="s">
        <v>738</v>
      </c>
      <c r="R74" t="s">
        <v>3</v>
      </c>
      <c r="S74" t="s">
        <v>3</v>
      </c>
      <c r="T74" t="s">
        <v>3</v>
      </c>
      <c r="U74">
        <v>0</v>
      </c>
      <c r="V74">
        <v>0</v>
      </c>
      <c r="W74">
        <v>0</v>
      </c>
      <c r="X74">
        <v>0</v>
      </c>
      <c r="Y74" t="s">
        <v>3</v>
      </c>
      <c r="Z74" t="s">
        <v>3</v>
      </c>
      <c r="AA74">
        <v>0</v>
      </c>
      <c r="AB74" t="s">
        <v>3</v>
      </c>
      <c r="AC74">
        <v>1512.56</v>
      </c>
      <c r="AD74">
        <v>1</v>
      </c>
      <c r="AE74">
        <v>0</v>
      </c>
      <c r="AF74">
        <v>2</v>
      </c>
      <c r="AG74">
        <v>3</v>
      </c>
      <c r="AH74" t="s">
        <v>192</v>
      </c>
      <c r="AI74" t="s">
        <v>435</v>
      </c>
      <c r="AJ74">
        <v>46218.631701388891</v>
      </c>
      <c r="AK74">
        <v>57249568</v>
      </c>
      <c r="AL74">
        <v>0</v>
      </c>
      <c r="AM74">
        <v>0</v>
      </c>
      <c r="AN74">
        <v>0</v>
      </c>
      <c r="AO74">
        <v>46073</v>
      </c>
      <c r="AP74">
        <v>0</v>
      </c>
      <c r="AQ74">
        <v>1</v>
      </c>
      <c r="AR74">
        <v>0</v>
      </c>
      <c r="AS74" t="s">
        <v>3</v>
      </c>
      <c r="AT74">
        <v>1</v>
      </c>
      <c r="AU74">
        <v>1</v>
      </c>
    </row>
    <row r="75" spans="2:47" x14ac:dyDescent="0.2">
      <c r="B75" t="s">
        <v>813</v>
      </c>
      <c r="C75">
        <v>0</v>
      </c>
      <c r="D75" t="s">
        <v>312</v>
      </c>
      <c r="E75" t="s">
        <v>3</v>
      </c>
      <c r="F75" t="s">
        <v>706</v>
      </c>
      <c r="G75" t="s">
        <v>3</v>
      </c>
      <c r="H75">
        <v>90000</v>
      </c>
      <c r="I75">
        <v>90000</v>
      </c>
      <c r="J75">
        <v>0</v>
      </c>
      <c r="K75">
        <v>90000</v>
      </c>
      <c r="L75">
        <v>0</v>
      </c>
      <c r="M75">
        <v>0</v>
      </c>
      <c r="N75">
        <v>0</v>
      </c>
      <c r="O75" t="s">
        <v>779</v>
      </c>
      <c r="P75" t="s">
        <v>3</v>
      </c>
      <c r="Q75" t="s">
        <v>780</v>
      </c>
      <c r="R75" t="s">
        <v>3</v>
      </c>
      <c r="S75" t="s">
        <v>3</v>
      </c>
      <c r="T75" t="s">
        <v>3</v>
      </c>
      <c r="U75">
        <v>0</v>
      </c>
      <c r="V75">
        <v>0</v>
      </c>
      <c r="W75">
        <v>0</v>
      </c>
      <c r="X75">
        <v>0</v>
      </c>
      <c r="Y75" t="s">
        <v>3</v>
      </c>
      <c r="Z75" t="s">
        <v>3</v>
      </c>
      <c r="AA75">
        <v>0</v>
      </c>
      <c r="AB75" t="s">
        <v>3</v>
      </c>
      <c r="AC75">
        <v>90000</v>
      </c>
      <c r="AD75">
        <v>1</v>
      </c>
      <c r="AE75">
        <v>0</v>
      </c>
      <c r="AF75">
        <v>3</v>
      </c>
      <c r="AG75">
        <v>3</v>
      </c>
      <c r="AH75" t="s">
        <v>192</v>
      </c>
      <c r="AI75" t="s">
        <v>313</v>
      </c>
      <c r="AJ75">
        <v>46218.695960648147</v>
      </c>
      <c r="AK75">
        <v>57250074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1</v>
      </c>
      <c r="AR75">
        <v>0</v>
      </c>
      <c r="AS75" t="s">
        <v>709</v>
      </c>
      <c r="AT75">
        <v>1</v>
      </c>
      <c r="AU75">
        <v>1</v>
      </c>
    </row>
    <row r="76" spans="2:47" x14ac:dyDescent="0.2">
      <c r="B76" t="s">
        <v>814</v>
      </c>
      <c r="C76">
        <v>1</v>
      </c>
      <c r="D76" t="s">
        <v>312</v>
      </c>
      <c r="E76" t="s">
        <v>3</v>
      </c>
      <c r="F76" t="s">
        <v>706</v>
      </c>
      <c r="G76" t="s">
        <v>3</v>
      </c>
      <c r="H76">
        <v>67800</v>
      </c>
      <c r="I76">
        <v>67800</v>
      </c>
      <c r="J76">
        <v>0</v>
      </c>
      <c r="K76">
        <v>67800</v>
      </c>
      <c r="L76">
        <v>0</v>
      </c>
      <c r="M76">
        <v>0</v>
      </c>
      <c r="N76">
        <v>0</v>
      </c>
      <c r="O76" t="s">
        <v>707</v>
      </c>
      <c r="P76" t="s">
        <v>3</v>
      </c>
      <c r="Q76" t="s">
        <v>708</v>
      </c>
      <c r="R76" t="s">
        <v>3</v>
      </c>
      <c r="S76" t="s">
        <v>3</v>
      </c>
      <c r="T76" t="s">
        <v>3</v>
      </c>
      <c r="U76">
        <v>0</v>
      </c>
      <c r="V76">
        <v>0</v>
      </c>
      <c r="W76">
        <v>0</v>
      </c>
      <c r="X76">
        <v>0</v>
      </c>
      <c r="Y76" t="s">
        <v>3</v>
      </c>
      <c r="Z76" t="s">
        <v>3</v>
      </c>
      <c r="AA76">
        <v>0</v>
      </c>
      <c r="AB76" t="s">
        <v>3</v>
      </c>
      <c r="AC76">
        <v>67800</v>
      </c>
      <c r="AD76">
        <v>1</v>
      </c>
      <c r="AE76">
        <v>0</v>
      </c>
      <c r="AF76">
        <v>3</v>
      </c>
      <c r="AG76">
        <v>3</v>
      </c>
      <c r="AH76" t="s">
        <v>192</v>
      </c>
      <c r="AI76" t="s">
        <v>313</v>
      </c>
      <c r="AJ76">
        <v>46218.695960648147</v>
      </c>
      <c r="AK76">
        <v>57250074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0</v>
      </c>
      <c r="AS76" t="s">
        <v>3</v>
      </c>
      <c r="AT76">
        <v>1</v>
      </c>
      <c r="AU76">
        <v>1</v>
      </c>
    </row>
    <row r="77" spans="2:47" x14ac:dyDescent="0.2">
      <c r="B77" t="s">
        <v>815</v>
      </c>
      <c r="C77">
        <v>0</v>
      </c>
      <c r="D77" t="s">
        <v>312</v>
      </c>
      <c r="E77" t="s">
        <v>3</v>
      </c>
      <c r="F77" t="s">
        <v>706</v>
      </c>
      <c r="G77" t="s">
        <v>3</v>
      </c>
      <c r="H77">
        <v>67800</v>
      </c>
      <c r="I77">
        <v>67800</v>
      </c>
      <c r="J77">
        <v>0</v>
      </c>
      <c r="K77">
        <v>67800</v>
      </c>
      <c r="L77">
        <v>0</v>
      </c>
      <c r="M77">
        <v>0</v>
      </c>
      <c r="N77">
        <v>0</v>
      </c>
      <c r="O77" t="s">
        <v>816</v>
      </c>
      <c r="P77" t="s">
        <v>3</v>
      </c>
      <c r="Q77" t="s">
        <v>817</v>
      </c>
      <c r="R77" t="s">
        <v>3</v>
      </c>
      <c r="S77" t="s">
        <v>3</v>
      </c>
      <c r="T77" t="s">
        <v>3</v>
      </c>
      <c r="U77">
        <v>0</v>
      </c>
      <c r="V77">
        <v>0</v>
      </c>
      <c r="W77">
        <v>0</v>
      </c>
      <c r="X77">
        <v>0</v>
      </c>
      <c r="Y77" t="s">
        <v>3</v>
      </c>
      <c r="Z77" t="s">
        <v>3</v>
      </c>
      <c r="AA77">
        <v>0</v>
      </c>
      <c r="AB77" t="s">
        <v>3</v>
      </c>
      <c r="AC77">
        <v>67800</v>
      </c>
      <c r="AD77">
        <v>1</v>
      </c>
      <c r="AE77">
        <v>0</v>
      </c>
      <c r="AF77">
        <v>3</v>
      </c>
      <c r="AG77">
        <v>3</v>
      </c>
      <c r="AH77" t="s">
        <v>192</v>
      </c>
      <c r="AI77" t="s">
        <v>313</v>
      </c>
      <c r="AJ77">
        <v>46218.695960648147</v>
      </c>
      <c r="AK77">
        <v>57250074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0</v>
      </c>
      <c r="AS77" t="s">
        <v>3</v>
      </c>
      <c r="AT77">
        <v>1</v>
      </c>
      <c r="AU77">
        <v>1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Воробьева Анна Валерьевна</cp:lastModifiedBy>
  <dcterms:created xsi:type="dcterms:W3CDTF">2026-07-27T14:42:05Z</dcterms:created>
  <dcterms:modified xsi:type="dcterms:W3CDTF">2026-07-27T14:43:05Z</dcterms:modified>
</cp:coreProperties>
</file>